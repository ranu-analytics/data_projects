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kit patel\Desktop\"/>
    </mc:Choice>
  </mc:AlternateContent>
  <xr:revisionPtr revIDLastSave="0" documentId="8_{E0648E0B-9F2B-4C5D-B47C-0064BC9236A3}" xr6:coauthVersionLast="47" xr6:coauthVersionMax="47" xr10:uidLastSave="{00000000-0000-0000-0000-000000000000}"/>
  <bookViews>
    <workbookView xWindow="-110" yWindow="-110" windowWidth="19420" windowHeight="10300" firstSheet="2" xr2:uid="{00000000-000D-0000-FFFF-FFFF00000000}"/>
  </bookViews>
  <sheets>
    <sheet name="Index main" sheetId="38" r:id="rId1"/>
    <sheet name="ETC Price" sheetId="2" r:id="rId2"/>
    <sheet name="Index1" sheetId="4" r:id="rId3"/>
    <sheet name="15%addition to etc" sheetId="1" r:id="rId4"/>
    <sheet name="Index2" sheetId="3" r:id="rId5"/>
    <sheet name="37% discount Price " sheetId="5" r:id="rId6"/>
    <sheet name="Index3" sheetId="22" r:id="rId7"/>
    <sheet name="33%-3%discount" sheetId="8" r:id="rId8"/>
    <sheet name="The electric house " sheetId="39" r:id="rId9"/>
    <sheet name="Unique agency" sheetId="9" r:id="rId10"/>
    <sheet name="ss Pumps" sheetId="6" r:id="rId11"/>
    <sheet name="shyam bihari ago" sheetId="7" r:id="rId12"/>
    <sheet name="Divisha electricals" sheetId="11" r:id="rId13"/>
    <sheet name="Patel Switch Gear" sheetId="12" r:id="rId14"/>
    <sheet name="Walk in customer" sheetId="13" state="hidden" r:id="rId15"/>
    <sheet name="JMD enterprises" sheetId="14" r:id="rId16"/>
    <sheet name="Patodia Trading" sheetId="15" r:id="rId17"/>
    <sheet name="Pearl Tradelink" sheetId="16" r:id="rId18"/>
    <sheet name="deep Agency" sheetId="17" r:id="rId19"/>
    <sheet name="Binod kumar chiraniya" sheetId="18" r:id="rId20"/>
    <sheet name="Amarsen choudhary" sheetId="21" r:id="rId21"/>
    <sheet name="Sarda Builders" sheetId="23" r:id="rId22"/>
    <sheet name="Lahoti Brother" sheetId="24" r:id="rId23"/>
    <sheet name="Pramod hardware store" sheetId="25" r:id="rId24"/>
    <sheet name="Krishna machinery and store " sheetId="26" r:id="rId25"/>
    <sheet name="Ashok Traders" sheetId="27" r:id="rId26"/>
    <sheet name="Pragati Enterprise" sheetId="28" r:id="rId27"/>
    <sheet name="SN Enterprises" sheetId="29" r:id="rId28"/>
    <sheet name="Bansal Trading" sheetId="30" r:id="rId29"/>
    <sheet name="Chawda Krishi Seva Kendra" sheetId="31" r:id="rId30"/>
    <sheet name="Rajcot machinery" sheetId="32" r:id="rId31"/>
    <sheet name="Reyansh Traders" sheetId="33" r:id="rId32"/>
    <sheet name="Hindustan electricals and machi" sheetId="35" r:id="rId33"/>
    <sheet name="Sheet1" sheetId="36" r:id="rId34"/>
    <sheet name="Sheet2" sheetId="37" r:id="rId35"/>
  </sheets>
  <definedNames>
    <definedName name="_xlnm._FilterDatabase" localSheetId="0" hidden="1">'Index main'!$A$5:$P$206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74" i="39" l="1"/>
  <c r="J174" i="39" s="1"/>
  <c r="I173" i="39"/>
  <c r="J173" i="39" s="1"/>
  <c r="I172" i="39"/>
  <c r="J172" i="39" s="1"/>
  <c r="I171" i="39"/>
  <c r="J171" i="39" s="1"/>
  <c r="I170" i="39"/>
  <c r="J170" i="39" s="1"/>
  <c r="J169" i="39"/>
  <c r="I169" i="39"/>
  <c r="I168" i="39"/>
  <c r="J168" i="39" s="1"/>
  <c r="I167" i="39"/>
  <c r="J167" i="39" s="1"/>
  <c r="I166" i="39"/>
  <c r="J166" i="39" s="1"/>
  <c r="I165" i="39"/>
  <c r="J165" i="39" s="1"/>
  <c r="I164" i="39"/>
  <c r="J164" i="39" s="1"/>
  <c r="I163" i="39"/>
  <c r="J163" i="39" s="1"/>
  <c r="I162" i="39"/>
  <c r="J162" i="39" s="1"/>
  <c r="I161" i="39"/>
  <c r="J161" i="39" s="1"/>
  <c r="I160" i="39"/>
  <c r="J160" i="39" s="1"/>
  <c r="I159" i="39"/>
  <c r="J159" i="39" s="1"/>
  <c r="I158" i="39"/>
  <c r="J158" i="39" s="1"/>
  <c r="J154" i="39"/>
  <c r="I154" i="39"/>
  <c r="I153" i="39"/>
  <c r="J153" i="39" s="1"/>
  <c r="I152" i="39"/>
  <c r="J152" i="39" s="1"/>
  <c r="I151" i="39"/>
  <c r="J151" i="39" s="1"/>
  <c r="J150" i="39"/>
  <c r="I150" i="39"/>
  <c r="I149" i="39"/>
  <c r="J149" i="39" s="1"/>
  <c r="I148" i="39"/>
  <c r="J148" i="39" s="1"/>
  <c r="I147" i="39"/>
  <c r="J147" i="39" s="1"/>
  <c r="J146" i="39"/>
  <c r="I146" i="39"/>
  <c r="I145" i="39"/>
  <c r="J145" i="39" s="1"/>
  <c r="I144" i="39"/>
  <c r="J144" i="39" s="1"/>
  <c r="I143" i="39"/>
  <c r="J143" i="39" s="1"/>
  <c r="I142" i="39"/>
  <c r="J142" i="39" s="1"/>
  <c r="I141" i="39"/>
  <c r="J141" i="39" s="1"/>
  <c r="I140" i="39"/>
  <c r="J140" i="39" s="1"/>
  <c r="I139" i="39"/>
  <c r="J139" i="39" s="1"/>
  <c r="J138" i="39"/>
  <c r="I138" i="39"/>
  <c r="I137" i="39"/>
  <c r="J137" i="39" s="1"/>
  <c r="I136" i="39"/>
  <c r="J136" i="39" s="1"/>
  <c r="I135" i="39"/>
  <c r="J135" i="39" s="1"/>
  <c r="J134" i="39"/>
  <c r="I134" i="39"/>
  <c r="I133" i="39"/>
  <c r="J133" i="39" s="1"/>
  <c r="I132" i="39"/>
  <c r="J132" i="39" s="1"/>
  <c r="I128" i="39"/>
  <c r="J128" i="39" s="1"/>
  <c r="I127" i="39"/>
  <c r="J127" i="39" s="1"/>
  <c r="I126" i="39"/>
  <c r="J126" i="39" s="1"/>
  <c r="I125" i="39"/>
  <c r="J125" i="39" s="1"/>
  <c r="I124" i="39"/>
  <c r="J124" i="39" s="1"/>
  <c r="I123" i="39"/>
  <c r="J123" i="39" s="1"/>
  <c r="I122" i="39"/>
  <c r="J122" i="39" s="1"/>
  <c r="I121" i="39"/>
  <c r="J121" i="39" s="1"/>
  <c r="I120" i="39"/>
  <c r="J120" i="39" s="1"/>
  <c r="J119" i="39"/>
  <c r="I119" i="39"/>
  <c r="I113" i="39"/>
  <c r="J113" i="39" s="1"/>
  <c r="I112" i="39"/>
  <c r="J112" i="39" s="1"/>
  <c r="I111" i="39"/>
  <c r="J111" i="39" s="1"/>
  <c r="I110" i="39"/>
  <c r="J110" i="39" s="1"/>
  <c r="J109" i="39"/>
  <c r="I109" i="39"/>
  <c r="I108" i="39"/>
  <c r="J108" i="39" s="1"/>
  <c r="I107" i="39"/>
  <c r="J107" i="39" s="1"/>
  <c r="I106" i="39"/>
  <c r="J106" i="39" s="1"/>
  <c r="J105" i="39"/>
  <c r="I105" i="39"/>
  <c r="I104" i="39"/>
  <c r="J104" i="39" s="1"/>
  <c r="I103" i="39"/>
  <c r="J103" i="39" s="1"/>
  <c r="I102" i="39"/>
  <c r="J102" i="39" s="1"/>
  <c r="I101" i="39"/>
  <c r="J101" i="39" s="1"/>
  <c r="I100" i="39"/>
  <c r="J100" i="39" s="1"/>
  <c r="I99" i="39"/>
  <c r="J99" i="39" s="1"/>
  <c r="I98" i="39"/>
  <c r="J98" i="39" s="1"/>
  <c r="I97" i="39"/>
  <c r="J97" i="39" s="1"/>
  <c r="I96" i="39"/>
  <c r="J96" i="39" s="1"/>
  <c r="I95" i="39"/>
  <c r="J95" i="39" s="1"/>
  <c r="I94" i="39"/>
  <c r="J94" i="39" s="1"/>
  <c r="J93" i="39"/>
  <c r="I93" i="39"/>
  <c r="I92" i="39"/>
  <c r="J92" i="39" s="1"/>
  <c r="I91" i="39"/>
  <c r="J91" i="39" s="1"/>
  <c r="I90" i="39"/>
  <c r="J90" i="39" s="1"/>
  <c r="J89" i="39"/>
  <c r="I89" i="39"/>
  <c r="I88" i="39"/>
  <c r="J88" i="39" s="1"/>
  <c r="I87" i="39"/>
  <c r="J87" i="39" s="1"/>
  <c r="I86" i="39"/>
  <c r="J86" i="39" s="1"/>
  <c r="I85" i="39"/>
  <c r="J85" i="39" s="1"/>
  <c r="I84" i="39"/>
  <c r="J84" i="39" s="1"/>
  <c r="I83" i="39"/>
  <c r="J83" i="39" s="1"/>
  <c r="I82" i="39"/>
  <c r="J82" i="39" s="1"/>
  <c r="I81" i="39"/>
  <c r="J81" i="39" s="1"/>
  <c r="I80" i="39"/>
  <c r="J80" i="39" s="1"/>
  <c r="I79" i="39"/>
  <c r="J79" i="39" s="1"/>
  <c r="I78" i="39"/>
  <c r="J78" i="39" s="1"/>
  <c r="J77" i="39"/>
  <c r="I77" i="39"/>
  <c r="I76" i="39"/>
  <c r="J76" i="39" s="1"/>
  <c r="I75" i="39"/>
  <c r="J75" i="39" s="1"/>
  <c r="I74" i="39"/>
  <c r="J74" i="39" s="1"/>
  <c r="J73" i="39"/>
  <c r="I73" i="39"/>
  <c r="I72" i="39"/>
  <c r="J72" i="39" s="1"/>
  <c r="I71" i="39"/>
  <c r="J71" i="39" s="1"/>
  <c r="I70" i="39"/>
  <c r="J70" i="39" s="1"/>
  <c r="I69" i="39"/>
  <c r="J69" i="39" s="1"/>
  <c r="I68" i="39"/>
  <c r="J68" i="39" s="1"/>
  <c r="I67" i="39"/>
  <c r="J67" i="39" s="1"/>
  <c r="I66" i="39"/>
  <c r="J66" i="39" s="1"/>
  <c r="I65" i="39"/>
  <c r="J65" i="39" s="1"/>
  <c r="I64" i="39"/>
  <c r="J64" i="39" s="1"/>
  <c r="I63" i="39"/>
  <c r="J63" i="39" s="1"/>
  <c r="I62" i="39"/>
  <c r="J62" i="39" s="1"/>
  <c r="J61" i="39"/>
  <c r="I61" i="39"/>
  <c r="I60" i="39"/>
  <c r="J60" i="39" s="1"/>
  <c r="I59" i="39"/>
  <c r="J59" i="39" s="1"/>
  <c r="I58" i="39"/>
  <c r="J58" i="39" s="1"/>
  <c r="J54" i="39"/>
  <c r="I54" i="39"/>
  <c r="I53" i="39"/>
  <c r="J53" i="39" s="1"/>
  <c r="I52" i="39"/>
  <c r="J52" i="39" s="1"/>
  <c r="I51" i="39"/>
  <c r="J51" i="39" s="1"/>
  <c r="I50" i="39"/>
  <c r="J50" i="39" s="1"/>
  <c r="I49" i="39"/>
  <c r="J49" i="39" s="1"/>
  <c r="I48" i="39"/>
  <c r="J48" i="39" s="1"/>
  <c r="I47" i="39"/>
  <c r="I46" i="39"/>
  <c r="J46" i="39" s="1"/>
  <c r="I45" i="39"/>
  <c r="J45" i="39" s="1"/>
  <c r="I44" i="39"/>
  <c r="J44" i="39" s="1"/>
  <c r="J43" i="39"/>
  <c r="I43" i="39"/>
  <c r="I42" i="39"/>
  <c r="J42" i="39" s="1"/>
  <c r="I41" i="39"/>
  <c r="J41" i="39" s="1"/>
  <c r="I40" i="39"/>
  <c r="J40" i="39" s="1"/>
  <c r="I39" i="39"/>
  <c r="J39" i="39" s="1"/>
  <c r="I38" i="39"/>
  <c r="J38" i="39" s="1"/>
  <c r="I37" i="39"/>
  <c r="J37" i="39" s="1"/>
  <c r="I36" i="39"/>
  <c r="J36" i="39" s="1"/>
  <c r="I35" i="39"/>
  <c r="J35" i="39" s="1"/>
  <c r="I34" i="39"/>
  <c r="J34" i="39" s="1"/>
  <c r="I33" i="39"/>
  <c r="J33" i="39" s="1"/>
  <c r="I30" i="39"/>
  <c r="J30" i="39" s="1"/>
  <c r="I29" i="39"/>
  <c r="J29" i="39" s="1"/>
  <c r="I28" i="39"/>
  <c r="J28" i="39" s="1"/>
  <c r="I25" i="39"/>
  <c r="J25" i="39" s="1"/>
  <c r="I24" i="39"/>
  <c r="J24" i="39" s="1"/>
  <c r="I23" i="39"/>
  <c r="J23" i="39" s="1"/>
  <c r="I22" i="39"/>
  <c r="J22" i="39" s="1"/>
  <c r="I21" i="39"/>
  <c r="J21" i="39" s="1"/>
  <c r="I20" i="39"/>
  <c r="J20" i="39" s="1"/>
  <c r="I19" i="39"/>
  <c r="J19" i="39" s="1"/>
  <c r="I18" i="39"/>
  <c r="J18" i="39" s="1"/>
  <c r="I17" i="39"/>
  <c r="J17" i="39" s="1"/>
  <c r="I16" i="39"/>
  <c r="J16" i="39" s="1"/>
  <c r="I15" i="39"/>
  <c r="J15" i="39" s="1"/>
  <c r="I14" i="39"/>
  <c r="J14" i="39" s="1"/>
  <c r="J13" i="39"/>
  <c r="I13" i="39"/>
  <c r="I12" i="39"/>
  <c r="J12" i="39" s="1"/>
  <c r="I11" i="39"/>
  <c r="J11" i="39" s="1"/>
  <c r="I48" i="23"/>
  <c r="J48" i="23" s="1"/>
  <c r="K48" i="23" s="1"/>
  <c r="L48" i="23" s="1"/>
  <c r="I59" i="7" l="1"/>
  <c r="I60" i="7"/>
  <c r="I61" i="7"/>
  <c r="I62" i="7"/>
  <c r="I63" i="7"/>
  <c r="I64" i="7"/>
  <c r="I65" i="7"/>
  <c r="I66" i="7"/>
  <c r="I67" i="7"/>
  <c r="I68" i="7"/>
  <c r="I69" i="7"/>
  <c r="I70" i="7"/>
  <c r="I71" i="7"/>
  <c r="I72" i="7"/>
  <c r="I73" i="7"/>
  <c r="I74" i="7"/>
  <c r="I75" i="7"/>
  <c r="I76" i="7"/>
  <c r="I77" i="7"/>
  <c r="I78" i="7"/>
  <c r="I79" i="7"/>
  <c r="I80" i="7"/>
  <c r="I81" i="7"/>
  <c r="I82" i="7"/>
  <c r="I83" i="7"/>
  <c r="I84" i="7"/>
  <c r="I85" i="7"/>
  <c r="I86" i="7"/>
  <c r="I87" i="7"/>
  <c r="I88" i="7"/>
  <c r="I89" i="7"/>
  <c r="I90" i="7"/>
  <c r="I91" i="7"/>
  <c r="I92" i="7"/>
  <c r="I93" i="7"/>
  <c r="I94" i="7"/>
  <c r="I95" i="7"/>
  <c r="I96" i="7"/>
  <c r="I97" i="7"/>
  <c r="I98" i="7"/>
  <c r="I99" i="7"/>
  <c r="I100" i="7"/>
  <c r="I101" i="7"/>
  <c r="I102" i="7"/>
  <c r="I103" i="7"/>
  <c r="I104" i="7"/>
  <c r="I105" i="7"/>
  <c r="I106" i="7"/>
  <c r="I107" i="7"/>
  <c r="I108" i="7"/>
  <c r="I109" i="7"/>
  <c r="I110" i="7"/>
  <c r="I111" i="7"/>
  <c r="I112" i="7"/>
  <c r="I113" i="7"/>
  <c r="I58" i="7"/>
  <c r="I172" i="35"/>
  <c r="I171" i="35"/>
  <c r="I170" i="35"/>
  <c r="I169" i="35"/>
  <c r="I168" i="35"/>
  <c r="I167" i="35"/>
  <c r="I166" i="35"/>
  <c r="I165" i="35"/>
  <c r="I164" i="35"/>
  <c r="I163" i="35"/>
  <c r="I162" i="35"/>
  <c r="I161" i="35"/>
  <c r="I160" i="35"/>
  <c r="I159" i="35"/>
  <c r="I158" i="35"/>
  <c r="I154" i="35"/>
  <c r="I153" i="35"/>
  <c r="I152" i="35"/>
  <c r="I151" i="35"/>
  <c r="I150" i="35"/>
  <c r="I149" i="35"/>
  <c r="I148" i="35"/>
  <c r="I147" i="35"/>
  <c r="I146" i="35"/>
  <c r="I145" i="35"/>
  <c r="I144" i="35"/>
  <c r="I143" i="35"/>
  <c r="I142" i="35"/>
  <c r="I141" i="35"/>
  <c r="I140" i="35"/>
  <c r="I139" i="35"/>
  <c r="I138" i="35"/>
  <c r="I137" i="35"/>
  <c r="I136" i="35"/>
  <c r="I135" i="35"/>
  <c r="I134" i="35"/>
  <c r="I133" i="35"/>
  <c r="I132" i="35"/>
  <c r="I128" i="35"/>
  <c r="I127" i="35"/>
  <c r="I126" i="35"/>
  <c r="I125" i="35"/>
  <c r="I124" i="35"/>
  <c r="I123" i="35"/>
  <c r="I122" i="35"/>
  <c r="I121" i="35"/>
  <c r="I120" i="35"/>
  <c r="I119" i="35"/>
  <c r="I117" i="35"/>
  <c r="I113" i="35"/>
  <c r="I112" i="35"/>
  <c r="I111" i="35"/>
  <c r="I110" i="35"/>
  <c r="I109" i="35"/>
  <c r="I108" i="35"/>
  <c r="I107" i="35"/>
  <c r="I106" i="35"/>
  <c r="I105" i="35"/>
  <c r="I104" i="35"/>
  <c r="I103" i="35"/>
  <c r="I102" i="35"/>
  <c r="I101" i="35"/>
  <c r="I100" i="35"/>
  <c r="I99" i="35"/>
  <c r="I98" i="35"/>
  <c r="I97" i="35"/>
  <c r="I96" i="35"/>
  <c r="I95" i="35"/>
  <c r="I94" i="35"/>
  <c r="I93" i="35"/>
  <c r="I92" i="35"/>
  <c r="I91" i="35"/>
  <c r="I90" i="35"/>
  <c r="I89" i="35"/>
  <c r="I88" i="35"/>
  <c r="I87" i="35"/>
  <c r="I86" i="35"/>
  <c r="I85" i="35"/>
  <c r="I84" i="35"/>
  <c r="I83" i="35"/>
  <c r="I82" i="35"/>
  <c r="I81" i="35"/>
  <c r="I80" i="35"/>
  <c r="I79" i="35"/>
  <c r="I78" i="35"/>
  <c r="I77" i="35"/>
  <c r="I76" i="35"/>
  <c r="I75" i="35"/>
  <c r="I74" i="35"/>
  <c r="I73" i="35"/>
  <c r="I72" i="35"/>
  <c r="I71" i="35"/>
  <c r="I70" i="35"/>
  <c r="I69" i="35"/>
  <c r="I68" i="35"/>
  <c r="I67" i="35"/>
  <c r="I66" i="35"/>
  <c r="I65" i="35"/>
  <c r="I64" i="35"/>
  <c r="I63" i="35"/>
  <c r="I62" i="35"/>
  <c r="I61" i="35"/>
  <c r="I60" i="35"/>
  <c r="I59" i="35"/>
  <c r="I58" i="35"/>
  <c r="I54" i="35"/>
  <c r="J54" i="35" s="1"/>
  <c r="J53" i="35"/>
  <c r="I53" i="35"/>
  <c r="J52" i="35"/>
  <c r="I52" i="35"/>
  <c r="I51" i="35"/>
  <c r="J51" i="35" s="1"/>
  <c r="I50" i="35"/>
  <c r="J50" i="35" s="1"/>
  <c r="J49" i="35"/>
  <c r="I49" i="35"/>
  <c r="J48" i="35"/>
  <c r="I48" i="35"/>
  <c r="I47" i="35"/>
  <c r="I46" i="35"/>
  <c r="J46" i="35" s="1"/>
  <c r="I45" i="35"/>
  <c r="J45" i="35" s="1"/>
  <c r="I44" i="35"/>
  <c r="J44" i="35" s="1"/>
  <c r="I43" i="35"/>
  <c r="J43" i="35" s="1"/>
  <c r="I42" i="35"/>
  <c r="J42" i="35" s="1"/>
  <c r="I41" i="35"/>
  <c r="J41" i="35" s="1"/>
  <c r="I40" i="35"/>
  <c r="J40" i="35" s="1"/>
  <c r="J39" i="35"/>
  <c r="I39" i="35"/>
  <c r="I38" i="35"/>
  <c r="J38" i="35" s="1"/>
  <c r="J37" i="35"/>
  <c r="I37" i="35"/>
  <c r="I36" i="35"/>
  <c r="J36" i="35" s="1"/>
  <c r="J35" i="35"/>
  <c r="I35" i="35"/>
  <c r="I34" i="35"/>
  <c r="J34" i="35" s="1"/>
  <c r="I33" i="35"/>
  <c r="J33" i="35" s="1"/>
  <c r="I32" i="35"/>
  <c r="I31" i="35"/>
  <c r="I30" i="35"/>
  <c r="J30" i="35" s="1"/>
  <c r="I29" i="35"/>
  <c r="J29" i="35" s="1"/>
  <c r="J28" i="35"/>
  <c r="I28" i="35"/>
  <c r="I27" i="35"/>
  <c r="I26" i="35"/>
  <c r="I25" i="35"/>
  <c r="J25" i="35" s="1"/>
  <c r="I24" i="35"/>
  <c r="J24" i="35" s="1"/>
  <c r="I23" i="35"/>
  <c r="J23" i="35" s="1"/>
  <c r="I22" i="35"/>
  <c r="J22" i="35" s="1"/>
  <c r="I21" i="35"/>
  <c r="J21" i="35" s="1"/>
  <c r="I20" i="35"/>
  <c r="J20" i="35" s="1"/>
  <c r="I19" i="35"/>
  <c r="J19" i="35" s="1"/>
  <c r="I18" i="35"/>
  <c r="J18" i="35" s="1"/>
  <c r="J17" i="35"/>
  <c r="I17" i="35"/>
  <c r="I16" i="35"/>
  <c r="J16" i="35" s="1"/>
  <c r="J15" i="35"/>
  <c r="I15" i="35"/>
  <c r="I14" i="35"/>
  <c r="J14" i="35" s="1"/>
  <c r="J13" i="35"/>
  <c r="I13" i="35"/>
  <c r="I12" i="35"/>
  <c r="J12" i="35" s="1"/>
  <c r="I11" i="35"/>
  <c r="J11" i="35" s="1"/>
  <c r="I10" i="35"/>
  <c r="I9" i="35"/>
  <c r="I8" i="35"/>
  <c r="I7" i="35"/>
  <c r="J163" i="33"/>
  <c r="J165" i="33"/>
  <c r="J166" i="33"/>
  <c r="J171" i="33"/>
  <c r="I159" i="33"/>
  <c r="J159" i="33" s="1"/>
  <c r="I160" i="33"/>
  <c r="J160" i="33" s="1"/>
  <c r="I161" i="33"/>
  <c r="J161" i="33" s="1"/>
  <c r="I162" i="33"/>
  <c r="J162" i="33" s="1"/>
  <c r="I163" i="33"/>
  <c r="I164" i="33"/>
  <c r="J164" i="33" s="1"/>
  <c r="I165" i="33"/>
  <c r="I166" i="33"/>
  <c r="I167" i="33"/>
  <c r="J167" i="33" s="1"/>
  <c r="I168" i="33"/>
  <c r="J168" i="33" s="1"/>
  <c r="I169" i="33"/>
  <c r="J169" i="33" s="1"/>
  <c r="I170" i="33"/>
  <c r="J170" i="33" s="1"/>
  <c r="I171" i="33"/>
  <c r="I172" i="33"/>
  <c r="J172" i="33" s="1"/>
  <c r="J158" i="33"/>
  <c r="I158" i="33"/>
  <c r="J133" i="33"/>
  <c r="J134" i="33"/>
  <c r="J139" i="33"/>
  <c r="J141" i="33"/>
  <c r="J142" i="33"/>
  <c r="J147" i="33"/>
  <c r="J149" i="33"/>
  <c r="J150" i="33"/>
  <c r="I133" i="33"/>
  <c r="I134" i="33"/>
  <c r="I135" i="33"/>
  <c r="J135" i="33" s="1"/>
  <c r="I136" i="33"/>
  <c r="J136" i="33" s="1"/>
  <c r="I137" i="33"/>
  <c r="J137" i="33" s="1"/>
  <c r="I138" i="33"/>
  <c r="J138" i="33" s="1"/>
  <c r="I139" i="33"/>
  <c r="I140" i="33"/>
  <c r="J140" i="33" s="1"/>
  <c r="I141" i="33"/>
  <c r="I142" i="33"/>
  <c r="I143" i="33"/>
  <c r="J143" i="33" s="1"/>
  <c r="I144" i="33"/>
  <c r="J144" i="33" s="1"/>
  <c r="I145" i="33"/>
  <c r="J145" i="33" s="1"/>
  <c r="I146" i="33"/>
  <c r="J146" i="33" s="1"/>
  <c r="I147" i="33"/>
  <c r="I148" i="33"/>
  <c r="J148" i="33" s="1"/>
  <c r="I149" i="33"/>
  <c r="I150" i="33"/>
  <c r="I151" i="33"/>
  <c r="J151" i="33" s="1"/>
  <c r="I152" i="33"/>
  <c r="J152" i="33" s="1"/>
  <c r="I153" i="33"/>
  <c r="J153" i="33" s="1"/>
  <c r="I154" i="33"/>
  <c r="J154" i="33" s="1"/>
  <c r="I132" i="33"/>
  <c r="J132" i="33" s="1"/>
  <c r="J120" i="33"/>
  <c r="J123" i="33"/>
  <c r="J125" i="33"/>
  <c r="J128" i="33"/>
  <c r="I120" i="33"/>
  <c r="I121" i="33"/>
  <c r="J121" i="33" s="1"/>
  <c r="I122" i="33"/>
  <c r="J122" i="33" s="1"/>
  <c r="I123" i="33"/>
  <c r="I124" i="33"/>
  <c r="J124" i="33" s="1"/>
  <c r="I125" i="33"/>
  <c r="I126" i="33"/>
  <c r="J126" i="33" s="1"/>
  <c r="I127" i="33"/>
  <c r="J127" i="33" s="1"/>
  <c r="I128" i="33"/>
  <c r="I119" i="33"/>
  <c r="J119" i="33" s="1"/>
  <c r="J63" i="33"/>
  <c r="J65" i="33"/>
  <c r="J66" i="33"/>
  <c r="J71" i="33"/>
  <c r="J73" i="33"/>
  <c r="J74" i="33"/>
  <c r="J79" i="33"/>
  <c r="J81" i="33"/>
  <c r="J82" i="33"/>
  <c r="J87" i="33"/>
  <c r="J89" i="33"/>
  <c r="J90" i="33"/>
  <c r="J95" i="33"/>
  <c r="J97" i="33"/>
  <c r="J98" i="33"/>
  <c r="J103" i="33"/>
  <c r="J105" i="33"/>
  <c r="J106" i="33"/>
  <c r="J111" i="33"/>
  <c r="I59" i="33"/>
  <c r="J59" i="33" s="1"/>
  <c r="I60" i="33"/>
  <c r="J60" i="33" s="1"/>
  <c r="I61" i="33"/>
  <c r="J61" i="33" s="1"/>
  <c r="I62" i="33"/>
  <c r="J62" i="33" s="1"/>
  <c r="I63" i="33"/>
  <c r="I64" i="33"/>
  <c r="J64" i="33" s="1"/>
  <c r="I65" i="33"/>
  <c r="I66" i="33"/>
  <c r="I67" i="33"/>
  <c r="J67" i="33" s="1"/>
  <c r="I68" i="33"/>
  <c r="J68" i="33" s="1"/>
  <c r="I69" i="33"/>
  <c r="J69" i="33" s="1"/>
  <c r="I70" i="33"/>
  <c r="J70" i="33" s="1"/>
  <c r="I71" i="33"/>
  <c r="I72" i="33"/>
  <c r="J72" i="33" s="1"/>
  <c r="I73" i="33"/>
  <c r="I74" i="33"/>
  <c r="I75" i="33"/>
  <c r="J75" i="33" s="1"/>
  <c r="I76" i="33"/>
  <c r="J76" i="33" s="1"/>
  <c r="I77" i="33"/>
  <c r="J77" i="33" s="1"/>
  <c r="I78" i="33"/>
  <c r="J78" i="33" s="1"/>
  <c r="I79" i="33"/>
  <c r="I80" i="33"/>
  <c r="J80" i="33" s="1"/>
  <c r="I81" i="33"/>
  <c r="I82" i="33"/>
  <c r="I83" i="33"/>
  <c r="J83" i="33" s="1"/>
  <c r="I84" i="33"/>
  <c r="J84" i="33" s="1"/>
  <c r="I85" i="33"/>
  <c r="J85" i="33" s="1"/>
  <c r="I86" i="33"/>
  <c r="J86" i="33" s="1"/>
  <c r="I87" i="33"/>
  <c r="I88" i="33"/>
  <c r="J88" i="33" s="1"/>
  <c r="I89" i="33"/>
  <c r="I90" i="33"/>
  <c r="I91" i="33"/>
  <c r="J91" i="33" s="1"/>
  <c r="I92" i="33"/>
  <c r="J92" i="33" s="1"/>
  <c r="I93" i="33"/>
  <c r="J93" i="33" s="1"/>
  <c r="I94" i="33"/>
  <c r="J94" i="33" s="1"/>
  <c r="I95" i="33"/>
  <c r="I96" i="33"/>
  <c r="J96" i="33" s="1"/>
  <c r="I97" i="33"/>
  <c r="I98" i="33"/>
  <c r="I99" i="33"/>
  <c r="J99" i="33" s="1"/>
  <c r="I100" i="33"/>
  <c r="J100" i="33" s="1"/>
  <c r="I101" i="33"/>
  <c r="J101" i="33" s="1"/>
  <c r="I102" i="33"/>
  <c r="J102" i="33" s="1"/>
  <c r="I103" i="33"/>
  <c r="I104" i="33"/>
  <c r="J104" i="33" s="1"/>
  <c r="I105" i="33"/>
  <c r="I106" i="33"/>
  <c r="I107" i="33"/>
  <c r="J107" i="33" s="1"/>
  <c r="I108" i="33"/>
  <c r="J108" i="33" s="1"/>
  <c r="I109" i="33"/>
  <c r="J109" i="33" s="1"/>
  <c r="I110" i="33"/>
  <c r="J110" i="33" s="1"/>
  <c r="I111" i="33"/>
  <c r="I112" i="33"/>
  <c r="J112" i="33" s="1"/>
  <c r="I113" i="33"/>
  <c r="I58" i="33"/>
  <c r="J58" i="33" s="1"/>
  <c r="J49" i="33"/>
  <c r="J54" i="33"/>
  <c r="I49" i="33"/>
  <c r="I50" i="33"/>
  <c r="J50" i="33" s="1"/>
  <c r="I51" i="33"/>
  <c r="J51" i="33" s="1"/>
  <c r="I52" i="33"/>
  <c r="J52" i="33" s="1"/>
  <c r="I53" i="33"/>
  <c r="J53" i="33" s="1"/>
  <c r="I54" i="33"/>
  <c r="I48" i="33"/>
  <c r="J48" i="33" s="1"/>
  <c r="J35" i="33"/>
  <c r="J36" i="33"/>
  <c r="J38" i="33"/>
  <c r="J43" i="33"/>
  <c r="J44" i="33"/>
  <c r="J46" i="33"/>
  <c r="I34" i="33"/>
  <c r="J34" i="33" s="1"/>
  <c r="I35" i="33"/>
  <c r="I36" i="33"/>
  <c r="I37" i="33"/>
  <c r="J37" i="33" s="1"/>
  <c r="I38" i="33"/>
  <c r="I39" i="33"/>
  <c r="J39" i="33" s="1"/>
  <c r="I40" i="33"/>
  <c r="J40" i="33" s="1"/>
  <c r="I41" i="33"/>
  <c r="J41" i="33" s="1"/>
  <c r="I42" i="33"/>
  <c r="J42" i="33" s="1"/>
  <c r="I43" i="33"/>
  <c r="I44" i="33"/>
  <c r="I45" i="33"/>
  <c r="J45" i="33" s="1"/>
  <c r="I46" i="33"/>
  <c r="J33" i="33"/>
  <c r="I33" i="33"/>
  <c r="J28" i="33"/>
  <c r="I28" i="33"/>
  <c r="J13" i="33"/>
  <c r="J15" i="33"/>
  <c r="J16" i="33"/>
  <c r="J21" i="33"/>
  <c r="J23" i="33"/>
  <c r="J24" i="33"/>
  <c r="I12" i="33"/>
  <c r="J12" i="33" s="1"/>
  <c r="I13" i="33"/>
  <c r="I14" i="33"/>
  <c r="J14" i="33" s="1"/>
  <c r="I15" i="33"/>
  <c r="I16" i="33"/>
  <c r="I17" i="33"/>
  <c r="J17" i="33" s="1"/>
  <c r="I18" i="33"/>
  <c r="J18" i="33" s="1"/>
  <c r="I19" i="33"/>
  <c r="J19" i="33" s="1"/>
  <c r="I20" i="33"/>
  <c r="J20" i="33" s="1"/>
  <c r="I21" i="33"/>
  <c r="I22" i="33"/>
  <c r="J22" i="33" s="1"/>
  <c r="I23" i="33"/>
  <c r="I24" i="33"/>
  <c r="I25" i="33"/>
  <c r="J25" i="33" s="1"/>
  <c r="J11" i="33"/>
  <c r="I11" i="33"/>
  <c r="K125" i="32" l="1"/>
  <c r="L125" i="32" s="1"/>
  <c r="J121" i="32"/>
  <c r="K121" i="32" s="1"/>
  <c r="L121" i="32" s="1"/>
  <c r="J124" i="32"/>
  <c r="K124" i="32" s="1"/>
  <c r="L124" i="32" s="1"/>
  <c r="J125" i="32"/>
  <c r="I120" i="32"/>
  <c r="J120" i="32" s="1"/>
  <c r="K120" i="32" s="1"/>
  <c r="L120" i="32" s="1"/>
  <c r="I121" i="32"/>
  <c r="I122" i="32"/>
  <c r="J122" i="32" s="1"/>
  <c r="K122" i="32" s="1"/>
  <c r="L122" i="32" s="1"/>
  <c r="I123" i="32"/>
  <c r="J123" i="32" s="1"/>
  <c r="K123" i="32" s="1"/>
  <c r="L123" i="32" s="1"/>
  <c r="I124" i="32"/>
  <c r="I125" i="32"/>
  <c r="I126" i="32"/>
  <c r="J126" i="32" s="1"/>
  <c r="K126" i="32" s="1"/>
  <c r="L126" i="32" s="1"/>
  <c r="I127" i="32"/>
  <c r="J127" i="32" s="1"/>
  <c r="K127" i="32" s="1"/>
  <c r="L127" i="32" s="1"/>
  <c r="I128" i="32"/>
  <c r="J128" i="32" s="1"/>
  <c r="K128" i="32" s="1"/>
  <c r="L128" i="32" s="1"/>
  <c r="J119" i="32"/>
  <c r="K119" i="32" s="1"/>
  <c r="L119" i="32" s="1"/>
  <c r="I119" i="32"/>
  <c r="L97" i="32"/>
  <c r="L113" i="32"/>
  <c r="J107" i="32"/>
  <c r="K107" i="32" s="1"/>
  <c r="L107" i="32" s="1"/>
  <c r="J112" i="32"/>
  <c r="K112" i="32" s="1"/>
  <c r="L112" i="32" s="1"/>
  <c r="I59" i="32"/>
  <c r="J59" i="32" s="1"/>
  <c r="K59" i="32" s="1"/>
  <c r="L59" i="32" s="1"/>
  <c r="I60" i="32"/>
  <c r="J60" i="32" s="1"/>
  <c r="K60" i="32" s="1"/>
  <c r="L60" i="32" s="1"/>
  <c r="I61" i="32"/>
  <c r="J61" i="32" s="1"/>
  <c r="K61" i="32" s="1"/>
  <c r="L61" i="32" s="1"/>
  <c r="I62" i="32"/>
  <c r="J62" i="32" s="1"/>
  <c r="K62" i="32" s="1"/>
  <c r="L62" i="32" s="1"/>
  <c r="I63" i="32"/>
  <c r="J63" i="32" s="1"/>
  <c r="K63" i="32" s="1"/>
  <c r="L63" i="32" s="1"/>
  <c r="I64" i="32"/>
  <c r="J64" i="32" s="1"/>
  <c r="K64" i="32" s="1"/>
  <c r="L64" i="32" s="1"/>
  <c r="I65" i="32"/>
  <c r="J65" i="32" s="1"/>
  <c r="K65" i="32" s="1"/>
  <c r="L65" i="32" s="1"/>
  <c r="I66" i="32"/>
  <c r="J66" i="32" s="1"/>
  <c r="K66" i="32" s="1"/>
  <c r="L66" i="32" s="1"/>
  <c r="I67" i="32"/>
  <c r="J67" i="32" s="1"/>
  <c r="K67" i="32" s="1"/>
  <c r="L67" i="32" s="1"/>
  <c r="I68" i="32"/>
  <c r="J68" i="32" s="1"/>
  <c r="K68" i="32" s="1"/>
  <c r="L68" i="32" s="1"/>
  <c r="I69" i="32"/>
  <c r="J69" i="32" s="1"/>
  <c r="K69" i="32" s="1"/>
  <c r="L69" i="32" s="1"/>
  <c r="I70" i="32"/>
  <c r="J70" i="32" s="1"/>
  <c r="K70" i="32" s="1"/>
  <c r="L70" i="32" s="1"/>
  <c r="I71" i="32"/>
  <c r="J71" i="32" s="1"/>
  <c r="K71" i="32" s="1"/>
  <c r="L71" i="32" s="1"/>
  <c r="I72" i="32"/>
  <c r="J72" i="32" s="1"/>
  <c r="K72" i="32" s="1"/>
  <c r="L72" i="32" s="1"/>
  <c r="I73" i="32"/>
  <c r="J73" i="32" s="1"/>
  <c r="K73" i="32" s="1"/>
  <c r="L73" i="32" s="1"/>
  <c r="I74" i="32"/>
  <c r="J74" i="32" s="1"/>
  <c r="K74" i="32" s="1"/>
  <c r="L74" i="32" s="1"/>
  <c r="I75" i="32"/>
  <c r="J75" i="32" s="1"/>
  <c r="K75" i="32" s="1"/>
  <c r="L75" i="32" s="1"/>
  <c r="I76" i="32"/>
  <c r="J76" i="32" s="1"/>
  <c r="K76" i="32" s="1"/>
  <c r="L76" i="32" s="1"/>
  <c r="I77" i="32"/>
  <c r="J77" i="32" s="1"/>
  <c r="K77" i="32" s="1"/>
  <c r="L77" i="32" s="1"/>
  <c r="I78" i="32"/>
  <c r="J78" i="32" s="1"/>
  <c r="K78" i="32" s="1"/>
  <c r="L78" i="32" s="1"/>
  <c r="I79" i="32"/>
  <c r="J79" i="32" s="1"/>
  <c r="K79" i="32" s="1"/>
  <c r="L79" i="32" s="1"/>
  <c r="I80" i="32"/>
  <c r="J80" i="32" s="1"/>
  <c r="K80" i="32" s="1"/>
  <c r="L80" i="32" s="1"/>
  <c r="I81" i="32"/>
  <c r="J81" i="32" s="1"/>
  <c r="K81" i="32" s="1"/>
  <c r="L81" i="32" s="1"/>
  <c r="I82" i="32"/>
  <c r="J82" i="32" s="1"/>
  <c r="K82" i="32" s="1"/>
  <c r="L82" i="32" s="1"/>
  <c r="I83" i="32"/>
  <c r="J83" i="32" s="1"/>
  <c r="K83" i="32" s="1"/>
  <c r="L83" i="32" s="1"/>
  <c r="I84" i="32"/>
  <c r="J84" i="32" s="1"/>
  <c r="K84" i="32" s="1"/>
  <c r="L84" i="32" s="1"/>
  <c r="I85" i="32"/>
  <c r="J85" i="32" s="1"/>
  <c r="K85" i="32" s="1"/>
  <c r="L85" i="32" s="1"/>
  <c r="I86" i="32"/>
  <c r="J86" i="32" s="1"/>
  <c r="K86" i="32" s="1"/>
  <c r="L86" i="32" s="1"/>
  <c r="I87" i="32"/>
  <c r="J87" i="32" s="1"/>
  <c r="K87" i="32" s="1"/>
  <c r="L87" i="32" s="1"/>
  <c r="I88" i="32"/>
  <c r="J88" i="32" s="1"/>
  <c r="K88" i="32" s="1"/>
  <c r="L88" i="32" s="1"/>
  <c r="I89" i="32"/>
  <c r="J89" i="32" s="1"/>
  <c r="K89" i="32" s="1"/>
  <c r="L89" i="32" s="1"/>
  <c r="I90" i="32"/>
  <c r="J90" i="32" s="1"/>
  <c r="K90" i="32" s="1"/>
  <c r="L90" i="32" s="1"/>
  <c r="I91" i="32"/>
  <c r="J91" i="32" s="1"/>
  <c r="K91" i="32" s="1"/>
  <c r="L91" i="32" s="1"/>
  <c r="I92" i="32"/>
  <c r="J92" i="32" s="1"/>
  <c r="K92" i="32" s="1"/>
  <c r="L92" i="32" s="1"/>
  <c r="I93" i="32"/>
  <c r="J93" i="32" s="1"/>
  <c r="K93" i="32" s="1"/>
  <c r="L93" i="32" s="1"/>
  <c r="I94" i="32"/>
  <c r="J94" i="32" s="1"/>
  <c r="K94" i="32" s="1"/>
  <c r="L94" i="32" s="1"/>
  <c r="I95" i="32"/>
  <c r="J95" i="32" s="1"/>
  <c r="K95" i="32" s="1"/>
  <c r="L95" i="32" s="1"/>
  <c r="I96" i="32"/>
  <c r="J96" i="32" s="1"/>
  <c r="K96" i="32" s="1"/>
  <c r="L96" i="32" s="1"/>
  <c r="I97" i="32"/>
  <c r="J97" i="32" s="1"/>
  <c r="K97" i="32" s="1"/>
  <c r="I98" i="32"/>
  <c r="J98" i="32" s="1"/>
  <c r="K98" i="32" s="1"/>
  <c r="L98" i="32" s="1"/>
  <c r="I99" i="32"/>
  <c r="J99" i="32" s="1"/>
  <c r="K99" i="32" s="1"/>
  <c r="L99" i="32" s="1"/>
  <c r="I100" i="32"/>
  <c r="J100" i="32" s="1"/>
  <c r="K100" i="32" s="1"/>
  <c r="L100" i="32" s="1"/>
  <c r="I101" i="32"/>
  <c r="J101" i="32" s="1"/>
  <c r="K101" i="32" s="1"/>
  <c r="L101" i="32" s="1"/>
  <c r="I102" i="32"/>
  <c r="J102" i="32" s="1"/>
  <c r="K102" i="32" s="1"/>
  <c r="L102" i="32" s="1"/>
  <c r="I103" i="32"/>
  <c r="J103" i="32" s="1"/>
  <c r="K103" i="32" s="1"/>
  <c r="L103" i="32" s="1"/>
  <c r="I104" i="32"/>
  <c r="J104" i="32" s="1"/>
  <c r="K104" i="32" s="1"/>
  <c r="L104" i="32" s="1"/>
  <c r="I105" i="32"/>
  <c r="J105" i="32" s="1"/>
  <c r="K105" i="32" s="1"/>
  <c r="L105" i="32" s="1"/>
  <c r="I106" i="32"/>
  <c r="J106" i="32" s="1"/>
  <c r="K106" i="32" s="1"/>
  <c r="L106" i="32" s="1"/>
  <c r="I107" i="32"/>
  <c r="I108" i="32"/>
  <c r="J108" i="32" s="1"/>
  <c r="K108" i="32" s="1"/>
  <c r="L108" i="32" s="1"/>
  <c r="I109" i="32"/>
  <c r="J109" i="32" s="1"/>
  <c r="K109" i="32" s="1"/>
  <c r="L109" i="32" s="1"/>
  <c r="I110" i="32"/>
  <c r="J110" i="32" s="1"/>
  <c r="K110" i="32" s="1"/>
  <c r="L110" i="32" s="1"/>
  <c r="I111" i="32"/>
  <c r="J111" i="32" s="1"/>
  <c r="K111" i="32" s="1"/>
  <c r="L111" i="32" s="1"/>
  <c r="I112" i="32"/>
  <c r="I113" i="32"/>
  <c r="J113" i="32" s="1"/>
  <c r="K113" i="32" s="1"/>
  <c r="J58" i="32"/>
  <c r="K58" i="32" s="1"/>
  <c r="L58" i="32" s="1"/>
  <c r="I58" i="32"/>
  <c r="K49" i="32"/>
  <c r="L49" i="32" s="1"/>
  <c r="J49" i="32"/>
  <c r="J51" i="32"/>
  <c r="K51" i="32" s="1"/>
  <c r="L51" i="32" s="1"/>
  <c r="J52" i="32"/>
  <c r="K52" i="32" s="1"/>
  <c r="L52" i="32" s="1"/>
  <c r="I49" i="32"/>
  <c r="I50" i="32"/>
  <c r="J50" i="32" s="1"/>
  <c r="K50" i="32" s="1"/>
  <c r="L50" i="32" s="1"/>
  <c r="I51" i="32"/>
  <c r="I52" i="32"/>
  <c r="I53" i="32"/>
  <c r="J53" i="32" s="1"/>
  <c r="K53" i="32" s="1"/>
  <c r="L53" i="32" s="1"/>
  <c r="I54" i="32"/>
  <c r="J54" i="32" s="1"/>
  <c r="K54" i="32" s="1"/>
  <c r="L54" i="32" s="1"/>
  <c r="I48" i="32"/>
  <c r="J48" i="32" s="1"/>
  <c r="K48" i="32" s="1"/>
  <c r="L48" i="32" s="1"/>
  <c r="K39" i="32"/>
  <c r="L39" i="32" s="1"/>
  <c r="K40" i="32"/>
  <c r="L40" i="32" s="1"/>
  <c r="J34" i="32"/>
  <c r="K34" i="32" s="1"/>
  <c r="L34" i="32" s="1"/>
  <c r="J35" i="32"/>
  <c r="K35" i="32" s="1"/>
  <c r="L35" i="32" s="1"/>
  <c r="J39" i="32"/>
  <c r="J40" i="32"/>
  <c r="J41" i="32"/>
  <c r="K41" i="32" s="1"/>
  <c r="L41" i="32" s="1"/>
  <c r="J42" i="32"/>
  <c r="K42" i="32" s="1"/>
  <c r="L42" i="32" s="1"/>
  <c r="J43" i="32"/>
  <c r="K43" i="32" s="1"/>
  <c r="L43" i="32" s="1"/>
  <c r="I34" i="32"/>
  <c r="I35" i="32"/>
  <c r="I36" i="32"/>
  <c r="J36" i="32" s="1"/>
  <c r="K36" i="32" s="1"/>
  <c r="L36" i="32" s="1"/>
  <c r="I37" i="32"/>
  <c r="J37" i="32" s="1"/>
  <c r="K37" i="32" s="1"/>
  <c r="L37" i="32" s="1"/>
  <c r="I38" i="32"/>
  <c r="J38" i="32" s="1"/>
  <c r="K38" i="32" s="1"/>
  <c r="L38" i="32" s="1"/>
  <c r="I39" i="32"/>
  <c r="I40" i="32"/>
  <c r="I41" i="32"/>
  <c r="I42" i="32"/>
  <c r="I43" i="32"/>
  <c r="I44" i="32"/>
  <c r="J44" i="32" s="1"/>
  <c r="K44" i="32" s="1"/>
  <c r="L44" i="32" s="1"/>
  <c r="I45" i="32"/>
  <c r="J45" i="32" s="1"/>
  <c r="K45" i="32" s="1"/>
  <c r="L45" i="32" s="1"/>
  <c r="I46" i="32"/>
  <c r="J46" i="32" s="1"/>
  <c r="K46" i="32" s="1"/>
  <c r="L46" i="32" s="1"/>
  <c r="I33" i="32"/>
  <c r="J33" i="32" s="1"/>
  <c r="K33" i="32" s="1"/>
  <c r="L33" i="32" s="1"/>
  <c r="I29" i="32"/>
  <c r="J29" i="32" s="1"/>
  <c r="K29" i="32" s="1"/>
  <c r="L29" i="32" s="1"/>
  <c r="I30" i="32"/>
  <c r="J30" i="32" s="1"/>
  <c r="K30" i="32" s="1"/>
  <c r="L30" i="32" s="1"/>
  <c r="J28" i="32"/>
  <c r="K28" i="32" s="1"/>
  <c r="L28" i="32" s="1"/>
  <c r="I28" i="32"/>
  <c r="L18" i="32"/>
  <c r="K12" i="32"/>
  <c r="L12" i="32" s="1"/>
  <c r="K18" i="32"/>
  <c r="K20" i="32"/>
  <c r="L20" i="32" s="1"/>
  <c r="J12" i="32"/>
  <c r="J14" i="32"/>
  <c r="K14" i="32" s="1"/>
  <c r="L14" i="32" s="1"/>
  <c r="J15" i="32"/>
  <c r="K15" i="32" s="1"/>
  <c r="L15" i="32" s="1"/>
  <c r="J18" i="32"/>
  <c r="J19" i="32"/>
  <c r="K19" i="32" s="1"/>
  <c r="L19" i="32" s="1"/>
  <c r="J20" i="32"/>
  <c r="J22" i="32"/>
  <c r="K22" i="32" s="1"/>
  <c r="L22" i="32" s="1"/>
  <c r="J23" i="32"/>
  <c r="K23" i="32" s="1"/>
  <c r="L23" i="32" s="1"/>
  <c r="I12" i="32"/>
  <c r="I13" i="32"/>
  <c r="J13" i="32" s="1"/>
  <c r="K13" i="32" s="1"/>
  <c r="L13" i="32" s="1"/>
  <c r="I14" i="32"/>
  <c r="I15" i="32"/>
  <c r="I16" i="32"/>
  <c r="J16" i="32" s="1"/>
  <c r="K16" i="32" s="1"/>
  <c r="L16" i="32" s="1"/>
  <c r="I17" i="32"/>
  <c r="J17" i="32" s="1"/>
  <c r="K17" i="32" s="1"/>
  <c r="L17" i="32" s="1"/>
  <c r="I18" i="32"/>
  <c r="I19" i="32"/>
  <c r="I20" i="32"/>
  <c r="I21" i="32"/>
  <c r="J21" i="32" s="1"/>
  <c r="K21" i="32" s="1"/>
  <c r="L21" i="32" s="1"/>
  <c r="I22" i="32"/>
  <c r="I23" i="32"/>
  <c r="I24" i="32"/>
  <c r="J24" i="32" s="1"/>
  <c r="K24" i="32" s="1"/>
  <c r="L24" i="32" s="1"/>
  <c r="I25" i="32"/>
  <c r="J25" i="32" s="1"/>
  <c r="K25" i="32" s="1"/>
  <c r="L25" i="32" s="1"/>
  <c r="I11" i="32"/>
  <c r="J11" i="32" s="1"/>
  <c r="K11" i="32" s="1"/>
  <c r="L11" i="32" s="1"/>
  <c r="I159" i="31"/>
  <c r="I160" i="31"/>
  <c r="I161" i="31"/>
  <c r="I162" i="31"/>
  <c r="I163" i="31"/>
  <c r="I164" i="31"/>
  <c r="I165" i="31"/>
  <c r="I166" i="31"/>
  <c r="I167" i="31"/>
  <c r="I168" i="31"/>
  <c r="I169" i="31"/>
  <c r="I170" i="31"/>
  <c r="I171" i="31"/>
  <c r="I172" i="31"/>
  <c r="I158" i="31"/>
  <c r="I133" i="31"/>
  <c r="I134" i="31"/>
  <c r="I135" i="31"/>
  <c r="I136" i="31"/>
  <c r="I137" i="31"/>
  <c r="I138" i="31"/>
  <c r="I139" i="31"/>
  <c r="I140" i="31"/>
  <c r="I141" i="31"/>
  <c r="I142" i="31"/>
  <c r="I143" i="31"/>
  <c r="I144" i="31"/>
  <c r="I145" i="31"/>
  <c r="I146" i="31"/>
  <c r="I147" i="31"/>
  <c r="I148" i="31"/>
  <c r="I149" i="31"/>
  <c r="I150" i="31"/>
  <c r="I151" i="31"/>
  <c r="I152" i="31"/>
  <c r="I153" i="31"/>
  <c r="I154" i="31"/>
  <c r="I132" i="31"/>
  <c r="I120" i="31"/>
  <c r="I121" i="31"/>
  <c r="I122" i="31"/>
  <c r="I123" i="31"/>
  <c r="I124" i="31"/>
  <c r="I125" i="31"/>
  <c r="I126" i="31"/>
  <c r="I127" i="31"/>
  <c r="I128" i="31"/>
  <c r="I119" i="31"/>
  <c r="I59" i="31"/>
  <c r="I60" i="31"/>
  <c r="I61" i="31"/>
  <c r="I62" i="31"/>
  <c r="I63" i="31"/>
  <c r="I64" i="31"/>
  <c r="I65" i="31"/>
  <c r="I66" i="31"/>
  <c r="I67" i="31"/>
  <c r="I68" i="31"/>
  <c r="I69" i="31"/>
  <c r="I70" i="31"/>
  <c r="I71" i="31"/>
  <c r="I72" i="31"/>
  <c r="I73" i="31"/>
  <c r="I74" i="31"/>
  <c r="I75" i="31"/>
  <c r="I76" i="31"/>
  <c r="I77" i="31"/>
  <c r="I78" i="31"/>
  <c r="I79" i="31"/>
  <c r="I80" i="31"/>
  <c r="I81" i="31"/>
  <c r="I82" i="31"/>
  <c r="I83" i="31"/>
  <c r="I84" i="31"/>
  <c r="I85" i="31"/>
  <c r="I86" i="31"/>
  <c r="I87" i="31"/>
  <c r="I88" i="31"/>
  <c r="I89" i="31"/>
  <c r="I90" i="31"/>
  <c r="I91" i="31"/>
  <c r="I92" i="31"/>
  <c r="I93" i="31"/>
  <c r="I94" i="31"/>
  <c r="I95" i="31"/>
  <c r="I96" i="31"/>
  <c r="I97" i="31"/>
  <c r="I98" i="31"/>
  <c r="I99" i="31"/>
  <c r="I100" i="31"/>
  <c r="I101" i="31"/>
  <c r="I102" i="31"/>
  <c r="I103" i="31"/>
  <c r="I104" i="31"/>
  <c r="I105" i="31"/>
  <c r="I106" i="31"/>
  <c r="I107" i="31"/>
  <c r="I108" i="31"/>
  <c r="I109" i="31"/>
  <c r="I110" i="31"/>
  <c r="I111" i="31"/>
  <c r="I112" i="31"/>
  <c r="I113" i="31"/>
  <c r="I58" i="31"/>
  <c r="J49" i="31"/>
  <c r="J51" i="31"/>
  <c r="J52" i="31"/>
  <c r="I49" i="31"/>
  <c r="I50" i="31"/>
  <c r="J50" i="31" s="1"/>
  <c r="I51" i="31"/>
  <c r="I52" i="31"/>
  <c r="I53" i="31"/>
  <c r="J53" i="31" s="1"/>
  <c r="I54" i="31"/>
  <c r="J54" i="31" s="1"/>
  <c r="I48" i="31"/>
  <c r="J48" i="31" s="1"/>
  <c r="J35" i="31"/>
  <c r="J36" i="31"/>
  <c r="J37" i="31"/>
  <c r="J38" i="31"/>
  <c r="J39" i="31"/>
  <c r="J43" i="31"/>
  <c r="J44" i="31"/>
  <c r="J45" i="31"/>
  <c r="J46" i="31"/>
  <c r="I34" i="31"/>
  <c r="J34" i="31" s="1"/>
  <c r="I35" i="31"/>
  <c r="I36" i="31"/>
  <c r="I37" i="31"/>
  <c r="I38" i="31"/>
  <c r="I39" i="31"/>
  <c r="I40" i="31"/>
  <c r="J40" i="31" s="1"/>
  <c r="I41" i="31"/>
  <c r="J41" i="31" s="1"/>
  <c r="I42" i="31"/>
  <c r="J42" i="31" s="1"/>
  <c r="I43" i="31"/>
  <c r="I44" i="31"/>
  <c r="I45" i="31"/>
  <c r="I46" i="31"/>
  <c r="I33" i="31"/>
  <c r="J33" i="31" s="1"/>
  <c r="J29" i="31"/>
  <c r="J30" i="31"/>
  <c r="I29" i="31"/>
  <c r="I30" i="31"/>
  <c r="I28" i="31"/>
  <c r="J28" i="31" s="1"/>
  <c r="J12" i="31"/>
  <c r="J14" i="31"/>
  <c r="J15" i="31"/>
  <c r="J19" i="31"/>
  <c r="J20" i="31"/>
  <c r="J22" i="31"/>
  <c r="J23" i="31"/>
  <c r="I12" i="31"/>
  <c r="I13" i="31"/>
  <c r="J13" i="31" s="1"/>
  <c r="I14" i="31"/>
  <c r="I15" i="31"/>
  <c r="I16" i="31"/>
  <c r="J16" i="31" s="1"/>
  <c r="I17" i="31"/>
  <c r="J17" i="31" s="1"/>
  <c r="I18" i="31"/>
  <c r="J18" i="31" s="1"/>
  <c r="I19" i="31"/>
  <c r="I20" i="31"/>
  <c r="I21" i="31"/>
  <c r="J21" i="31" s="1"/>
  <c r="I22" i="31"/>
  <c r="I23" i="31"/>
  <c r="I24" i="31"/>
  <c r="J24" i="31" s="1"/>
  <c r="I25" i="31"/>
  <c r="J25" i="31" s="1"/>
  <c r="I11" i="31"/>
  <c r="J11" i="31" s="1"/>
  <c r="I172" i="30"/>
  <c r="J172" i="30" s="1"/>
  <c r="J171" i="30"/>
  <c r="I171" i="30"/>
  <c r="I170" i="30"/>
  <c r="J170" i="30" s="1"/>
  <c r="J169" i="30"/>
  <c r="I169" i="30"/>
  <c r="I168" i="30"/>
  <c r="J168" i="30" s="1"/>
  <c r="I167" i="30"/>
  <c r="J167" i="30" s="1"/>
  <c r="I166" i="30"/>
  <c r="J166" i="30" s="1"/>
  <c r="I165" i="30"/>
  <c r="J165" i="30" s="1"/>
  <c r="I164" i="30"/>
  <c r="J164" i="30" s="1"/>
  <c r="J163" i="30"/>
  <c r="I163" i="30"/>
  <c r="I162" i="30"/>
  <c r="J162" i="30" s="1"/>
  <c r="I161" i="30"/>
  <c r="J161" i="30" s="1"/>
  <c r="I160" i="30"/>
  <c r="J160" i="30" s="1"/>
  <c r="I159" i="30"/>
  <c r="J159" i="30" s="1"/>
  <c r="I158" i="30"/>
  <c r="J158" i="30" s="1"/>
  <c r="I154" i="30"/>
  <c r="J154" i="30" s="1"/>
  <c r="I153" i="30"/>
  <c r="J153" i="30" s="1"/>
  <c r="J152" i="30"/>
  <c r="I152" i="30"/>
  <c r="I151" i="30"/>
  <c r="J151" i="30" s="1"/>
  <c r="J150" i="30"/>
  <c r="I150" i="30"/>
  <c r="I149" i="30"/>
  <c r="J149" i="30" s="1"/>
  <c r="I148" i="30"/>
  <c r="J148" i="30" s="1"/>
  <c r="I147" i="30"/>
  <c r="J147" i="30" s="1"/>
  <c r="I146" i="30"/>
  <c r="J146" i="30" s="1"/>
  <c r="I145" i="30"/>
  <c r="J145" i="30" s="1"/>
  <c r="J144" i="30"/>
  <c r="I144" i="30"/>
  <c r="I143" i="30"/>
  <c r="J143" i="30" s="1"/>
  <c r="I142" i="30"/>
  <c r="J142" i="30" s="1"/>
  <c r="I141" i="30"/>
  <c r="J141" i="30" s="1"/>
  <c r="I140" i="30"/>
  <c r="J140" i="30" s="1"/>
  <c r="I139" i="30"/>
  <c r="J139" i="30" s="1"/>
  <c r="I138" i="30"/>
  <c r="J138" i="30" s="1"/>
  <c r="I137" i="30"/>
  <c r="J137" i="30" s="1"/>
  <c r="J136" i="30"/>
  <c r="I136" i="30"/>
  <c r="I135" i="30"/>
  <c r="J135" i="30" s="1"/>
  <c r="J134" i="30"/>
  <c r="I134" i="30"/>
  <c r="I133" i="30"/>
  <c r="J133" i="30" s="1"/>
  <c r="I132" i="30"/>
  <c r="J132" i="30" s="1"/>
  <c r="I128" i="30"/>
  <c r="J128" i="30" s="1"/>
  <c r="I127" i="30"/>
  <c r="J127" i="30" s="1"/>
  <c r="I126" i="30"/>
  <c r="J126" i="30" s="1"/>
  <c r="J125" i="30"/>
  <c r="I125" i="30"/>
  <c r="I124" i="30"/>
  <c r="J124" i="30" s="1"/>
  <c r="I123" i="30"/>
  <c r="J123" i="30" s="1"/>
  <c r="I122" i="30"/>
  <c r="J122" i="30" s="1"/>
  <c r="I121" i="30"/>
  <c r="J121" i="30" s="1"/>
  <c r="I120" i="30"/>
  <c r="J120" i="30" s="1"/>
  <c r="I119" i="30"/>
  <c r="J119" i="30" s="1"/>
  <c r="I117" i="30"/>
  <c r="J113" i="30"/>
  <c r="I113" i="30"/>
  <c r="I112" i="30"/>
  <c r="J112" i="30" s="1"/>
  <c r="J111" i="30"/>
  <c r="I111" i="30"/>
  <c r="I110" i="30"/>
  <c r="J110" i="30" s="1"/>
  <c r="J109" i="30"/>
  <c r="I109" i="30"/>
  <c r="I108" i="30"/>
  <c r="J108" i="30" s="1"/>
  <c r="I107" i="30"/>
  <c r="J107" i="30" s="1"/>
  <c r="I106" i="30"/>
  <c r="J106" i="30" s="1"/>
  <c r="J105" i="30"/>
  <c r="I105" i="30"/>
  <c r="I104" i="30"/>
  <c r="J104" i="30" s="1"/>
  <c r="I103" i="30"/>
  <c r="J103" i="30" s="1"/>
  <c r="I102" i="30"/>
  <c r="J102" i="30" s="1"/>
  <c r="I101" i="30"/>
  <c r="J101" i="30" s="1"/>
  <c r="I100" i="30"/>
  <c r="J100" i="30" s="1"/>
  <c r="I99" i="30"/>
  <c r="J99" i="30" s="1"/>
  <c r="I98" i="30"/>
  <c r="J98" i="30" s="1"/>
  <c r="J97" i="30"/>
  <c r="I97" i="30"/>
  <c r="I96" i="30"/>
  <c r="J96" i="30" s="1"/>
  <c r="J95" i="30"/>
  <c r="I95" i="30"/>
  <c r="I94" i="30"/>
  <c r="J94" i="30" s="1"/>
  <c r="I93" i="30"/>
  <c r="J93" i="30" s="1"/>
  <c r="I92" i="30"/>
  <c r="J92" i="30" s="1"/>
  <c r="I91" i="30"/>
  <c r="J91" i="30" s="1"/>
  <c r="I90" i="30"/>
  <c r="J90" i="30" s="1"/>
  <c r="J89" i="30"/>
  <c r="I89" i="30"/>
  <c r="I88" i="30"/>
  <c r="J88" i="30" s="1"/>
  <c r="I87" i="30"/>
  <c r="J87" i="30" s="1"/>
  <c r="I86" i="30"/>
  <c r="J86" i="30" s="1"/>
  <c r="I85" i="30"/>
  <c r="J85" i="30" s="1"/>
  <c r="I84" i="30"/>
  <c r="J84" i="30" s="1"/>
  <c r="I83" i="30"/>
  <c r="J83" i="30" s="1"/>
  <c r="I82" i="30"/>
  <c r="J82" i="30" s="1"/>
  <c r="J81" i="30"/>
  <c r="I81" i="30"/>
  <c r="I80" i="30"/>
  <c r="J80" i="30" s="1"/>
  <c r="J79" i="30"/>
  <c r="I79" i="30"/>
  <c r="I78" i="30"/>
  <c r="J78" i="30" s="1"/>
  <c r="I77" i="30"/>
  <c r="J77" i="30" s="1"/>
  <c r="I76" i="30"/>
  <c r="J76" i="30" s="1"/>
  <c r="I75" i="30"/>
  <c r="J75" i="30" s="1"/>
  <c r="I74" i="30"/>
  <c r="J74" i="30" s="1"/>
  <c r="J73" i="30"/>
  <c r="I73" i="30"/>
  <c r="I72" i="30"/>
  <c r="J72" i="30" s="1"/>
  <c r="I71" i="30"/>
  <c r="J71" i="30" s="1"/>
  <c r="I70" i="30"/>
  <c r="J70" i="30" s="1"/>
  <c r="I69" i="30"/>
  <c r="J69" i="30" s="1"/>
  <c r="I68" i="30"/>
  <c r="J68" i="30" s="1"/>
  <c r="I67" i="30"/>
  <c r="J67" i="30" s="1"/>
  <c r="I66" i="30"/>
  <c r="J66" i="30" s="1"/>
  <c r="J65" i="30"/>
  <c r="I65" i="30"/>
  <c r="I64" i="30"/>
  <c r="J64" i="30" s="1"/>
  <c r="J63" i="30"/>
  <c r="I63" i="30"/>
  <c r="I62" i="30"/>
  <c r="J62" i="30" s="1"/>
  <c r="I61" i="30"/>
  <c r="J61" i="30" s="1"/>
  <c r="I60" i="30"/>
  <c r="J60" i="30" s="1"/>
  <c r="I59" i="30"/>
  <c r="J59" i="30" s="1"/>
  <c r="I58" i="30"/>
  <c r="J58" i="30" s="1"/>
  <c r="J54" i="30"/>
  <c r="I54" i="30"/>
  <c r="I53" i="30"/>
  <c r="J53" i="30" s="1"/>
  <c r="I52" i="30"/>
  <c r="J52" i="30" s="1"/>
  <c r="I51" i="30"/>
  <c r="J51" i="30" s="1"/>
  <c r="I50" i="30"/>
  <c r="J50" i="30" s="1"/>
  <c r="I49" i="30"/>
  <c r="J49" i="30" s="1"/>
  <c r="I48" i="30"/>
  <c r="J48" i="30" s="1"/>
  <c r="I47" i="30"/>
  <c r="J46" i="30"/>
  <c r="I46" i="30"/>
  <c r="I45" i="30"/>
  <c r="J45" i="30" s="1"/>
  <c r="J44" i="30"/>
  <c r="I44" i="30"/>
  <c r="I43" i="30"/>
  <c r="J43" i="30" s="1"/>
  <c r="I42" i="30"/>
  <c r="J42" i="30" s="1"/>
  <c r="I41" i="30"/>
  <c r="J41" i="30" s="1"/>
  <c r="I40" i="30"/>
  <c r="J40" i="30" s="1"/>
  <c r="I39" i="30"/>
  <c r="J39" i="30" s="1"/>
  <c r="J38" i="30"/>
  <c r="I38" i="30"/>
  <c r="I37" i="30"/>
  <c r="J37" i="30" s="1"/>
  <c r="I36" i="30"/>
  <c r="J36" i="30" s="1"/>
  <c r="I35" i="30"/>
  <c r="J35" i="30" s="1"/>
  <c r="I34" i="30"/>
  <c r="J34" i="30" s="1"/>
  <c r="I33" i="30"/>
  <c r="J33" i="30" s="1"/>
  <c r="I32" i="30"/>
  <c r="I31" i="30"/>
  <c r="I30" i="30"/>
  <c r="J30" i="30" s="1"/>
  <c r="J29" i="30"/>
  <c r="I29" i="30"/>
  <c r="I28" i="30"/>
  <c r="J28" i="30" s="1"/>
  <c r="I27" i="30"/>
  <c r="I26" i="30"/>
  <c r="I25" i="30"/>
  <c r="J25" i="30" s="1"/>
  <c r="I24" i="30"/>
  <c r="J24" i="30" s="1"/>
  <c r="I23" i="30"/>
  <c r="J23" i="30" s="1"/>
  <c r="I22" i="30"/>
  <c r="J22" i="30" s="1"/>
  <c r="I21" i="30"/>
  <c r="J21" i="30" s="1"/>
  <c r="J20" i="30"/>
  <c r="I20" i="30"/>
  <c r="I19" i="30"/>
  <c r="J19" i="30" s="1"/>
  <c r="I18" i="30"/>
  <c r="J18" i="30" s="1"/>
  <c r="I17" i="30"/>
  <c r="J17" i="30" s="1"/>
  <c r="I16" i="30"/>
  <c r="J16" i="30" s="1"/>
  <c r="I15" i="30"/>
  <c r="J15" i="30" s="1"/>
  <c r="I14" i="30"/>
  <c r="J14" i="30" s="1"/>
  <c r="I13" i="30"/>
  <c r="J13" i="30" s="1"/>
  <c r="J12" i="30"/>
  <c r="I12" i="30"/>
  <c r="I11" i="30"/>
  <c r="J11" i="30" s="1"/>
  <c r="I10" i="30"/>
  <c r="I9" i="30"/>
  <c r="I8" i="30"/>
  <c r="I7" i="30"/>
  <c r="I159" i="29"/>
  <c r="I160" i="29"/>
  <c r="I161" i="29"/>
  <c r="I162" i="29"/>
  <c r="I163" i="29"/>
  <c r="I164" i="29"/>
  <c r="I165" i="29"/>
  <c r="I166" i="29"/>
  <c r="I167" i="29"/>
  <c r="I168" i="29"/>
  <c r="I169" i="29"/>
  <c r="I170" i="29"/>
  <c r="I171" i="29"/>
  <c r="I172" i="29"/>
  <c r="I158" i="29"/>
  <c r="I133" i="29"/>
  <c r="I134" i="29"/>
  <c r="I135" i="29"/>
  <c r="I136" i="29"/>
  <c r="I137" i="29"/>
  <c r="I138" i="29"/>
  <c r="I139" i="29"/>
  <c r="I140" i="29"/>
  <c r="I141" i="29"/>
  <c r="I142" i="29"/>
  <c r="I143" i="29"/>
  <c r="I144" i="29"/>
  <c r="I145" i="29"/>
  <c r="I146" i="29"/>
  <c r="I147" i="29"/>
  <c r="I148" i="29"/>
  <c r="I149" i="29"/>
  <c r="I150" i="29"/>
  <c r="I151" i="29"/>
  <c r="I152" i="29"/>
  <c r="I153" i="29"/>
  <c r="I154" i="29"/>
  <c r="I132" i="29"/>
  <c r="I120" i="29"/>
  <c r="I121" i="29"/>
  <c r="I122" i="29"/>
  <c r="I123" i="29"/>
  <c r="I124" i="29"/>
  <c r="I125" i="29"/>
  <c r="I126" i="29"/>
  <c r="I127" i="29"/>
  <c r="I128" i="29"/>
  <c r="I119" i="29"/>
  <c r="I112" i="29"/>
  <c r="I113" i="29"/>
  <c r="I59" i="29"/>
  <c r="I60" i="29"/>
  <c r="I61" i="29"/>
  <c r="I62" i="29"/>
  <c r="I63" i="29"/>
  <c r="I64" i="29"/>
  <c r="I65" i="29"/>
  <c r="I66" i="29"/>
  <c r="I67" i="29"/>
  <c r="I68" i="29"/>
  <c r="I69" i="29"/>
  <c r="I70" i="29"/>
  <c r="I71" i="29"/>
  <c r="I72" i="29"/>
  <c r="I73" i="29"/>
  <c r="I74" i="29"/>
  <c r="I75" i="29"/>
  <c r="I76" i="29"/>
  <c r="I77" i="29"/>
  <c r="I78" i="29"/>
  <c r="I79" i="29"/>
  <c r="I80" i="29"/>
  <c r="I81" i="29"/>
  <c r="I82" i="29"/>
  <c r="I83" i="29"/>
  <c r="I84" i="29"/>
  <c r="I85" i="29"/>
  <c r="I86" i="29"/>
  <c r="I87" i="29"/>
  <c r="I88" i="29"/>
  <c r="I89" i="29"/>
  <c r="I90" i="29"/>
  <c r="I91" i="29"/>
  <c r="I92" i="29"/>
  <c r="I93" i="29"/>
  <c r="I94" i="29"/>
  <c r="I95" i="29"/>
  <c r="I96" i="29"/>
  <c r="I97" i="29"/>
  <c r="I98" i="29"/>
  <c r="I99" i="29"/>
  <c r="I100" i="29"/>
  <c r="I101" i="29"/>
  <c r="I102" i="29"/>
  <c r="I103" i="29"/>
  <c r="I104" i="29"/>
  <c r="I105" i="29"/>
  <c r="I106" i="29"/>
  <c r="I107" i="29"/>
  <c r="I108" i="29"/>
  <c r="I109" i="29"/>
  <c r="I110" i="29"/>
  <c r="I111" i="29"/>
  <c r="I58" i="29"/>
  <c r="I49" i="29"/>
  <c r="I50" i="29"/>
  <c r="I51" i="29"/>
  <c r="I52" i="29"/>
  <c r="I53" i="29"/>
  <c r="I54" i="29"/>
  <c r="I48" i="29"/>
  <c r="I34" i="29"/>
  <c r="I35" i="29"/>
  <c r="I36" i="29"/>
  <c r="I37" i="29"/>
  <c r="I38" i="29"/>
  <c r="I39" i="29"/>
  <c r="I40" i="29"/>
  <c r="I41" i="29"/>
  <c r="I42" i="29"/>
  <c r="I43" i="29"/>
  <c r="I44" i="29"/>
  <c r="I45" i="29"/>
  <c r="I46" i="29"/>
  <c r="I33" i="29"/>
  <c r="I29" i="29"/>
  <c r="I30" i="29"/>
  <c r="I28" i="29"/>
  <c r="I12" i="29"/>
  <c r="I13" i="29"/>
  <c r="I14" i="29"/>
  <c r="I15" i="29"/>
  <c r="I16" i="29"/>
  <c r="I17" i="29"/>
  <c r="I18" i="29"/>
  <c r="I19" i="29"/>
  <c r="I20" i="29"/>
  <c r="I21" i="29"/>
  <c r="I22" i="29"/>
  <c r="I23" i="29"/>
  <c r="I24" i="29"/>
  <c r="I25" i="29"/>
  <c r="I11" i="29"/>
  <c r="I7" i="29"/>
  <c r="J160" i="28"/>
  <c r="J163" i="28"/>
  <c r="J164" i="28"/>
  <c r="J168" i="28"/>
  <c r="J171" i="28"/>
  <c r="J172" i="28"/>
  <c r="I159" i="28"/>
  <c r="J159" i="28" s="1"/>
  <c r="I160" i="28"/>
  <c r="I161" i="28"/>
  <c r="J161" i="28" s="1"/>
  <c r="I162" i="28"/>
  <c r="J162" i="28" s="1"/>
  <c r="I163" i="28"/>
  <c r="I164" i="28"/>
  <c r="I165" i="28"/>
  <c r="J165" i="28" s="1"/>
  <c r="I166" i="28"/>
  <c r="J166" i="28" s="1"/>
  <c r="I167" i="28"/>
  <c r="J167" i="28" s="1"/>
  <c r="I168" i="28"/>
  <c r="I169" i="28"/>
  <c r="J169" i="28" s="1"/>
  <c r="I170" i="28"/>
  <c r="J170" i="28" s="1"/>
  <c r="I171" i="28"/>
  <c r="I172" i="28"/>
  <c r="J158" i="28"/>
  <c r="I158" i="28"/>
  <c r="J136" i="28"/>
  <c r="J139" i="28"/>
  <c r="J140" i="28"/>
  <c r="J144" i="28"/>
  <c r="J147" i="28"/>
  <c r="J148" i="28"/>
  <c r="J152" i="28"/>
  <c r="I133" i="28"/>
  <c r="J133" i="28" s="1"/>
  <c r="I134" i="28"/>
  <c r="J134" i="28" s="1"/>
  <c r="I135" i="28"/>
  <c r="J135" i="28" s="1"/>
  <c r="I136" i="28"/>
  <c r="I137" i="28"/>
  <c r="J137" i="28" s="1"/>
  <c r="I138" i="28"/>
  <c r="J138" i="28" s="1"/>
  <c r="I139" i="28"/>
  <c r="I140" i="28"/>
  <c r="I141" i="28"/>
  <c r="J141" i="28" s="1"/>
  <c r="I142" i="28"/>
  <c r="J142" i="28" s="1"/>
  <c r="I143" i="28"/>
  <c r="J143" i="28" s="1"/>
  <c r="I144" i="28"/>
  <c r="I145" i="28"/>
  <c r="J145" i="28" s="1"/>
  <c r="I146" i="28"/>
  <c r="J146" i="28" s="1"/>
  <c r="I147" i="28"/>
  <c r="I148" i="28"/>
  <c r="I149" i="28"/>
  <c r="J149" i="28" s="1"/>
  <c r="I150" i="28"/>
  <c r="J150" i="28" s="1"/>
  <c r="I151" i="28"/>
  <c r="J151" i="28" s="1"/>
  <c r="I152" i="28"/>
  <c r="I153" i="28"/>
  <c r="J153" i="28" s="1"/>
  <c r="I154" i="28"/>
  <c r="J154" i="28" s="1"/>
  <c r="I132" i="28"/>
  <c r="J132" i="28" s="1"/>
  <c r="J120" i="28"/>
  <c r="J121" i="28"/>
  <c r="J125" i="28"/>
  <c r="J128" i="28"/>
  <c r="I120" i="28"/>
  <c r="I121" i="28"/>
  <c r="I122" i="28"/>
  <c r="J122" i="28" s="1"/>
  <c r="I123" i="28"/>
  <c r="J123" i="28" s="1"/>
  <c r="I124" i="28"/>
  <c r="J124" i="28" s="1"/>
  <c r="I125" i="28"/>
  <c r="I126" i="28"/>
  <c r="J126" i="28" s="1"/>
  <c r="I127" i="28"/>
  <c r="J127" i="28" s="1"/>
  <c r="I128" i="28"/>
  <c r="I119" i="28"/>
  <c r="J119" i="28" s="1"/>
  <c r="J60" i="28"/>
  <c r="J63" i="28"/>
  <c r="J68" i="28"/>
  <c r="J71" i="28"/>
  <c r="J76" i="28"/>
  <c r="J79" i="28"/>
  <c r="J84" i="28"/>
  <c r="J87" i="28"/>
  <c r="J92" i="28"/>
  <c r="J95" i="28"/>
  <c r="J100" i="28"/>
  <c r="J103" i="28"/>
  <c r="J108" i="28"/>
  <c r="J111" i="28"/>
  <c r="I59" i="28"/>
  <c r="J59" i="28" s="1"/>
  <c r="I60" i="28"/>
  <c r="I61" i="28"/>
  <c r="J61" i="28" s="1"/>
  <c r="I62" i="28"/>
  <c r="J62" i="28" s="1"/>
  <c r="I63" i="28"/>
  <c r="I64" i="28"/>
  <c r="J64" i="28" s="1"/>
  <c r="I65" i="28"/>
  <c r="J65" i="28" s="1"/>
  <c r="I66" i="28"/>
  <c r="J66" i="28" s="1"/>
  <c r="I67" i="28"/>
  <c r="J67" i="28" s="1"/>
  <c r="I68" i="28"/>
  <c r="I69" i="28"/>
  <c r="J69" i="28" s="1"/>
  <c r="I70" i="28"/>
  <c r="J70" i="28" s="1"/>
  <c r="I71" i="28"/>
  <c r="I72" i="28"/>
  <c r="J72" i="28" s="1"/>
  <c r="I73" i="28"/>
  <c r="J73" i="28" s="1"/>
  <c r="I74" i="28"/>
  <c r="J74" i="28" s="1"/>
  <c r="I75" i="28"/>
  <c r="J75" i="28" s="1"/>
  <c r="I76" i="28"/>
  <c r="I77" i="28"/>
  <c r="J77" i="28" s="1"/>
  <c r="I78" i="28"/>
  <c r="J78" i="28" s="1"/>
  <c r="I79" i="28"/>
  <c r="I80" i="28"/>
  <c r="J80" i="28" s="1"/>
  <c r="I81" i="28"/>
  <c r="J81" i="28" s="1"/>
  <c r="I82" i="28"/>
  <c r="J82" i="28" s="1"/>
  <c r="I83" i="28"/>
  <c r="J83" i="28" s="1"/>
  <c r="I84" i="28"/>
  <c r="I85" i="28"/>
  <c r="J85" i="28" s="1"/>
  <c r="I86" i="28"/>
  <c r="J86" i="28" s="1"/>
  <c r="I87" i="28"/>
  <c r="I88" i="28"/>
  <c r="J88" i="28" s="1"/>
  <c r="I89" i="28"/>
  <c r="J89" i="28" s="1"/>
  <c r="I90" i="28"/>
  <c r="J90" i="28" s="1"/>
  <c r="I91" i="28"/>
  <c r="J91" i="28" s="1"/>
  <c r="I92" i="28"/>
  <c r="I93" i="28"/>
  <c r="J93" i="28" s="1"/>
  <c r="I94" i="28"/>
  <c r="J94" i="28" s="1"/>
  <c r="I95" i="28"/>
  <c r="I96" i="28"/>
  <c r="J96" i="28" s="1"/>
  <c r="I97" i="28"/>
  <c r="J97" i="28" s="1"/>
  <c r="I98" i="28"/>
  <c r="J98" i="28" s="1"/>
  <c r="I99" i="28"/>
  <c r="J99" i="28" s="1"/>
  <c r="I100" i="28"/>
  <c r="I101" i="28"/>
  <c r="J101" i="28" s="1"/>
  <c r="I102" i="28"/>
  <c r="J102" i="28" s="1"/>
  <c r="I103" i="28"/>
  <c r="I104" i="28"/>
  <c r="J104" i="28" s="1"/>
  <c r="I105" i="28"/>
  <c r="J105" i="28" s="1"/>
  <c r="I106" i="28"/>
  <c r="J106" i="28" s="1"/>
  <c r="I107" i="28"/>
  <c r="J107" i="28" s="1"/>
  <c r="I108" i="28"/>
  <c r="I109" i="28"/>
  <c r="J109" i="28" s="1"/>
  <c r="I110" i="28"/>
  <c r="J110" i="28" s="1"/>
  <c r="I111" i="28"/>
  <c r="I112" i="28"/>
  <c r="J112" i="28" s="1"/>
  <c r="I113" i="28"/>
  <c r="J113" i="28" s="1"/>
  <c r="J58" i="28"/>
  <c r="I58" i="28"/>
  <c r="J50" i="28"/>
  <c r="J53" i="28"/>
  <c r="J54" i="28"/>
  <c r="I49" i="28"/>
  <c r="J49" i="28" s="1"/>
  <c r="I50" i="28"/>
  <c r="I51" i="28"/>
  <c r="J51" i="28" s="1"/>
  <c r="I52" i="28"/>
  <c r="J52" i="28" s="1"/>
  <c r="I53" i="28"/>
  <c r="I54" i="28"/>
  <c r="J48" i="28"/>
  <c r="I48" i="28"/>
  <c r="J37" i="28"/>
  <c r="J40" i="28"/>
  <c r="J41" i="28"/>
  <c r="J45" i="28"/>
  <c r="I34" i="28"/>
  <c r="J34" i="28" s="1"/>
  <c r="I35" i="28"/>
  <c r="J35" i="28" s="1"/>
  <c r="I36" i="28"/>
  <c r="J36" i="28" s="1"/>
  <c r="I37" i="28"/>
  <c r="I38" i="28"/>
  <c r="J38" i="28" s="1"/>
  <c r="I39" i="28"/>
  <c r="J39" i="28" s="1"/>
  <c r="I40" i="28"/>
  <c r="I41" i="28"/>
  <c r="I42" i="28"/>
  <c r="J42" i="28" s="1"/>
  <c r="I43" i="28"/>
  <c r="J43" i="28" s="1"/>
  <c r="I44" i="28"/>
  <c r="J44" i="28" s="1"/>
  <c r="I45" i="28"/>
  <c r="I46" i="28"/>
  <c r="J46" i="28" s="1"/>
  <c r="I33" i="28"/>
  <c r="J33" i="28" s="1"/>
  <c r="I29" i="28"/>
  <c r="J29" i="28" s="1"/>
  <c r="I30" i="28"/>
  <c r="J30" i="28" s="1"/>
  <c r="I28" i="28"/>
  <c r="J28" i="28" s="1"/>
  <c r="J13" i="28"/>
  <c r="J16" i="28"/>
  <c r="J21" i="28"/>
  <c r="J24" i="28"/>
  <c r="I12" i="28"/>
  <c r="J12" i="28" s="1"/>
  <c r="I13" i="28"/>
  <c r="I14" i="28"/>
  <c r="J14" i="28" s="1"/>
  <c r="I15" i="28"/>
  <c r="J15" i="28" s="1"/>
  <c r="I16" i="28"/>
  <c r="I17" i="28"/>
  <c r="J17" i="28" s="1"/>
  <c r="I18" i="28"/>
  <c r="J18" i="28" s="1"/>
  <c r="I19" i="28"/>
  <c r="J19" i="28" s="1"/>
  <c r="I20" i="28"/>
  <c r="J20" i="28" s="1"/>
  <c r="I21" i="28"/>
  <c r="I22" i="28"/>
  <c r="J22" i="28" s="1"/>
  <c r="I23" i="28"/>
  <c r="J23" i="28" s="1"/>
  <c r="I24" i="28"/>
  <c r="I25" i="28"/>
  <c r="J25" i="28" s="1"/>
  <c r="I11" i="28"/>
  <c r="J11" i="28" s="1"/>
  <c r="I159" i="27"/>
  <c r="I160" i="27"/>
  <c r="I161" i="27"/>
  <c r="I162" i="27"/>
  <c r="I163" i="27"/>
  <c r="I164" i="27"/>
  <c r="I165" i="27"/>
  <c r="I166" i="27"/>
  <c r="I167" i="27"/>
  <c r="I168" i="27"/>
  <c r="I169" i="27"/>
  <c r="I170" i="27"/>
  <c r="I171" i="27"/>
  <c r="I172" i="27"/>
  <c r="I158" i="27"/>
  <c r="I133" i="27"/>
  <c r="I134" i="27"/>
  <c r="I135" i="27"/>
  <c r="I136" i="27"/>
  <c r="I137" i="27"/>
  <c r="I138" i="27"/>
  <c r="I139" i="27"/>
  <c r="I140" i="27"/>
  <c r="I141" i="27"/>
  <c r="I142" i="27"/>
  <c r="I143" i="27"/>
  <c r="I144" i="27"/>
  <c r="I145" i="27"/>
  <c r="I146" i="27"/>
  <c r="I147" i="27"/>
  <c r="I148" i="27"/>
  <c r="I149" i="27"/>
  <c r="I150" i="27"/>
  <c r="I151" i="27"/>
  <c r="I152" i="27"/>
  <c r="I153" i="27"/>
  <c r="I154" i="27"/>
  <c r="I132" i="27"/>
  <c r="I119" i="27"/>
  <c r="I120" i="27"/>
  <c r="I121" i="27"/>
  <c r="I122" i="27"/>
  <c r="I123" i="27"/>
  <c r="I124" i="27"/>
  <c r="I125" i="27"/>
  <c r="I126" i="27"/>
  <c r="I127" i="27"/>
  <c r="I128" i="27"/>
  <c r="I59" i="27"/>
  <c r="J59" i="27" s="1"/>
  <c r="I60" i="27"/>
  <c r="J60" i="27" s="1"/>
  <c r="I61" i="27"/>
  <c r="J61" i="27" s="1"/>
  <c r="I62" i="27"/>
  <c r="J62" i="27" s="1"/>
  <c r="I63" i="27"/>
  <c r="J63" i="27" s="1"/>
  <c r="I64" i="27"/>
  <c r="J64" i="27" s="1"/>
  <c r="I65" i="27"/>
  <c r="J65" i="27" s="1"/>
  <c r="I66" i="27"/>
  <c r="J66" i="27" s="1"/>
  <c r="I67" i="27"/>
  <c r="J67" i="27" s="1"/>
  <c r="I68" i="27"/>
  <c r="J68" i="27" s="1"/>
  <c r="I69" i="27"/>
  <c r="J69" i="27" s="1"/>
  <c r="I70" i="27"/>
  <c r="J70" i="27" s="1"/>
  <c r="I71" i="27"/>
  <c r="J71" i="27" s="1"/>
  <c r="I72" i="27"/>
  <c r="J72" i="27" s="1"/>
  <c r="I73" i="27"/>
  <c r="J73" i="27" s="1"/>
  <c r="I74" i="27"/>
  <c r="J74" i="27" s="1"/>
  <c r="I75" i="27"/>
  <c r="J75" i="27" s="1"/>
  <c r="I76" i="27"/>
  <c r="J76" i="27" s="1"/>
  <c r="I77" i="27"/>
  <c r="J77" i="27" s="1"/>
  <c r="I78" i="27"/>
  <c r="J78" i="27" s="1"/>
  <c r="I79" i="27"/>
  <c r="J79" i="27" s="1"/>
  <c r="I80" i="27"/>
  <c r="J80" i="27" s="1"/>
  <c r="I81" i="27"/>
  <c r="J81" i="27" s="1"/>
  <c r="I82" i="27"/>
  <c r="J82" i="27" s="1"/>
  <c r="I83" i="27"/>
  <c r="J83" i="27" s="1"/>
  <c r="I84" i="27"/>
  <c r="J84" i="27" s="1"/>
  <c r="I85" i="27"/>
  <c r="J85" i="27" s="1"/>
  <c r="I86" i="27"/>
  <c r="J86" i="27" s="1"/>
  <c r="I87" i="27"/>
  <c r="J87" i="27" s="1"/>
  <c r="I88" i="27"/>
  <c r="J88" i="27" s="1"/>
  <c r="I89" i="27"/>
  <c r="J89" i="27" s="1"/>
  <c r="I90" i="27"/>
  <c r="J90" i="27" s="1"/>
  <c r="I91" i="27"/>
  <c r="J91" i="27" s="1"/>
  <c r="I92" i="27"/>
  <c r="J92" i="27" s="1"/>
  <c r="I93" i="27"/>
  <c r="J93" i="27" s="1"/>
  <c r="I94" i="27"/>
  <c r="J94" i="27" s="1"/>
  <c r="I95" i="27"/>
  <c r="J95" i="27" s="1"/>
  <c r="I96" i="27"/>
  <c r="J96" i="27" s="1"/>
  <c r="I97" i="27"/>
  <c r="J97" i="27" s="1"/>
  <c r="I98" i="27"/>
  <c r="J98" i="27" s="1"/>
  <c r="I99" i="27"/>
  <c r="J99" i="27" s="1"/>
  <c r="I100" i="27"/>
  <c r="J100" i="27" s="1"/>
  <c r="I101" i="27"/>
  <c r="J101" i="27" s="1"/>
  <c r="I102" i="27"/>
  <c r="J102" i="27" s="1"/>
  <c r="I103" i="27"/>
  <c r="J103" i="27" s="1"/>
  <c r="I104" i="27"/>
  <c r="J104" i="27" s="1"/>
  <c r="I105" i="27"/>
  <c r="J105" i="27" s="1"/>
  <c r="I106" i="27"/>
  <c r="J106" i="27" s="1"/>
  <c r="I107" i="27"/>
  <c r="J107" i="27" s="1"/>
  <c r="I108" i="27"/>
  <c r="J108" i="27" s="1"/>
  <c r="I109" i="27"/>
  <c r="J109" i="27" s="1"/>
  <c r="I110" i="27"/>
  <c r="J110" i="27" s="1"/>
  <c r="I111" i="27"/>
  <c r="J111" i="27" s="1"/>
  <c r="I112" i="27"/>
  <c r="J112" i="27" s="1"/>
  <c r="I113" i="27"/>
  <c r="J113" i="27" s="1"/>
  <c r="I58" i="27"/>
  <c r="J58" i="27" s="1"/>
  <c r="J15" i="27"/>
  <c r="I29" i="27"/>
  <c r="J29" i="27" s="1"/>
  <c r="I30" i="27"/>
  <c r="J30" i="27" s="1"/>
  <c r="I34" i="27"/>
  <c r="J34" i="27" s="1"/>
  <c r="I35" i="27"/>
  <c r="J35" i="27" s="1"/>
  <c r="I36" i="27"/>
  <c r="J36" i="27" s="1"/>
  <c r="I37" i="27"/>
  <c r="J37" i="27" s="1"/>
  <c r="I38" i="27"/>
  <c r="J38" i="27" s="1"/>
  <c r="I39" i="27"/>
  <c r="J39" i="27" s="1"/>
  <c r="I40" i="27"/>
  <c r="J40" i="27" s="1"/>
  <c r="I41" i="27"/>
  <c r="J41" i="27" s="1"/>
  <c r="I42" i="27"/>
  <c r="J42" i="27" s="1"/>
  <c r="I43" i="27"/>
  <c r="J43" i="27" s="1"/>
  <c r="I44" i="27"/>
  <c r="J44" i="27" s="1"/>
  <c r="I45" i="27"/>
  <c r="J45" i="27" s="1"/>
  <c r="I46" i="27"/>
  <c r="J46" i="27" s="1"/>
  <c r="I49" i="27"/>
  <c r="J49" i="27" s="1"/>
  <c r="I50" i="27"/>
  <c r="J50" i="27" s="1"/>
  <c r="I51" i="27"/>
  <c r="J51" i="27" s="1"/>
  <c r="I52" i="27"/>
  <c r="J52" i="27" s="1"/>
  <c r="I53" i="27"/>
  <c r="J53" i="27" s="1"/>
  <c r="I54" i="27"/>
  <c r="J54" i="27" s="1"/>
  <c r="I48" i="27"/>
  <c r="J48" i="27" s="1"/>
  <c r="I33" i="27"/>
  <c r="J33" i="27" s="1"/>
  <c r="I28" i="27"/>
  <c r="J28" i="27" s="1"/>
  <c r="I12" i="27"/>
  <c r="J12" i="27" s="1"/>
  <c r="I13" i="27"/>
  <c r="J13" i="27" s="1"/>
  <c r="I14" i="27"/>
  <c r="J14" i="27" s="1"/>
  <c r="I15" i="27"/>
  <c r="I16" i="27"/>
  <c r="J16" i="27" s="1"/>
  <c r="I17" i="27"/>
  <c r="J17" i="27" s="1"/>
  <c r="I18" i="27"/>
  <c r="J18" i="27" s="1"/>
  <c r="I19" i="27"/>
  <c r="J19" i="27" s="1"/>
  <c r="I20" i="27"/>
  <c r="J20" i="27" s="1"/>
  <c r="I21" i="27"/>
  <c r="J21" i="27" s="1"/>
  <c r="I22" i="27"/>
  <c r="J22" i="27" s="1"/>
  <c r="I23" i="27"/>
  <c r="J23" i="27" s="1"/>
  <c r="I24" i="27"/>
  <c r="J24" i="27" s="1"/>
  <c r="I25" i="27"/>
  <c r="J25" i="27" s="1"/>
  <c r="I11" i="27"/>
  <c r="J11" i="27" s="1"/>
  <c r="K162" i="26"/>
  <c r="K170" i="26"/>
  <c r="J162" i="26"/>
  <c r="J163" i="26"/>
  <c r="K163" i="26" s="1"/>
  <c r="J164" i="26"/>
  <c r="K164" i="26" s="1"/>
  <c r="J170" i="26"/>
  <c r="J171" i="26"/>
  <c r="K171" i="26" s="1"/>
  <c r="J172" i="26"/>
  <c r="K172" i="26" s="1"/>
  <c r="I159" i="26"/>
  <c r="J159" i="26" s="1"/>
  <c r="K159" i="26" s="1"/>
  <c r="I160" i="26"/>
  <c r="J160" i="26" s="1"/>
  <c r="K160" i="26" s="1"/>
  <c r="I161" i="26"/>
  <c r="J161" i="26" s="1"/>
  <c r="K161" i="26" s="1"/>
  <c r="I162" i="26"/>
  <c r="I163" i="26"/>
  <c r="I164" i="26"/>
  <c r="I165" i="26"/>
  <c r="J165" i="26" s="1"/>
  <c r="K165" i="26" s="1"/>
  <c r="I166" i="26"/>
  <c r="J166" i="26" s="1"/>
  <c r="K166" i="26" s="1"/>
  <c r="I167" i="26"/>
  <c r="J167" i="26" s="1"/>
  <c r="K167" i="26" s="1"/>
  <c r="I168" i="26"/>
  <c r="J168" i="26" s="1"/>
  <c r="K168" i="26" s="1"/>
  <c r="I169" i="26"/>
  <c r="J169" i="26" s="1"/>
  <c r="K169" i="26" s="1"/>
  <c r="I170" i="26"/>
  <c r="I171" i="26"/>
  <c r="I172" i="26"/>
  <c r="J158" i="26"/>
  <c r="K158" i="26" s="1"/>
  <c r="I158" i="26"/>
  <c r="K139" i="26"/>
  <c r="K147" i="26"/>
  <c r="J133" i="26"/>
  <c r="K133" i="26" s="1"/>
  <c r="J139" i="26"/>
  <c r="J140" i="26"/>
  <c r="K140" i="26" s="1"/>
  <c r="J141" i="26"/>
  <c r="K141" i="26" s="1"/>
  <c r="J147" i="26"/>
  <c r="J148" i="26"/>
  <c r="K148" i="26" s="1"/>
  <c r="J149" i="26"/>
  <c r="K149" i="26" s="1"/>
  <c r="I133" i="26"/>
  <c r="I134" i="26"/>
  <c r="J134" i="26" s="1"/>
  <c r="K134" i="26" s="1"/>
  <c r="I135" i="26"/>
  <c r="J135" i="26" s="1"/>
  <c r="K135" i="26" s="1"/>
  <c r="I136" i="26"/>
  <c r="J136" i="26" s="1"/>
  <c r="K136" i="26" s="1"/>
  <c r="I137" i="26"/>
  <c r="J137" i="26" s="1"/>
  <c r="K137" i="26" s="1"/>
  <c r="I138" i="26"/>
  <c r="J138" i="26" s="1"/>
  <c r="K138" i="26" s="1"/>
  <c r="I139" i="26"/>
  <c r="I140" i="26"/>
  <c r="I141" i="26"/>
  <c r="I142" i="26"/>
  <c r="J142" i="26" s="1"/>
  <c r="K142" i="26" s="1"/>
  <c r="I143" i="26"/>
  <c r="J143" i="26" s="1"/>
  <c r="K143" i="26" s="1"/>
  <c r="I144" i="26"/>
  <c r="J144" i="26" s="1"/>
  <c r="K144" i="26" s="1"/>
  <c r="I145" i="26"/>
  <c r="J145" i="26" s="1"/>
  <c r="K145" i="26" s="1"/>
  <c r="I146" i="26"/>
  <c r="J146" i="26" s="1"/>
  <c r="K146" i="26" s="1"/>
  <c r="I147" i="26"/>
  <c r="I148" i="26"/>
  <c r="I149" i="26"/>
  <c r="I150" i="26"/>
  <c r="J150" i="26" s="1"/>
  <c r="K150" i="26" s="1"/>
  <c r="I151" i="26"/>
  <c r="J151" i="26" s="1"/>
  <c r="K151" i="26" s="1"/>
  <c r="I152" i="26"/>
  <c r="J152" i="26" s="1"/>
  <c r="K152" i="26" s="1"/>
  <c r="I153" i="26"/>
  <c r="J153" i="26" s="1"/>
  <c r="K153" i="26" s="1"/>
  <c r="I154" i="26"/>
  <c r="J154" i="26" s="1"/>
  <c r="K154" i="26" s="1"/>
  <c r="I132" i="26"/>
  <c r="J132" i="26" s="1"/>
  <c r="K132" i="26" s="1"/>
  <c r="J120" i="26"/>
  <c r="K120" i="26" s="1"/>
  <c r="J122" i="26"/>
  <c r="K122" i="26" s="1"/>
  <c r="J128" i="26"/>
  <c r="K128" i="26" s="1"/>
  <c r="I120" i="26"/>
  <c r="I121" i="26"/>
  <c r="J121" i="26" s="1"/>
  <c r="K121" i="26" s="1"/>
  <c r="I122" i="26"/>
  <c r="I123" i="26"/>
  <c r="J123" i="26" s="1"/>
  <c r="K123" i="26" s="1"/>
  <c r="I124" i="26"/>
  <c r="J124" i="26" s="1"/>
  <c r="K124" i="26" s="1"/>
  <c r="I125" i="26"/>
  <c r="J125" i="26" s="1"/>
  <c r="K125" i="26" s="1"/>
  <c r="I126" i="26"/>
  <c r="J126" i="26" s="1"/>
  <c r="K126" i="26" s="1"/>
  <c r="I127" i="26"/>
  <c r="J127" i="26" s="1"/>
  <c r="K127" i="26" s="1"/>
  <c r="I128" i="26"/>
  <c r="K119" i="26"/>
  <c r="I119" i="26"/>
  <c r="J119" i="26" s="1"/>
  <c r="K78" i="26"/>
  <c r="K80" i="26"/>
  <c r="K96" i="26"/>
  <c r="K112" i="26"/>
  <c r="J62" i="26"/>
  <c r="K62" i="26" s="1"/>
  <c r="J67" i="26"/>
  <c r="K67" i="26" s="1"/>
  <c r="J70" i="26"/>
  <c r="K70" i="26" s="1"/>
  <c r="J78" i="26"/>
  <c r="J79" i="26"/>
  <c r="K79" i="26" s="1"/>
  <c r="J81" i="26"/>
  <c r="K81" i="26" s="1"/>
  <c r="J94" i="26"/>
  <c r="K94" i="26" s="1"/>
  <c r="J95" i="26"/>
  <c r="K95" i="26" s="1"/>
  <c r="J101" i="26"/>
  <c r="K101" i="26" s="1"/>
  <c r="J102" i="26"/>
  <c r="K102" i="26" s="1"/>
  <c r="J103" i="26"/>
  <c r="K103" i="26" s="1"/>
  <c r="J105" i="26"/>
  <c r="K105" i="26" s="1"/>
  <c r="J109" i="26"/>
  <c r="K109" i="26" s="1"/>
  <c r="J111" i="26"/>
  <c r="K111" i="26" s="1"/>
  <c r="I66" i="26"/>
  <c r="J66" i="26" s="1"/>
  <c r="K66" i="26" s="1"/>
  <c r="I67" i="26"/>
  <c r="I68" i="26"/>
  <c r="J68" i="26" s="1"/>
  <c r="K68" i="26" s="1"/>
  <c r="I69" i="26"/>
  <c r="J69" i="26" s="1"/>
  <c r="K69" i="26" s="1"/>
  <c r="I70" i="26"/>
  <c r="I71" i="26"/>
  <c r="J71" i="26" s="1"/>
  <c r="K71" i="26" s="1"/>
  <c r="I72" i="26"/>
  <c r="J72" i="26" s="1"/>
  <c r="K72" i="26" s="1"/>
  <c r="I73" i="26"/>
  <c r="J73" i="26" s="1"/>
  <c r="K73" i="26" s="1"/>
  <c r="I74" i="26"/>
  <c r="J74" i="26" s="1"/>
  <c r="K74" i="26" s="1"/>
  <c r="I75" i="26"/>
  <c r="J75" i="26" s="1"/>
  <c r="K75" i="26" s="1"/>
  <c r="I76" i="26"/>
  <c r="J76" i="26" s="1"/>
  <c r="K76" i="26" s="1"/>
  <c r="I77" i="26"/>
  <c r="J77" i="26" s="1"/>
  <c r="K77" i="26" s="1"/>
  <c r="I78" i="26"/>
  <c r="I79" i="26"/>
  <c r="I80" i="26"/>
  <c r="J80" i="26" s="1"/>
  <c r="I81" i="26"/>
  <c r="I82" i="26"/>
  <c r="J82" i="26" s="1"/>
  <c r="K82" i="26" s="1"/>
  <c r="I83" i="26"/>
  <c r="J83" i="26" s="1"/>
  <c r="K83" i="26" s="1"/>
  <c r="I84" i="26"/>
  <c r="J84" i="26" s="1"/>
  <c r="K84" i="26" s="1"/>
  <c r="I85" i="26"/>
  <c r="J85" i="26" s="1"/>
  <c r="K85" i="26" s="1"/>
  <c r="I86" i="26"/>
  <c r="J86" i="26" s="1"/>
  <c r="K86" i="26" s="1"/>
  <c r="I87" i="26"/>
  <c r="J87" i="26" s="1"/>
  <c r="K87" i="26" s="1"/>
  <c r="I88" i="26"/>
  <c r="J88" i="26" s="1"/>
  <c r="K88" i="26" s="1"/>
  <c r="I89" i="26"/>
  <c r="J89" i="26" s="1"/>
  <c r="K89" i="26" s="1"/>
  <c r="I90" i="26"/>
  <c r="J90" i="26" s="1"/>
  <c r="K90" i="26" s="1"/>
  <c r="I91" i="26"/>
  <c r="J91" i="26" s="1"/>
  <c r="K91" i="26" s="1"/>
  <c r="I92" i="26"/>
  <c r="J92" i="26" s="1"/>
  <c r="K92" i="26" s="1"/>
  <c r="I93" i="26"/>
  <c r="J93" i="26" s="1"/>
  <c r="K93" i="26" s="1"/>
  <c r="I94" i="26"/>
  <c r="I95" i="26"/>
  <c r="I96" i="26"/>
  <c r="J96" i="26" s="1"/>
  <c r="I97" i="26"/>
  <c r="J97" i="26" s="1"/>
  <c r="K97" i="26" s="1"/>
  <c r="I98" i="26"/>
  <c r="J98" i="26" s="1"/>
  <c r="K98" i="26" s="1"/>
  <c r="I99" i="26"/>
  <c r="J99" i="26" s="1"/>
  <c r="K99" i="26" s="1"/>
  <c r="I100" i="26"/>
  <c r="J100" i="26" s="1"/>
  <c r="K100" i="26" s="1"/>
  <c r="I101" i="26"/>
  <c r="I102" i="26"/>
  <c r="I103" i="26"/>
  <c r="I104" i="26"/>
  <c r="J104" i="26" s="1"/>
  <c r="K104" i="26" s="1"/>
  <c r="I105" i="26"/>
  <c r="I106" i="26"/>
  <c r="J106" i="26" s="1"/>
  <c r="K106" i="26" s="1"/>
  <c r="I107" i="26"/>
  <c r="J107" i="26" s="1"/>
  <c r="K107" i="26" s="1"/>
  <c r="I108" i="26"/>
  <c r="J108" i="26" s="1"/>
  <c r="K108" i="26" s="1"/>
  <c r="I109" i="26"/>
  <c r="I110" i="26"/>
  <c r="J110" i="26" s="1"/>
  <c r="K110" i="26" s="1"/>
  <c r="I111" i="26"/>
  <c r="I112" i="26"/>
  <c r="J112" i="26" s="1"/>
  <c r="I113" i="26"/>
  <c r="J113" i="26" s="1"/>
  <c r="K113" i="26" s="1"/>
  <c r="I59" i="26"/>
  <c r="J59" i="26" s="1"/>
  <c r="K59" i="26" s="1"/>
  <c r="I60" i="26"/>
  <c r="J60" i="26" s="1"/>
  <c r="K60" i="26" s="1"/>
  <c r="I61" i="26"/>
  <c r="J61" i="26" s="1"/>
  <c r="K61" i="26" s="1"/>
  <c r="I62" i="26"/>
  <c r="I63" i="26"/>
  <c r="J63" i="26" s="1"/>
  <c r="K63" i="26" s="1"/>
  <c r="I64" i="26"/>
  <c r="J64" i="26" s="1"/>
  <c r="K64" i="26" s="1"/>
  <c r="I65" i="26"/>
  <c r="J65" i="26" s="1"/>
  <c r="K65" i="26" s="1"/>
  <c r="J58" i="26"/>
  <c r="K58" i="26" s="1"/>
  <c r="I58" i="26"/>
  <c r="K53" i="26"/>
  <c r="K54" i="26"/>
  <c r="J49" i="26"/>
  <c r="K49" i="26" s="1"/>
  <c r="J50" i="26"/>
  <c r="K50" i="26" s="1"/>
  <c r="J53" i="26"/>
  <c r="J54" i="26"/>
  <c r="I49" i="26"/>
  <c r="I50" i="26"/>
  <c r="I51" i="26"/>
  <c r="J51" i="26" s="1"/>
  <c r="K51" i="26" s="1"/>
  <c r="I52" i="26"/>
  <c r="J52" i="26" s="1"/>
  <c r="K52" i="26" s="1"/>
  <c r="I53" i="26"/>
  <c r="I54" i="26"/>
  <c r="I48" i="26"/>
  <c r="J48" i="26" s="1"/>
  <c r="K48" i="26" s="1"/>
  <c r="K36" i="26"/>
  <c r="K44" i="26"/>
  <c r="J34" i="26"/>
  <c r="K34" i="26" s="1"/>
  <c r="J36" i="26"/>
  <c r="J38" i="26"/>
  <c r="K38" i="26" s="1"/>
  <c r="J42" i="26"/>
  <c r="K42" i="26" s="1"/>
  <c r="J44" i="26"/>
  <c r="J46" i="26"/>
  <c r="K46" i="26" s="1"/>
  <c r="I34" i="26"/>
  <c r="I35" i="26"/>
  <c r="J35" i="26" s="1"/>
  <c r="K35" i="26" s="1"/>
  <c r="I36" i="26"/>
  <c r="I37" i="26"/>
  <c r="J37" i="26" s="1"/>
  <c r="K37" i="26" s="1"/>
  <c r="I38" i="26"/>
  <c r="I39" i="26"/>
  <c r="J39" i="26" s="1"/>
  <c r="K39" i="26" s="1"/>
  <c r="I40" i="26"/>
  <c r="J40" i="26" s="1"/>
  <c r="K40" i="26" s="1"/>
  <c r="I41" i="26"/>
  <c r="J41" i="26" s="1"/>
  <c r="K41" i="26" s="1"/>
  <c r="I42" i="26"/>
  <c r="I43" i="26"/>
  <c r="J43" i="26" s="1"/>
  <c r="K43" i="26" s="1"/>
  <c r="I44" i="26"/>
  <c r="I45" i="26"/>
  <c r="J45" i="26" s="1"/>
  <c r="K45" i="26" s="1"/>
  <c r="I46" i="26"/>
  <c r="I33" i="26"/>
  <c r="J33" i="26" s="1"/>
  <c r="K33" i="26" s="1"/>
  <c r="I29" i="26"/>
  <c r="J29" i="26" s="1"/>
  <c r="K29" i="26" s="1"/>
  <c r="I30" i="26"/>
  <c r="J30" i="26" s="1"/>
  <c r="K30" i="26" s="1"/>
  <c r="J28" i="26"/>
  <c r="K28" i="26" s="1"/>
  <c r="I28" i="26"/>
  <c r="I12" i="26"/>
  <c r="J12" i="26" s="1"/>
  <c r="K12" i="26" s="1"/>
  <c r="I13" i="26"/>
  <c r="J13" i="26" s="1"/>
  <c r="K13" i="26" s="1"/>
  <c r="I14" i="26"/>
  <c r="J14" i="26" s="1"/>
  <c r="K14" i="26" s="1"/>
  <c r="I15" i="26"/>
  <c r="J15" i="26" s="1"/>
  <c r="K15" i="26" s="1"/>
  <c r="I16" i="26"/>
  <c r="J16" i="26" s="1"/>
  <c r="K16" i="26" s="1"/>
  <c r="I17" i="26"/>
  <c r="J17" i="26" s="1"/>
  <c r="K17" i="26" s="1"/>
  <c r="I18" i="26"/>
  <c r="J18" i="26" s="1"/>
  <c r="K18" i="26" s="1"/>
  <c r="I19" i="26"/>
  <c r="J19" i="26" s="1"/>
  <c r="K19" i="26" s="1"/>
  <c r="I20" i="26"/>
  <c r="J20" i="26" s="1"/>
  <c r="K20" i="26" s="1"/>
  <c r="I21" i="26"/>
  <c r="J21" i="26" s="1"/>
  <c r="K21" i="26" s="1"/>
  <c r="I22" i="26"/>
  <c r="J22" i="26" s="1"/>
  <c r="K22" i="26" s="1"/>
  <c r="I23" i="26"/>
  <c r="J23" i="26" s="1"/>
  <c r="K23" i="26" s="1"/>
  <c r="I24" i="26"/>
  <c r="J24" i="26" s="1"/>
  <c r="K24" i="26" s="1"/>
  <c r="I25" i="26"/>
  <c r="J25" i="26" s="1"/>
  <c r="K25" i="26" s="1"/>
  <c r="I11" i="26"/>
  <c r="J11" i="26" s="1"/>
  <c r="K11" i="26" s="1"/>
  <c r="I117" i="33"/>
  <c r="I47" i="33"/>
  <c r="I32" i="33"/>
  <c r="I31" i="33"/>
  <c r="I30" i="33"/>
  <c r="J30" i="33" s="1"/>
  <c r="I29" i="33"/>
  <c r="J29" i="33" s="1"/>
  <c r="I27" i="33"/>
  <c r="I26" i="33"/>
  <c r="I10" i="33"/>
  <c r="I9" i="33"/>
  <c r="I8" i="33"/>
  <c r="I7" i="33"/>
  <c r="I172" i="32"/>
  <c r="J172" i="32" s="1"/>
  <c r="K172" i="32" s="1"/>
  <c r="L172" i="32" s="1"/>
  <c r="I171" i="32"/>
  <c r="J171" i="32" s="1"/>
  <c r="K171" i="32" s="1"/>
  <c r="L171" i="32" s="1"/>
  <c r="I170" i="32"/>
  <c r="J170" i="32" s="1"/>
  <c r="K170" i="32" s="1"/>
  <c r="L170" i="32" s="1"/>
  <c r="I169" i="32"/>
  <c r="J169" i="32" s="1"/>
  <c r="K169" i="32" s="1"/>
  <c r="L169" i="32" s="1"/>
  <c r="I168" i="32"/>
  <c r="J168" i="32" s="1"/>
  <c r="K168" i="32" s="1"/>
  <c r="L168" i="32" s="1"/>
  <c r="I167" i="32"/>
  <c r="J167" i="32" s="1"/>
  <c r="K167" i="32" s="1"/>
  <c r="L167" i="32" s="1"/>
  <c r="I166" i="32"/>
  <c r="J166" i="32" s="1"/>
  <c r="K166" i="32" s="1"/>
  <c r="L166" i="32" s="1"/>
  <c r="I165" i="32"/>
  <c r="J165" i="32" s="1"/>
  <c r="K165" i="32" s="1"/>
  <c r="L165" i="32" s="1"/>
  <c r="I164" i="32"/>
  <c r="J164" i="32" s="1"/>
  <c r="K164" i="32" s="1"/>
  <c r="L164" i="32" s="1"/>
  <c r="I163" i="32"/>
  <c r="J163" i="32" s="1"/>
  <c r="K163" i="32" s="1"/>
  <c r="L163" i="32" s="1"/>
  <c r="I162" i="32"/>
  <c r="J162" i="32" s="1"/>
  <c r="K162" i="32" s="1"/>
  <c r="L162" i="32" s="1"/>
  <c r="I161" i="32"/>
  <c r="J161" i="32" s="1"/>
  <c r="K161" i="32" s="1"/>
  <c r="L161" i="32" s="1"/>
  <c r="I160" i="32"/>
  <c r="J160" i="32" s="1"/>
  <c r="K160" i="32" s="1"/>
  <c r="L160" i="32" s="1"/>
  <c r="I159" i="32"/>
  <c r="J159" i="32" s="1"/>
  <c r="K159" i="32" s="1"/>
  <c r="L159" i="32" s="1"/>
  <c r="I158" i="32"/>
  <c r="J158" i="32" s="1"/>
  <c r="K158" i="32" s="1"/>
  <c r="L158" i="32" s="1"/>
  <c r="I154" i="32"/>
  <c r="J154" i="32" s="1"/>
  <c r="K154" i="32" s="1"/>
  <c r="L154" i="32" s="1"/>
  <c r="I153" i="32"/>
  <c r="J153" i="32" s="1"/>
  <c r="K153" i="32" s="1"/>
  <c r="L153" i="32" s="1"/>
  <c r="I152" i="32"/>
  <c r="J152" i="32" s="1"/>
  <c r="K152" i="32" s="1"/>
  <c r="L152" i="32" s="1"/>
  <c r="I151" i="32"/>
  <c r="J151" i="32" s="1"/>
  <c r="K151" i="32" s="1"/>
  <c r="L151" i="32" s="1"/>
  <c r="I150" i="32"/>
  <c r="J150" i="32" s="1"/>
  <c r="K150" i="32" s="1"/>
  <c r="L150" i="32" s="1"/>
  <c r="I149" i="32"/>
  <c r="J149" i="32" s="1"/>
  <c r="K149" i="32" s="1"/>
  <c r="L149" i="32" s="1"/>
  <c r="I148" i="32"/>
  <c r="J148" i="32" s="1"/>
  <c r="K148" i="32" s="1"/>
  <c r="L148" i="32" s="1"/>
  <c r="I147" i="32"/>
  <c r="J147" i="32" s="1"/>
  <c r="K147" i="32" s="1"/>
  <c r="L147" i="32" s="1"/>
  <c r="I146" i="32"/>
  <c r="J146" i="32" s="1"/>
  <c r="K146" i="32" s="1"/>
  <c r="L146" i="32" s="1"/>
  <c r="I145" i="32"/>
  <c r="J145" i="32" s="1"/>
  <c r="K145" i="32" s="1"/>
  <c r="L145" i="32" s="1"/>
  <c r="I144" i="32"/>
  <c r="J144" i="32" s="1"/>
  <c r="K144" i="32" s="1"/>
  <c r="L144" i="32" s="1"/>
  <c r="I143" i="32"/>
  <c r="J143" i="32" s="1"/>
  <c r="K143" i="32" s="1"/>
  <c r="L143" i="32" s="1"/>
  <c r="I142" i="32"/>
  <c r="J142" i="32" s="1"/>
  <c r="K142" i="32" s="1"/>
  <c r="L142" i="32" s="1"/>
  <c r="I141" i="32"/>
  <c r="J141" i="32" s="1"/>
  <c r="K141" i="32" s="1"/>
  <c r="L141" i="32" s="1"/>
  <c r="I140" i="32"/>
  <c r="J140" i="32" s="1"/>
  <c r="K140" i="32" s="1"/>
  <c r="L140" i="32" s="1"/>
  <c r="I139" i="32"/>
  <c r="J139" i="32" s="1"/>
  <c r="K139" i="32" s="1"/>
  <c r="L139" i="32" s="1"/>
  <c r="I138" i="32"/>
  <c r="J138" i="32" s="1"/>
  <c r="K138" i="32" s="1"/>
  <c r="L138" i="32" s="1"/>
  <c r="I137" i="32"/>
  <c r="J137" i="32" s="1"/>
  <c r="K137" i="32" s="1"/>
  <c r="L137" i="32" s="1"/>
  <c r="I136" i="32"/>
  <c r="J136" i="32" s="1"/>
  <c r="K136" i="32" s="1"/>
  <c r="L136" i="32" s="1"/>
  <c r="I135" i="32"/>
  <c r="J135" i="32" s="1"/>
  <c r="K135" i="32" s="1"/>
  <c r="L135" i="32" s="1"/>
  <c r="I134" i="32"/>
  <c r="J134" i="32" s="1"/>
  <c r="K134" i="32" s="1"/>
  <c r="L134" i="32" s="1"/>
  <c r="I133" i="32"/>
  <c r="J133" i="32" s="1"/>
  <c r="K133" i="32" s="1"/>
  <c r="L133" i="32" s="1"/>
  <c r="I132" i="32"/>
  <c r="J132" i="32" s="1"/>
  <c r="K132" i="32" s="1"/>
  <c r="L132" i="32" s="1"/>
  <c r="I117" i="32"/>
  <c r="I47" i="32"/>
  <c r="I32" i="32"/>
  <c r="I31" i="32"/>
  <c r="I27" i="32"/>
  <c r="I26" i="32"/>
  <c r="I10" i="32"/>
  <c r="I9" i="32"/>
  <c r="I8" i="32"/>
  <c r="I7" i="32"/>
  <c r="I117" i="31"/>
  <c r="I47" i="31"/>
  <c r="I32" i="31"/>
  <c r="I31" i="31"/>
  <c r="I27" i="31"/>
  <c r="I26" i="31"/>
  <c r="I10" i="31"/>
  <c r="I9" i="31"/>
  <c r="I8" i="31"/>
  <c r="I7" i="31"/>
  <c r="I117" i="29"/>
  <c r="I47" i="29"/>
  <c r="I32" i="29"/>
  <c r="I31" i="29"/>
  <c r="I27" i="29"/>
  <c r="I26" i="29"/>
  <c r="I10" i="29"/>
  <c r="I9" i="29"/>
  <c r="I8" i="29"/>
  <c r="I117" i="28"/>
  <c r="I47" i="28"/>
  <c r="I32" i="28"/>
  <c r="I31" i="28"/>
  <c r="I27" i="28"/>
  <c r="I26" i="28"/>
  <c r="I10" i="28"/>
  <c r="I9" i="28"/>
  <c r="I8" i="28"/>
  <c r="I7" i="28"/>
  <c r="I117" i="27"/>
  <c r="I47" i="27"/>
  <c r="I32" i="27"/>
  <c r="I31" i="27"/>
  <c r="I27" i="27"/>
  <c r="I26" i="27"/>
  <c r="I10" i="27"/>
  <c r="I9" i="27"/>
  <c r="I8" i="27"/>
  <c r="I7" i="27"/>
  <c r="I117" i="26"/>
  <c r="I47" i="26"/>
  <c r="I32" i="26"/>
  <c r="I31" i="26"/>
  <c r="I27" i="26"/>
  <c r="I26" i="26"/>
  <c r="I10" i="26"/>
  <c r="I9" i="26"/>
  <c r="I8" i="26"/>
  <c r="I7" i="26"/>
  <c r="J13" i="25"/>
  <c r="J16" i="25"/>
  <c r="J17" i="25"/>
  <c r="J21" i="25"/>
  <c r="J24" i="25"/>
  <c r="J25" i="25"/>
  <c r="J29" i="25"/>
  <c r="J32" i="25"/>
  <c r="J33" i="25"/>
  <c r="J37" i="25"/>
  <c r="J40" i="25"/>
  <c r="J41" i="25"/>
  <c r="J45" i="25"/>
  <c r="J48" i="25"/>
  <c r="J49" i="25"/>
  <c r="J53" i="25"/>
  <c r="J59" i="25"/>
  <c r="J60" i="25"/>
  <c r="J64" i="25"/>
  <c r="J67" i="25"/>
  <c r="J68" i="25"/>
  <c r="J72" i="25"/>
  <c r="J75" i="25"/>
  <c r="J76" i="25"/>
  <c r="J80" i="25"/>
  <c r="J83" i="25"/>
  <c r="J84" i="25"/>
  <c r="J88" i="25"/>
  <c r="J91" i="25"/>
  <c r="J92" i="25"/>
  <c r="J96" i="25"/>
  <c r="J99" i="25"/>
  <c r="J100" i="25"/>
  <c r="J104" i="25"/>
  <c r="J107" i="25"/>
  <c r="J108" i="25"/>
  <c r="J112" i="25"/>
  <c r="J119" i="25"/>
  <c r="J120" i="25"/>
  <c r="J126" i="25"/>
  <c r="J127" i="25"/>
  <c r="J128" i="25"/>
  <c r="J137" i="25"/>
  <c r="J138" i="25"/>
  <c r="J139" i="25"/>
  <c r="J145" i="25"/>
  <c r="J146" i="25"/>
  <c r="J147" i="25"/>
  <c r="J153" i="25"/>
  <c r="J154" i="25"/>
  <c r="J158" i="25"/>
  <c r="J164" i="25"/>
  <c r="J165" i="25"/>
  <c r="J166" i="25"/>
  <c r="J172" i="25"/>
  <c r="J173" i="25"/>
  <c r="J174" i="25"/>
  <c r="I174" i="25"/>
  <c r="I173" i="25"/>
  <c r="I172" i="25"/>
  <c r="I171" i="25"/>
  <c r="J171" i="25" s="1"/>
  <c r="I170" i="25"/>
  <c r="J170" i="25" s="1"/>
  <c r="I169" i="25"/>
  <c r="J169" i="25" s="1"/>
  <c r="I168" i="25"/>
  <c r="J168" i="25" s="1"/>
  <c r="I167" i="25"/>
  <c r="J167" i="25" s="1"/>
  <c r="I166" i="25"/>
  <c r="I165" i="25"/>
  <c r="I164" i="25"/>
  <c r="I163" i="25"/>
  <c r="J163" i="25" s="1"/>
  <c r="I162" i="25"/>
  <c r="J162" i="25" s="1"/>
  <c r="I161" i="25"/>
  <c r="J161" i="25" s="1"/>
  <c r="I160" i="25"/>
  <c r="J160" i="25" s="1"/>
  <c r="I159" i="25"/>
  <c r="J159" i="25" s="1"/>
  <c r="I158" i="25"/>
  <c r="I154" i="25"/>
  <c r="I153" i="25"/>
  <c r="I152" i="25"/>
  <c r="J152" i="25" s="1"/>
  <c r="I151" i="25"/>
  <c r="J151" i="25" s="1"/>
  <c r="I150" i="25"/>
  <c r="J150" i="25" s="1"/>
  <c r="I149" i="25"/>
  <c r="J149" i="25" s="1"/>
  <c r="I148" i="25"/>
  <c r="J148" i="25" s="1"/>
  <c r="I147" i="25"/>
  <c r="I146" i="25"/>
  <c r="I145" i="25"/>
  <c r="I144" i="25"/>
  <c r="J144" i="25" s="1"/>
  <c r="I143" i="25"/>
  <c r="J143" i="25" s="1"/>
  <c r="I142" i="25"/>
  <c r="J142" i="25" s="1"/>
  <c r="I141" i="25"/>
  <c r="J141" i="25" s="1"/>
  <c r="I140" i="25"/>
  <c r="J140" i="25" s="1"/>
  <c r="I139" i="25"/>
  <c r="I138" i="25"/>
  <c r="I137" i="25"/>
  <c r="I136" i="25"/>
  <c r="J136" i="25" s="1"/>
  <c r="I135" i="25"/>
  <c r="J135" i="25" s="1"/>
  <c r="I134" i="25"/>
  <c r="J134" i="25" s="1"/>
  <c r="I133" i="25"/>
  <c r="J133" i="25" s="1"/>
  <c r="I132" i="25"/>
  <c r="J132" i="25" s="1"/>
  <c r="I128" i="25"/>
  <c r="I127" i="25"/>
  <c r="I126" i="25"/>
  <c r="I125" i="25"/>
  <c r="J125" i="25" s="1"/>
  <c r="I124" i="25"/>
  <c r="J124" i="25" s="1"/>
  <c r="I123" i="25"/>
  <c r="J123" i="25" s="1"/>
  <c r="I122" i="25"/>
  <c r="J122" i="25" s="1"/>
  <c r="I121" i="25"/>
  <c r="J121" i="25" s="1"/>
  <c r="I120" i="25"/>
  <c r="I119" i="25"/>
  <c r="I117" i="25"/>
  <c r="I113" i="25"/>
  <c r="J113" i="25" s="1"/>
  <c r="I112" i="25"/>
  <c r="I111" i="25"/>
  <c r="J111" i="25" s="1"/>
  <c r="I110" i="25"/>
  <c r="J110" i="25" s="1"/>
  <c r="I109" i="25"/>
  <c r="J109" i="25" s="1"/>
  <c r="I108" i="25"/>
  <c r="I107" i="25"/>
  <c r="I106" i="25"/>
  <c r="J106" i="25" s="1"/>
  <c r="I105" i="25"/>
  <c r="J105" i="25" s="1"/>
  <c r="I104" i="25"/>
  <c r="I103" i="25"/>
  <c r="J103" i="25" s="1"/>
  <c r="I102" i="25"/>
  <c r="J102" i="25" s="1"/>
  <c r="I101" i="25"/>
  <c r="J101" i="25" s="1"/>
  <c r="I100" i="25"/>
  <c r="I99" i="25"/>
  <c r="I98" i="25"/>
  <c r="J98" i="25" s="1"/>
  <c r="I97" i="25"/>
  <c r="J97" i="25" s="1"/>
  <c r="I96" i="25"/>
  <c r="I95" i="25"/>
  <c r="J95" i="25" s="1"/>
  <c r="I94" i="25"/>
  <c r="J94" i="25" s="1"/>
  <c r="I93" i="25"/>
  <c r="J93" i="25" s="1"/>
  <c r="I92" i="25"/>
  <c r="I91" i="25"/>
  <c r="I90" i="25"/>
  <c r="J90" i="25" s="1"/>
  <c r="I89" i="25"/>
  <c r="J89" i="25" s="1"/>
  <c r="I88" i="25"/>
  <c r="I87" i="25"/>
  <c r="J87" i="25" s="1"/>
  <c r="I86" i="25"/>
  <c r="J86" i="25" s="1"/>
  <c r="I85" i="25"/>
  <c r="J85" i="25" s="1"/>
  <c r="I84" i="25"/>
  <c r="I83" i="25"/>
  <c r="I82" i="25"/>
  <c r="J82" i="25" s="1"/>
  <c r="I81" i="25"/>
  <c r="J81" i="25" s="1"/>
  <c r="I80" i="25"/>
  <c r="I79" i="25"/>
  <c r="J79" i="25" s="1"/>
  <c r="I78" i="25"/>
  <c r="J78" i="25" s="1"/>
  <c r="I77" i="25"/>
  <c r="J77" i="25" s="1"/>
  <c r="I76" i="25"/>
  <c r="I75" i="25"/>
  <c r="I74" i="25"/>
  <c r="J74" i="25" s="1"/>
  <c r="I73" i="25"/>
  <c r="J73" i="25" s="1"/>
  <c r="I72" i="25"/>
  <c r="I71" i="25"/>
  <c r="J71" i="25" s="1"/>
  <c r="I70" i="25"/>
  <c r="J70" i="25" s="1"/>
  <c r="I69" i="25"/>
  <c r="J69" i="25" s="1"/>
  <c r="I68" i="25"/>
  <c r="I67" i="25"/>
  <c r="I66" i="25"/>
  <c r="J66" i="25" s="1"/>
  <c r="I65" i="25"/>
  <c r="J65" i="25" s="1"/>
  <c r="I64" i="25"/>
  <c r="I63" i="25"/>
  <c r="J63" i="25" s="1"/>
  <c r="I62" i="25"/>
  <c r="J62" i="25" s="1"/>
  <c r="I61" i="25"/>
  <c r="J61" i="25" s="1"/>
  <c r="I60" i="25"/>
  <c r="I59" i="25"/>
  <c r="I58" i="25"/>
  <c r="J58" i="25" s="1"/>
  <c r="I54" i="25"/>
  <c r="J54" i="25" s="1"/>
  <c r="I53" i="25"/>
  <c r="I52" i="25"/>
  <c r="J52" i="25" s="1"/>
  <c r="I51" i="25"/>
  <c r="J51" i="25" s="1"/>
  <c r="I50" i="25"/>
  <c r="J50" i="25" s="1"/>
  <c r="I49" i="25"/>
  <c r="I48" i="25"/>
  <c r="I47" i="25"/>
  <c r="J47" i="25" s="1"/>
  <c r="I46" i="25"/>
  <c r="J46" i="25" s="1"/>
  <c r="I45" i="25"/>
  <c r="I44" i="25"/>
  <c r="J44" i="25" s="1"/>
  <c r="I43" i="25"/>
  <c r="J43" i="25" s="1"/>
  <c r="I42" i="25"/>
  <c r="J42" i="25" s="1"/>
  <c r="I41" i="25"/>
  <c r="I40" i="25"/>
  <c r="I39" i="25"/>
  <c r="J39" i="25" s="1"/>
  <c r="I38" i="25"/>
  <c r="J38" i="25" s="1"/>
  <c r="I37" i="25"/>
  <c r="I36" i="25"/>
  <c r="J36" i="25" s="1"/>
  <c r="I35" i="25"/>
  <c r="J35" i="25" s="1"/>
  <c r="I34" i="25"/>
  <c r="J34" i="25" s="1"/>
  <c r="I33" i="25"/>
  <c r="I32" i="25"/>
  <c r="I31" i="25"/>
  <c r="J31" i="25" s="1"/>
  <c r="I30" i="25"/>
  <c r="J30" i="25" s="1"/>
  <c r="I29" i="25"/>
  <c r="I28" i="25"/>
  <c r="J28" i="25" s="1"/>
  <c r="I27" i="25"/>
  <c r="J27" i="25" s="1"/>
  <c r="I26" i="25"/>
  <c r="J26" i="25" s="1"/>
  <c r="I25" i="25"/>
  <c r="I24" i="25"/>
  <c r="I23" i="25"/>
  <c r="J23" i="25" s="1"/>
  <c r="I22" i="25"/>
  <c r="J22" i="25" s="1"/>
  <c r="I21" i="25"/>
  <c r="I20" i="25"/>
  <c r="J20" i="25" s="1"/>
  <c r="I19" i="25"/>
  <c r="J19" i="25" s="1"/>
  <c r="I18" i="25"/>
  <c r="J18" i="25" s="1"/>
  <c r="I17" i="25"/>
  <c r="I16" i="25"/>
  <c r="I15" i="25"/>
  <c r="J15" i="25" s="1"/>
  <c r="I14" i="25"/>
  <c r="J14" i="25" s="1"/>
  <c r="I13" i="25"/>
  <c r="I12" i="25"/>
  <c r="J12" i="25" s="1"/>
  <c r="I11" i="25"/>
  <c r="J11" i="25" s="1"/>
  <c r="I10" i="25"/>
  <c r="I9" i="25"/>
  <c r="I8" i="25"/>
  <c r="I7" i="25"/>
  <c r="K172" i="24"/>
  <c r="L172" i="24" s="1"/>
  <c r="J172" i="24"/>
  <c r="I172" i="24"/>
  <c r="K171" i="24"/>
  <c r="L171" i="24" s="1"/>
  <c r="J171" i="24"/>
  <c r="I171" i="24"/>
  <c r="I170" i="24"/>
  <c r="J170" i="24" s="1"/>
  <c r="K170" i="24" s="1"/>
  <c r="L170" i="24" s="1"/>
  <c r="I169" i="24"/>
  <c r="J169" i="24" s="1"/>
  <c r="K169" i="24" s="1"/>
  <c r="L169" i="24" s="1"/>
  <c r="K168" i="24"/>
  <c r="L168" i="24" s="1"/>
  <c r="J168" i="24"/>
  <c r="I168" i="24"/>
  <c r="J167" i="24"/>
  <c r="K167" i="24" s="1"/>
  <c r="L167" i="24" s="1"/>
  <c r="I167" i="24"/>
  <c r="J166" i="24"/>
  <c r="K166" i="24" s="1"/>
  <c r="L166" i="24" s="1"/>
  <c r="I166" i="24"/>
  <c r="I165" i="24"/>
  <c r="J165" i="24" s="1"/>
  <c r="K165" i="24" s="1"/>
  <c r="L165" i="24" s="1"/>
  <c r="K164" i="24"/>
  <c r="L164" i="24" s="1"/>
  <c r="J164" i="24"/>
  <c r="I164" i="24"/>
  <c r="K163" i="24"/>
  <c r="L163" i="24" s="1"/>
  <c r="J163" i="24"/>
  <c r="I163" i="24"/>
  <c r="I162" i="24"/>
  <c r="J162" i="24" s="1"/>
  <c r="K162" i="24" s="1"/>
  <c r="L162" i="24" s="1"/>
  <c r="I161" i="24"/>
  <c r="J161" i="24" s="1"/>
  <c r="K161" i="24" s="1"/>
  <c r="L161" i="24" s="1"/>
  <c r="I160" i="24"/>
  <c r="J160" i="24" s="1"/>
  <c r="K160" i="24" s="1"/>
  <c r="L160" i="24" s="1"/>
  <c r="J159" i="24"/>
  <c r="K159" i="24" s="1"/>
  <c r="L159" i="24" s="1"/>
  <c r="I159" i="24"/>
  <c r="J158" i="24"/>
  <c r="K158" i="24" s="1"/>
  <c r="L158" i="24" s="1"/>
  <c r="I158" i="24"/>
  <c r="I154" i="24"/>
  <c r="J154" i="24" s="1"/>
  <c r="K154" i="24" s="1"/>
  <c r="L154" i="24" s="1"/>
  <c r="K153" i="24"/>
  <c r="L153" i="24" s="1"/>
  <c r="J153" i="24"/>
  <c r="I153" i="24"/>
  <c r="K152" i="24"/>
  <c r="L152" i="24" s="1"/>
  <c r="J152" i="24"/>
  <c r="I152" i="24"/>
  <c r="I151" i="24"/>
  <c r="J151" i="24" s="1"/>
  <c r="K151" i="24" s="1"/>
  <c r="L151" i="24" s="1"/>
  <c r="I150" i="24"/>
  <c r="J150" i="24" s="1"/>
  <c r="K150" i="24" s="1"/>
  <c r="L150" i="24" s="1"/>
  <c r="I149" i="24"/>
  <c r="J149" i="24" s="1"/>
  <c r="K149" i="24" s="1"/>
  <c r="L149" i="24" s="1"/>
  <c r="J148" i="24"/>
  <c r="K148" i="24" s="1"/>
  <c r="L148" i="24" s="1"/>
  <c r="I148" i="24"/>
  <c r="J147" i="24"/>
  <c r="K147" i="24" s="1"/>
  <c r="L147" i="24" s="1"/>
  <c r="I147" i="24"/>
  <c r="I146" i="24"/>
  <c r="J146" i="24" s="1"/>
  <c r="K146" i="24" s="1"/>
  <c r="L146" i="24" s="1"/>
  <c r="K145" i="24"/>
  <c r="L145" i="24" s="1"/>
  <c r="J145" i="24"/>
  <c r="I145" i="24"/>
  <c r="K144" i="24"/>
  <c r="L144" i="24" s="1"/>
  <c r="J144" i="24"/>
  <c r="I144" i="24"/>
  <c r="I143" i="24"/>
  <c r="J143" i="24" s="1"/>
  <c r="K143" i="24" s="1"/>
  <c r="L143" i="24" s="1"/>
  <c r="I142" i="24"/>
  <c r="J142" i="24" s="1"/>
  <c r="K142" i="24" s="1"/>
  <c r="L142" i="24" s="1"/>
  <c r="I141" i="24"/>
  <c r="J141" i="24" s="1"/>
  <c r="K141" i="24" s="1"/>
  <c r="L141" i="24" s="1"/>
  <c r="J140" i="24"/>
  <c r="K140" i="24" s="1"/>
  <c r="L140" i="24" s="1"/>
  <c r="I140" i="24"/>
  <c r="J139" i="24"/>
  <c r="K139" i="24" s="1"/>
  <c r="L139" i="24" s="1"/>
  <c r="I139" i="24"/>
  <c r="I138" i="24"/>
  <c r="J138" i="24" s="1"/>
  <c r="K138" i="24" s="1"/>
  <c r="L138" i="24" s="1"/>
  <c r="K137" i="24"/>
  <c r="L137" i="24" s="1"/>
  <c r="J137" i="24"/>
  <c r="I137" i="24"/>
  <c r="K136" i="24"/>
  <c r="L136" i="24" s="1"/>
  <c r="J136" i="24"/>
  <c r="I136" i="24"/>
  <c r="I135" i="24"/>
  <c r="J135" i="24" s="1"/>
  <c r="K135" i="24" s="1"/>
  <c r="L135" i="24" s="1"/>
  <c r="I134" i="24"/>
  <c r="J134" i="24" s="1"/>
  <c r="K134" i="24" s="1"/>
  <c r="L134" i="24" s="1"/>
  <c r="I133" i="24"/>
  <c r="J133" i="24" s="1"/>
  <c r="K133" i="24" s="1"/>
  <c r="L133" i="24" s="1"/>
  <c r="J132" i="24"/>
  <c r="K132" i="24" s="1"/>
  <c r="L132" i="24" s="1"/>
  <c r="I132" i="24"/>
  <c r="J128" i="24"/>
  <c r="K128" i="24" s="1"/>
  <c r="L128" i="24" s="1"/>
  <c r="I128" i="24"/>
  <c r="I127" i="24"/>
  <c r="J127" i="24" s="1"/>
  <c r="K127" i="24" s="1"/>
  <c r="L127" i="24" s="1"/>
  <c r="K126" i="24"/>
  <c r="L126" i="24" s="1"/>
  <c r="J126" i="24"/>
  <c r="I126" i="24"/>
  <c r="K125" i="24"/>
  <c r="L125" i="24" s="1"/>
  <c r="J125" i="24"/>
  <c r="I125" i="24"/>
  <c r="I124" i="24"/>
  <c r="J124" i="24" s="1"/>
  <c r="K124" i="24" s="1"/>
  <c r="L124" i="24" s="1"/>
  <c r="I123" i="24"/>
  <c r="J123" i="24" s="1"/>
  <c r="K123" i="24" s="1"/>
  <c r="L123" i="24" s="1"/>
  <c r="I122" i="24"/>
  <c r="J122" i="24" s="1"/>
  <c r="K122" i="24" s="1"/>
  <c r="L122" i="24" s="1"/>
  <c r="J121" i="24"/>
  <c r="K121" i="24" s="1"/>
  <c r="L121" i="24" s="1"/>
  <c r="I121" i="24"/>
  <c r="J120" i="24"/>
  <c r="K120" i="24" s="1"/>
  <c r="L120" i="24" s="1"/>
  <c r="I120" i="24"/>
  <c r="I119" i="24"/>
  <c r="J119" i="24" s="1"/>
  <c r="K119" i="24" s="1"/>
  <c r="L119" i="24" s="1"/>
  <c r="K113" i="24"/>
  <c r="L113" i="24" s="1"/>
  <c r="J113" i="24"/>
  <c r="I113" i="24"/>
  <c r="K112" i="24"/>
  <c r="L112" i="24" s="1"/>
  <c r="J112" i="24"/>
  <c r="I112" i="24"/>
  <c r="I111" i="24"/>
  <c r="J111" i="24" s="1"/>
  <c r="K111" i="24" s="1"/>
  <c r="L111" i="24" s="1"/>
  <c r="I110" i="24"/>
  <c r="J110" i="24" s="1"/>
  <c r="K110" i="24" s="1"/>
  <c r="L110" i="24" s="1"/>
  <c r="I109" i="24"/>
  <c r="J109" i="24" s="1"/>
  <c r="K109" i="24" s="1"/>
  <c r="L109" i="24" s="1"/>
  <c r="J108" i="24"/>
  <c r="K108" i="24" s="1"/>
  <c r="L108" i="24" s="1"/>
  <c r="I108" i="24"/>
  <c r="J107" i="24"/>
  <c r="K107" i="24" s="1"/>
  <c r="L107" i="24" s="1"/>
  <c r="I107" i="24"/>
  <c r="I106" i="24"/>
  <c r="J106" i="24" s="1"/>
  <c r="K106" i="24" s="1"/>
  <c r="L106" i="24" s="1"/>
  <c r="K105" i="24"/>
  <c r="L105" i="24" s="1"/>
  <c r="J105" i="24"/>
  <c r="I105" i="24"/>
  <c r="K104" i="24"/>
  <c r="L104" i="24" s="1"/>
  <c r="J104" i="24"/>
  <c r="I104" i="24"/>
  <c r="I103" i="24"/>
  <c r="J103" i="24" s="1"/>
  <c r="K103" i="24" s="1"/>
  <c r="L103" i="24" s="1"/>
  <c r="I102" i="24"/>
  <c r="J102" i="24" s="1"/>
  <c r="K102" i="24" s="1"/>
  <c r="L102" i="24" s="1"/>
  <c r="I101" i="24"/>
  <c r="J101" i="24" s="1"/>
  <c r="K101" i="24" s="1"/>
  <c r="L101" i="24" s="1"/>
  <c r="J100" i="24"/>
  <c r="K100" i="24" s="1"/>
  <c r="L100" i="24" s="1"/>
  <c r="I100" i="24"/>
  <c r="J99" i="24"/>
  <c r="K99" i="24" s="1"/>
  <c r="L99" i="24" s="1"/>
  <c r="I99" i="24"/>
  <c r="I98" i="24"/>
  <c r="J98" i="24" s="1"/>
  <c r="K98" i="24" s="1"/>
  <c r="L98" i="24" s="1"/>
  <c r="K97" i="24"/>
  <c r="L97" i="24" s="1"/>
  <c r="J97" i="24"/>
  <c r="I97" i="24"/>
  <c r="K96" i="24"/>
  <c r="L96" i="24" s="1"/>
  <c r="J96" i="24"/>
  <c r="I96" i="24"/>
  <c r="I95" i="24"/>
  <c r="J95" i="24" s="1"/>
  <c r="K95" i="24" s="1"/>
  <c r="L95" i="24" s="1"/>
  <c r="I94" i="24"/>
  <c r="J94" i="24" s="1"/>
  <c r="K94" i="24" s="1"/>
  <c r="L94" i="24" s="1"/>
  <c r="I93" i="24"/>
  <c r="J93" i="24" s="1"/>
  <c r="K93" i="24" s="1"/>
  <c r="L93" i="24" s="1"/>
  <c r="J92" i="24"/>
  <c r="K92" i="24" s="1"/>
  <c r="L92" i="24" s="1"/>
  <c r="I92" i="24"/>
  <c r="J91" i="24"/>
  <c r="K91" i="24" s="1"/>
  <c r="L91" i="24" s="1"/>
  <c r="I91" i="24"/>
  <c r="I90" i="24"/>
  <c r="J90" i="24" s="1"/>
  <c r="K90" i="24" s="1"/>
  <c r="L90" i="24" s="1"/>
  <c r="K89" i="24"/>
  <c r="L89" i="24" s="1"/>
  <c r="J89" i="24"/>
  <c r="I89" i="24"/>
  <c r="K88" i="24"/>
  <c r="L88" i="24" s="1"/>
  <c r="J88" i="24"/>
  <c r="I88" i="24"/>
  <c r="I87" i="24"/>
  <c r="J87" i="24" s="1"/>
  <c r="K87" i="24" s="1"/>
  <c r="L87" i="24" s="1"/>
  <c r="I86" i="24"/>
  <c r="J86" i="24" s="1"/>
  <c r="K86" i="24" s="1"/>
  <c r="L86" i="24" s="1"/>
  <c r="I85" i="24"/>
  <c r="J85" i="24" s="1"/>
  <c r="K85" i="24" s="1"/>
  <c r="L85" i="24" s="1"/>
  <c r="J84" i="24"/>
  <c r="K84" i="24" s="1"/>
  <c r="L84" i="24" s="1"/>
  <c r="I84" i="24"/>
  <c r="J83" i="24"/>
  <c r="K83" i="24" s="1"/>
  <c r="L83" i="24" s="1"/>
  <c r="I83" i="24"/>
  <c r="I82" i="24"/>
  <c r="J82" i="24" s="1"/>
  <c r="K82" i="24" s="1"/>
  <c r="L82" i="24" s="1"/>
  <c r="K81" i="24"/>
  <c r="L81" i="24" s="1"/>
  <c r="J81" i="24"/>
  <c r="I81" i="24"/>
  <c r="K80" i="24"/>
  <c r="L80" i="24" s="1"/>
  <c r="J80" i="24"/>
  <c r="I80" i="24"/>
  <c r="I79" i="24"/>
  <c r="J79" i="24" s="1"/>
  <c r="K79" i="24" s="1"/>
  <c r="L79" i="24" s="1"/>
  <c r="I78" i="24"/>
  <c r="J78" i="24" s="1"/>
  <c r="K78" i="24" s="1"/>
  <c r="L78" i="24" s="1"/>
  <c r="I77" i="24"/>
  <c r="J77" i="24" s="1"/>
  <c r="K77" i="24" s="1"/>
  <c r="L77" i="24" s="1"/>
  <c r="J76" i="24"/>
  <c r="K76" i="24" s="1"/>
  <c r="L76" i="24" s="1"/>
  <c r="I76" i="24"/>
  <c r="J75" i="24"/>
  <c r="K75" i="24" s="1"/>
  <c r="L75" i="24" s="1"/>
  <c r="I75" i="24"/>
  <c r="I74" i="24"/>
  <c r="J74" i="24" s="1"/>
  <c r="K74" i="24" s="1"/>
  <c r="L74" i="24" s="1"/>
  <c r="K73" i="24"/>
  <c r="L73" i="24" s="1"/>
  <c r="J73" i="24"/>
  <c r="I73" i="24"/>
  <c r="K72" i="24"/>
  <c r="L72" i="24" s="1"/>
  <c r="J72" i="24"/>
  <c r="I72" i="24"/>
  <c r="I71" i="24"/>
  <c r="J71" i="24" s="1"/>
  <c r="K71" i="24" s="1"/>
  <c r="L71" i="24" s="1"/>
  <c r="I70" i="24"/>
  <c r="J70" i="24" s="1"/>
  <c r="K70" i="24" s="1"/>
  <c r="L70" i="24" s="1"/>
  <c r="I69" i="24"/>
  <c r="J69" i="24" s="1"/>
  <c r="K69" i="24" s="1"/>
  <c r="L69" i="24" s="1"/>
  <c r="J68" i="24"/>
  <c r="K68" i="24" s="1"/>
  <c r="L68" i="24" s="1"/>
  <c r="I68" i="24"/>
  <c r="J67" i="24"/>
  <c r="K67" i="24" s="1"/>
  <c r="L67" i="24" s="1"/>
  <c r="I67" i="24"/>
  <c r="I66" i="24"/>
  <c r="J66" i="24" s="1"/>
  <c r="K66" i="24" s="1"/>
  <c r="L66" i="24" s="1"/>
  <c r="K65" i="24"/>
  <c r="L65" i="24" s="1"/>
  <c r="J65" i="24"/>
  <c r="I65" i="24"/>
  <c r="K64" i="24"/>
  <c r="L64" i="24" s="1"/>
  <c r="J64" i="24"/>
  <c r="I64" i="24"/>
  <c r="I63" i="24"/>
  <c r="J63" i="24" s="1"/>
  <c r="K63" i="24" s="1"/>
  <c r="L63" i="24" s="1"/>
  <c r="I62" i="24"/>
  <c r="J62" i="24" s="1"/>
  <c r="K62" i="24" s="1"/>
  <c r="L62" i="24" s="1"/>
  <c r="I61" i="24"/>
  <c r="J61" i="24" s="1"/>
  <c r="K61" i="24" s="1"/>
  <c r="L61" i="24" s="1"/>
  <c r="J60" i="24"/>
  <c r="K60" i="24" s="1"/>
  <c r="L60" i="24" s="1"/>
  <c r="I60" i="24"/>
  <c r="J59" i="24"/>
  <c r="K59" i="24" s="1"/>
  <c r="L59" i="24" s="1"/>
  <c r="I59" i="24"/>
  <c r="I58" i="24"/>
  <c r="J58" i="24" s="1"/>
  <c r="K58" i="24" s="1"/>
  <c r="L58" i="24" s="1"/>
  <c r="K54" i="24"/>
  <c r="L54" i="24" s="1"/>
  <c r="J54" i="24"/>
  <c r="I54" i="24"/>
  <c r="K53" i="24"/>
  <c r="L53" i="24" s="1"/>
  <c r="J53" i="24"/>
  <c r="I53" i="24"/>
  <c r="I52" i="24"/>
  <c r="J52" i="24" s="1"/>
  <c r="K52" i="24" s="1"/>
  <c r="L52" i="24" s="1"/>
  <c r="I51" i="24"/>
  <c r="J51" i="24" s="1"/>
  <c r="K51" i="24" s="1"/>
  <c r="L51" i="24" s="1"/>
  <c r="I50" i="24"/>
  <c r="J50" i="24" s="1"/>
  <c r="K50" i="24" s="1"/>
  <c r="L50" i="24" s="1"/>
  <c r="J49" i="24"/>
  <c r="K49" i="24" s="1"/>
  <c r="L49" i="24" s="1"/>
  <c r="I49" i="24"/>
  <c r="J48" i="24"/>
  <c r="K48" i="24" s="1"/>
  <c r="L48" i="24" s="1"/>
  <c r="I48" i="24"/>
  <c r="I46" i="24"/>
  <c r="J46" i="24" s="1"/>
  <c r="K46" i="24" s="1"/>
  <c r="L46" i="24" s="1"/>
  <c r="K45" i="24"/>
  <c r="L45" i="24" s="1"/>
  <c r="J45" i="24"/>
  <c r="I45" i="24"/>
  <c r="K44" i="24"/>
  <c r="L44" i="24" s="1"/>
  <c r="J44" i="24"/>
  <c r="I44" i="24"/>
  <c r="I43" i="24"/>
  <c r="J43" i="24" s="1"/>
  <c r="K43" i="24" s="1"/>
  <c r="L43" i="24" s="1"/>
  <c r="I42" i="24"/>
  <c r="J42" i="24" s="1"/>
  <c r="K42" i="24" s="1"/>
  <c r="L42" i="24" s="1"/>
  <c r="K41" i="24"/>
  <c r="L41" i="24" s="1"/>
  <c r="J41" i="24"/>
  <c r="I41" i="24"/>
  <c r="J40" i="24"/>
  <c r="K40" i="24" s="1"/>
  <c r="L40" i="24" s="1"/>
  <c r="I40" i="24"/>
  <c r="J39" i="24"/>
  <c r="K39" i="24" s="1"/>
  <c r="L39" i="24" s="1"/>
  <c r="I39" i="24"/>
  <c r="I38" i="24"/>
  <c r="J38" i="24" s="1"/>
  <c r="K38" i="24" s="1"/>
  <c r="L38" i="24" s="1"/>
  <c r="K37" i="24"/>
  <c r="L37" i="24" s="1"/>
  <c r="J37" i="24"/>
  <c r="I37" i="24"/>
  <c r="K36" i="24"/>
  <c r="L36" i="24" s="1"/>
  <c r="J36" i="24"/>
  <c r="I36" i="24"/>
  <c r="I35" i="24"/>
  <c r="J35" i="24" s="1"/>
  <c r="K35" i="24" s="1"/>
  <c r="L35" i="24" s="1"/>
  <c r="I34" i="24"/>
  <c r="J34" i="24" s="1"/>
  <c r="K34" i="24" s="1"/>
  <c r="L34" i="24" s="1"/>
  <c r="I33" i="24"/>
  <c r="J33" i="24" s="1"/>
  <c r="K33" i="24" s="1"/>
  <c r="L33" i="24" s="1"/>
  <c r="J30" i="24"/>
  <c r="K30" i="24" s="1"/>
  <c r="L30" i="24" s="1"/>
  <c r="I30" i="24"/>
  <c r="J29" i="24"/>
  <c r="K29" i="24" s="1"/>
  <c r="L29" i="24" s="1"/>
  <c r="I29" i="24"/>
  <c r="I28" i="24"/>
  <c r="J28" i="24" s="1"/>
  <c r="K28" i="24" s="1"/>
  <c r="L28" i="24" s="1"/>
  <c r="K25" i="24"/>
  <c r="L25" i="24" s="1"/>
  <c r="J25" i="24"/>
  <c r="I25" i="24"/>
  <c r="K24" i="24"/>
  <c r="L24" i="24" s="1"/>
  <c r="J24" i="24"/>
  <c r="I24" i="24"/>
  <c r="I23" i="24"/>
  <c r="J23" i="24" s="1"/>
  <c r="K23" i="24" s="1"/>
  <c r="L23" i="24" s="1"/>
  <c r="I22" i="24"/>
  <c r="J22" i="24" s="1"/>
  <c r="K22" i="24" s="1"/>
  <c r="L22" i="24" s="1"/>
  <c r="I21" i="24"/>
  <c r="J21" i="24" s="1"/>
  <c r="K21" i="24" s="1"/>
  <c r="L21" i="24" s="1"/>
  <c r="J20" i="24"/>
  <c r="K20" i="24" s="1"/>
  <c r="L20" i="24" s="1"/>
  <c r="I20" i="24"/>
  <c r="J19" i="24"/>
  <c r="K19" i="24" s="1"/>
  <c r="L19" i="24" s="1"/>
  <c r="I19" i="24"/>
  <c r="I18" i="24"/>
  <c r="J18" i="24" s="1"/>
  <c r="K18" i="24" s="1"/>
  <c r="L18" i="24" s="1"/>
  <c r="K17" i="24"/>
  <c r="L17" i="24" s="1"/>
  <c r="J17" i="24"/>
  <c r="I17" i="24"/>
  <c r="K16" i="24"/>
  <c r="L16" i="24" s="1"/>
  <c r="J16" i="24"/>
  <c r="I16" i="24"/>
  <c r="I15" i="24"/>
  <c r="J15" i="24" s="1"/>
  <c r="K15" i="24" s="1"/>
  <c r="L15" i="24" s="1"/>
  <c r="I14" i="24"/>
  <c r="J14" i="24" s="1"/>
  <c r="K14" i="24" s="1"/>
  <c r="L14" i="24" s="1"/>
  <c r="I13" i="24"/>
  <c r="J13" i="24" s="1"/>
  <c r="K13" i="24" s="1"/>
  <c r="L13" i="24" s="1"/>
  <c r="J12" i="24"/>
  <c r="K12" i="24" s="1"/>
  <c r="L12" i="24" s="1"/>
  <c r="I12" i="24"/>
  <c r="J11" i="24"/>
  <c r="K11" i="24" s="1"/>
  <c r="L11" i="24" s="1"/>
  <c r="I11" i="24"/>
  <c r="I172" i="23"/>
  <c r="J172" i="23" s="1"/>
  <c r="K172" i="23" s="1"/>
  <c r="L172" i="23" s="1"/>
  <c r="I171" i="23"/>
  <c r="J171" i="23" s="1"/>
  <c r="K171" i="23" s="1"/>
  <c r="L171" i="23" s="1"/>
  <c r="J170" i="23"/>
  <c r="K170" i="23" s="1"/>
  <c r="L170" i="23" s="1"/>
  <c r="I170" i="23"/>
  <c r="J169" i="23"/>
  <c r="K169" i="23" s="1"/>
  <c r="L169" i="23" s="1"/>
  <c r="I169" i="23"/>
  <c r="I168" i="23"/>
  <c r="J168" i="23" s="1"/>
  <c r="K168" i="23" s="1"/>
  <c r="L168" i="23" s="1"/>
  <c r="I167" i="23"/>
  <c r="J167" i="23" s="1"/>
  <c r="K167" i="23" s="1"/>
  <c r="L167" i="23" s="1"/>
  <c r="J166" i="23"/>
  <c r="K166" i="23" s="1"/>
  <c r="L166" i="23" s="1"/>
  <c r="I166" i="23"/>
  <c r="J165" i="23"/>
  <c r="K165" i="23" s="1"/>
  <c r="L165" i="23" s="1"/>
  <c r="I165" i="23"/>
  <c r="I164" i="23"/>
  <c r="J164" i="23" s="1"/>
  <c r="K164" i="23" s="1"/>
  <c r="L164" i="23" s="1"/>
  <c r="I163" i="23"/>
  <c r="J163" i="23" s="1"/>
  <c r="K163" i="23" s="1"/>
  <c r="L163" i="23" s="1"/>
  <c r="J162" i="23"/>
  <c r="K162" i="23" s="1"/>
  <c r="L162" i="23" s="1"/>
  <c r="I162" i="23"/>
  <c r="J161" i="23"/>
  <c r="K161" i="23" s="1"/>
  <c r="L161" i="23" s="1"/>
  <c r="I161" i="23"/>
  <c r="I160" i="23"/>
  <c r="J160" i="23" s="1"/>
  <c r="K160" i="23" s="1"/>
  <c r="L160" i="23" s="1"/>
  <c r="I159" i="23"/>
  <c r="J159" i="23" s="1"/>
  <c r="K159" i="23" s="1"/>
  <c r="L159" i="23" s="1"/>
  <c r="J158" i="23"/>
  <c r="K158" i="23" s="1"/>
  <c r="L158" i="23" s="1"/>
  <c r="I158" i="23"/>
  <c r="J154" i="23"/>
  <c r="K154" i="23" s="1"/>
  <c r="L154" i="23" s="1"/>
  <c r="I154" i="23"/>
  <c r="I153" i="23"/>
  <c r="J153" i="23" s="1"/>
  <c r="K153" i="23" s="1"/>
  <c r="L153" i="23" s="1"/>
  <c r="I152" i="23"/>
  <c r="J152" i="23" s="1"/>
  <c r="K152" i="23" s="1"/>
  <c r="L152" i="23" s="1"/>
  <c r="J151" i="23"/>
  <c r="K151" i="23" s="1"/>
  <c r="L151" i="23" s="1"/>
  <c r="I151" i="23"/>
  <c r="J150" i="23"/>
  <c r="K150" i="23" s="1"/>
  <c r="L150" i="23" s="1"/>
  <c r="I150" i="23"/>
  <c r="I149" i="23"/>
  <c r="J149" i="23" s="1"/>
  <c r="K149" i="23" s="1"/>
  <c r="L149" i="23" s="1"/>
  <c r="I148" i="23"/>
  <c r="J148" i="23" s="1"/>
  <c r="K148" i="23" s="1"/>
  <c r="L148" i="23" s="1"/>
  <c r="J147" i="23"/>
  <c r="K147" i="23" s="1"/>
  <c r="L147" i="23" s="1"/>
  <c r="I147" i="23"/>
  <c r="J146" i="23"/>
  <c r="K146" i="23" s="1"/>
  <c r="L146" i="23" s="1"/>
  <c r="I146" i="23"/>
  <c r="I145" i="23"/>
  <c r="J145" i="23" s="1"/>
  <c r="K145" i="23" s="1"/>
  <c r="L145" i="23" s="1"/>
  <c r="I144" i="23"/>
  <c r="J144" i="23" s="1"/>
  <c r="K144" i="23" s="1"/>
  <c r="L144" i="23" s="1"/>
  <c r="J143" i="23"/>
  <c r="K143" i="23" s="1"/>
  <c r="L143" i="23" s="1"/>
  <c r="I143" i="23"/>
  <c r="J142" i="23"/>
  <c r="K142" i="23" s="1"/>
  <c r="L142" i="23" s="1"/>
  <c r="I142" i="23"/>
  <c r="I141" i="23"/>
  <c r="J141" i="23" s="1"/>
  <c r="K141" i="23" s="1"/>
  <c r="L141" i="23" s="1"/>
  <c r="I140" i="23"/>
  <c r="J140" i="23" s="1"/>
  <c r="K140" i="23" s="1"/>
  <c r="L140" i="23" s="1"/>
  <c r="J139" i="23"/>
  <c r="K139" i="23" s="1"/>
  <c r="L139" i="23" s="1"/>
  <c r="I139" i="23"/>
  <c r="J138" i="23"/>
  <c r="K138" i="23" s="1"/>
  <c r="L138" i="23" s="1"/>
  <c r="I138" i="23"/>
  <c r="I137" i="23"/>
  <c r="J137" i="23" s="1"/>
  <c r="K137" i="23" s="1"/>
  <c r="L137" i="23" s="1"/>
  <c r="I136" i="23"/>
  <c r="J136" i="23" s="1"/>
  <c r="K136" i="23" s="1"/>
  <c r="L136" i="23" s="1"/>
  <c r="J135" i="23"/>
  <c r="K135" i="23" s="1"/>
  <c r="L135" i="23" s="1"/>
  <c r="I135" i="23"/>
  <c r="J134" i="23"/>
  <c r="K134" i="23" s="1"/>
  <c r="L134" i="23" s="1"/>
  <c r="I134" i="23"/>
  <c r="I133" i="23"/>
  <c r="J133" i="23" s="1"/>
  <c r="K133" i="23" s="1"/>
  <c r="L133" i="23" s="1"/>
  <c r="I132" i="23"/>
  <c r="J132" i="23" s="1"/>
  <c r="K132" i="23" s="1"/>
  <c r="L132" i="23" s="1"/>
  <c r="J128" i="23"/>
  <c r="K128" i="23" s="1"/>
  <c r="L128" i="23" s="1"/>
  <c r="I128" i="23"/>
  <c r="J127" i="23"/>
  <c r="K127" i="23" s="1"/>
  <c r="L127" i="23" s="1"/>
  <c r="I127" i="23"/>
  <c r="I126" i="23"/>
  <c r="J126" i="23" s="1"/>
  <c r="K126" i="23" s="1"/>
  <c r="L126" i="23" s="1"/>
  <c r="I125" i="23"/>
  <c r="J125" i="23" s="1"/>
  <c r="K125" i="23" s="1"/>
  <c r="L125" i="23" s="1"/>
  <c r="J124" i="23"/>
  <c r="K124" i="23" s="1"/>
  <c r="L124" i="23" s="1"/>
  <c r="I124" i="23"/>
  <c r="J123" i="23"/>
  <c r="K123" i="23" s="1"/>
  <c r="L123" i="23" s="1"/>
  <c r="I123" i="23"/>
  <c r="I122" i="23"/>
  <c r="J122" i="23" s="1"/>
  <c r="K122" i="23" s="1"/>
  <c r="L122" i="23" s="1"/>
  <c r="I121" i="23"/>
  <c r="J121" i="23" s="1"/>
  <c r="K121" i="23" s="1"/>
  <c r="L121" i="23" s="1"/>
  <c r="J120" i="23"/>
  <c r="K120" i="23" s="1"/>
  <c r="L120" i="23" s="1"/>
  <c r="I120" i="23"/>
  <c r="J119" i="23"/>
  <c r="K119" i="23" s="1"/>
  <c r="L119" i="23" s="1"/>
  <c r="I119" i="23"/>
  <c r="I113" i="23"/>
  <c r="J113" i="23" s="1"/>
  <c r="K113" i="23" s="1"/>
  <c r="L113" i="23" s="1"/>
  <c r="I112" i="23"/>
  <c r="J112" i="23" s="1"/>
  <c r="K112" i="23" s="1"/>
  <c r="L112" i="23" s="1"/>
  <c r="J111" i="23"/>
  <c r="K111" i="23" s="1"/>
  <c r="L111" i="23" s="1"/>
  <c r="I111" i="23"/>
  <c r="J110" i="23"/>
  <c r="K110" i="23" s="1"/>
  <c r="L110" i="23" s="1"/>
  <c r="I110" i="23"/>
  <c r="I109" i="23"/>
  <c r="J109" i="23" s="1"/>
  <c r="K109" i="23" s="1"/>
  <c r="L109" i="23" s="1"/>
  <c r="I108" i="23"/>
  <c r="J108" i="23" s="1"/>
  <c r="K108" i="23" s="1"/>
  <c r="L108" i="23" s="1"/>
  <c r="J107" i="23"/>
  <c r="K107" i="23" s="1"/>
  <c r="L107" i="23" s="1"/>
  <c r="I107" i="23"/>
  <c r="J106" i="23"/>
  <c r="K106" i="23" s="1"/>
  <c r="L106" i="23" s="1"/>
  <c r="I106" i="23"/>
  <c r="I105" i="23"/>
  <c r="J105" i="23" s="1"/>
  <c r="K105" i="23" s="1"/>
  <c r="L105" i="23" s="1"/>
  <c r="I104" i="23"/>
  <c r="J104" i="23" s="1"/>
  <c r="K104" i="23" s="1"/>
  <c r="L104" i="23" s="1"/>
  <c r="J103" i="23"/>
  <c r="K103" i="23" s="1"/>
  <c r="L103" i="23" s="1"/>
  <c r="I103" i="23"/>
  <c r="J102" i="23"/>
  <c r="K102" i="23" s="1"/>
  <c r="L102" i="23" s="1"/>
  <c r="I102" i="23"/>
  <c r="I101" i="23"/>
  <c r="J101" i="23" s="1"/>
  <c r="K101" i="23" s="1"/>
  <c r="L101" i="23" s="1"/>
  <c r="I100" i="23"/>
  <c r="J100" i="23" s="1"/>
  <c r="K100" i="23" s="1"/>
  <c r="L100" i="23" s="1"/>
  <c r="J99" i="23"/>
  <c r="K99" i="23" s="1"/>
  <c r="L99" i="23" s="1"/>
  <c r="I99" i="23"/>
  <c r="J98" i="23"/>
  <c r="K98" i="23" s="1"/>
  <c r="L98" i="23" s="1"/>
  <c r="I98" i="23"/>
  <c r="I97" i="23"/>
  <c r="J97" i="23" s="1"/>
  <c r="K97" i="23" s="1"/>
  <c r="L97" i="23" s="1"/>
  <c r="I96" i="23"/>
  <c r="J96" i="23" s="1"/>
  <c r="K96" i="23" s="1"/>
  <c r="L96" i="23" s="1"/>
  <c r="J95" i="23"/>
  <c r="K95" i="23" s="1"/>
  <c r="L95" i="23" s="1"/>
  <c r="I95" i="23"/>
  <c r="J94" i="23"/>
  <c r="K94" i="23" s="1"/>
  <c r="L94" i="23" s="1"/>
  <c r="I94" i="23"/>
  <c r="I93" i="23"/>
  <c r="J93" i="23" s="1"/>
  <c r="K93" i="23" s="1"/>
  <c r="L93" i="23" s="1"/>
  <c r="I92" i="23"/>
  <c r="J92" i="23" s="1"/>
  <c r="K92" i="23" s="1"/>
  <c r="L92" i="23" s="1"/>
  <c r="J91" i="23"/>
  <c r="K91" i="23" s="1"/>
  <c r="L91" i="23" s="1"/>
  <c r="I91" i="23"/>
  <c r="J90" i="23"/>
  <c r="K90" i="23" s="1"/>
  <c r="L90" i="23" s="1"/>
  <c r="I90" i="23"/>
  <c r="I89" i="23"/>
  <c r="J89" i="23" s="1"/>
  <c r="K89" i="23" s="1"/>
  <c r="L89" i="23" s="1"/>
  <c r="I88" i="23"/>
  <c r="J88" i="23" s="1"/>
  <c r="K88" i="23" s="1"/>
  <c r="L88" i="23" s="1"/>
  <c r="J87" i="23"/>
  <c r="K87" i="23" s="1"/>
  <c r="L87" i="23" s="1"/>
  <c r="I87" i="23"/>
  <c r="J86" i="23"/>
  <c r="K86" i="23" s="1"/>
  <c r="L86" i="23" s="1"/>
  <c r="I86" i="23"/>
  <c r="I85" i="23"/>
  <c r="J85" i="23" s="1"/>
  <c r="K85" i="23" s="1"/>
  <c r="L85" i="23" s="1"/>
  <c r="I84" i="23"/>
  <c r="J84" i="23" s="1"/>
  <c r="K84" i="23" s="1"/>
  <c r="L84" i="23" s="1"/>
  <c r="J83" i="23"/>
  <c r="K83" i="23" s="1"/>
  <c r="L83" i="23" s="1"/>
  <c r="I83" i="23"/>
  <c r="J82" i="23"/>
  <c r="K82" i="23" s="1"/>
  <c r="L82" i="23" s="1"/>
  <c r="I82" i="23"/>
  <c r="I81" i="23"/>
  <c r="J81" i="23" s="1"/>
  <c r="K81" i="23" s="1"/>
  <c r="L81" i="23" s="1"/>
  <c r="I80" i="23"/>
  <c r="J80" i="23" s="1"/>
  <c r="K80" i="23" s="1"/>
  <c r="L80" i="23" s="1"/>
  <c r="J79" i="23"/>
  <c r="K79" i="23" s="1"/>
  <c r="L79" i="23" s="1"/>
  <c r="I79" i="23"/>
  <c r="J78" i="23"/>
  <c r="K78" i="23" s="1"/>
  <c r="L78" i="23" s="1"/>
  <c r="I78" i="23"/>
  <c r="I77" i="23"/>
  <c r="J77" i="23" s="1"/>
  <c r="K77" i="23" s="1"/>
  <c r="L77" i="23" s="1"/>
  <c r="I76" i="23"/>
  <c r="J76" i="23" s="1"/>
  <c r="K76" i="23" s="1"/>
  <c r="L76" i="23" s="1"/>
  <c r="J75" i="23"/>
  <c r="K75" i="23" s="1"/>
  <c r="L75" i="23" s="1"/>
  <c r="I75" i="23"/>
  <c r="J74" i="23"/>
  <c r="K74" i="23" s="1"/>
  <c r="L74" i="23" s="1"/>
  <c r="I74" i="23"/>
  <c r="I73" i="23"/>
  <c r="J73" i="23" s="1"/>
  <c r="K73" i="23" s="1"/>
  <c r="L73" i="23" s="1"/>
  <c r="I72" i="23"/>
  <c r="J72" i="23" s="1"/>
  <c r="K72" i="23" s="1"/>
  <c r="L72" i="23" s="1"/>
  <c r="J71" i="23"/>
  <c r="K71" i="23" s="1"/>
  <c r="L71" i="23" s="1"/>
  <c r="I71" i="23"/>
  <c r="J70" i="23"/>
  <c r="K70" i="23" s="1"/>
  <c r="L70" i="23" s="1"/>
  <c r="I70" i="23"/>
  <c r="I69" i="23"/>
  <c r="J69" i="23" s="1"/>
  <c r="K69" i="23" s="1"/>
  <c r="L69" i="23" s="1"/>
  <c r="I68" i="23"/>
  <c r="J68" i="23" s="1"/>
  <c r="K68" i="23" s="1"/>
  <c r="L68" i="23" s="1"/>
  <c r="J67" i="23"/>
  <c r="K67" i="23" s="1"/>
  <c r="L67" i="23" s="1"/>
  <c r="I67" i="23"/>
  <c r="J66" i="23"/>
  <c r="K66" i="23" s="1"/>
  <c r="L66" i="23" s="1"/>
  <c r="I66" i="23"/>
  <c r="I65" i="23"/>
  <c r="J65" i="23" s="1"/>
  <c r="K65" i="23" s="1"/>
  <c r="L65" i="23" s="1"/>
  <c r="I64" i="23"/>
  <c r="J64" i="23" s="1"/>
  <c r="K64" i="23" s="1"/>
  <c r="L64" i="23" s="1"/>
  <c r="J63" i="23"/>
  <c r="K63" i="23" s="1"/>
  <c r="L63" i="23" s="1"/>
  <c r="I63" i="23"/>
  <c r="J62" i="23"/>
  <c r="K62" i="23" s="1"/>
  <c r="L62" i="23" s="1"/>
  <c r="I62" i="23"/>
  <c r="I61" i="23"/>
  <c r="J61" i="23" s="1"/>
  <c r="K61" i="23" s="1"/>
  <c r="L61" i="23" s="1"/>
  <c r="I60" i="23"/>
  <c r="J60" i="23" s="1"/>
  <c r="K60" i="23" s="1"/>
  <c r="L60" i="23" s="1"/>
  <c r="J59" i="23"/>
  <c r="K59" i="23" s="1"/>
  <c r="L59" i="23" s="1"/>
  <c r="I59" i="23"/>
  <c r="J58" i="23"/>
  <c r="K58" i="23" s="1"/>
  <c r="L58" i="23" s="1"/>
  <c r="I58" i="23"/>
  <c r="I54" i="23"/>
  <c r="J54" i="23" s="1"/>
  <c r="K54" i="23" s="1"/>
  <c r="L54" i="23" s="1"/>
  <c r="I53" i="23"/>
  <c r="J53" i="23" s="1"/>
  <c r="K53" i="23" s="1"/>
  <c r="L53" i="23" s="1"/>
  <c r="J52" i="23"/>
  <c r="K52" i="23" s="1"/>
  <c r="L52" i="23" s="1"/>
  <c r="I52" i="23"/>
  <c r="J51" i="23"/>
  <c r="K51" i="23" s="1"/>
  <c r="L51" i="23" s="1"/>
  <c r="I51" i="23"/>
  <c r="J50" i="23"/>
  <c r="K50" i="23" s="1"/>
  <c r="L50" i="23" s="1"/>
  <c r="I50" i="23"/>
  <c r="I49" i="23"/>
  <c r="J49" i="23" s="1"/>
  <c r="K49" i="23" s="1"/>
  <c r="L49" i="23" s="1"/>
  <c r="J46" i="23"/>
  <c r="K46" i="23" s="1"/>
  <c r="L46" i="23" s="1"/>
  <c r="I46" i="23"/>
  <c r="J45" i="23"/>
  <c r="K45" i="23" s="1"/>
  <c r="L45" i="23" s="1"/>
  <c r="I45" i="23"/>
  <c r="J44" i="23"/>
  <c r="K44" i="23" s="1"/>
  <c r="L44" i="23" s="1"/>
  <c r="I44" i="23"/>
  <c r="I43" i="23"/>
  <c r="J43" i="23" s="1"/>
  <c r="K43" i="23" s="1"/>
  <c r="L43" i="23" s="1"/>
  <c r="J42" i="23"/>
  <c r="K42" i="23" s="1"/>
  <c r="L42" i="23" s="1"/>
  <c r="I42" i="23"/>
  <c r="J41" i="23"/>
  <c r="K41" i="23" s="1"/>
  <c r="L41" i="23" s="1"/>
  <c r="I41" i="23"/>
  <c r="J40" i="23"/>
  <c r="K40" i="23" s="1"/>
  <c r="L40" i="23" s="1"/>
  <c r="I40" i="23"/>
  <c r="I39" i="23"/>
  <c r="J39" i="23" s="1"/>
  <c r="K39" i="23" s="1"/>
  <c r="L39" i="23" s="1"/>
  <c r="J38" i="23"/>
  <c r="K38" i="23" s="1"/>
  <c r="L38" i="23" s="1"/>
  <c r="I38" i="23"/>
  <c r="J37" i="23"/>
  <c r="K37" i="23" s="1"/>
  <c r="L37" i="23" s="1"/>
  <c r="I37" i="23"/>
  <c r="J36" i="23"/>
  <c r="K36" i="23" s="1"/>
  <c r="L36" i="23" s="1"/>
  <c r="I36" i="23"/>
  <c r="I35" i="23"/>
  <c r="J35" i="23" s="1"/>
  <c r="K35" i="23" s="1"/>
  <c r="L35" i="23" s="1"/>
  <c r="J34" i="23"/>
  <c r="K34" i="23" s="1"/>
  <c r="L34" i="23" s="1"/>
  <c r="I34" i="23"/>
  <c r="J33" i="23"/>
  <c r="K33" i="23" s="1"/>
  <c r="L33" i="23" s="1"/>
  <c r="I33" i="23"/>
  <c r="J30" i="23"/>
  <c r="K30" i="23" s="1"/>
  <c r="L30" i="23" s="1"/>
  <c r="I30" i="23"/>
  <c r="I29" i="23"/>
  <c r="J29" i="23" s="1"/>
  <c r="K29" i="23" s="1"/>
  <c r="L29" i="23" s="1"/>
  <c r="J28" i="23"/>
  <c r="K28" i="23" s="1"/>
  <c r="L28" i="23" s="1"/>
  <c r="I28" i="23"/>
  <c r="J25" i="23"/>
  <c r="K25" i="23" s="1"/>
  <c r="L25" i="23" s="1"/>
  <c r="I25" i="23"/>
  <c r="J24" i="23"/>
  <c r="K24" i="23" s="1"/>
  <c r="L24" i="23" s="1"/>
  <c r="I24" i="23"/>
  <c r="I23" i="23"/>
  <c r="J23" i="23" s="1"/>
  <c r="K23" i="23" s="1"/>
  <c r="L23" i="23" s="1"/>
  <c r="J22" i="23"/>
  <c r="K22" i="23" s="1"/>
  <c r="L22" i="23" s="1"/>
  <c r="I22" i="23"/>
  <c r="J21" i="23"/>
  <c r="K21" i="23" s="1"/>
  <c r="L21" i="23" s="1"/>
  <c r="I21" i="23"/>
  <c r="J20" i="23"/>
  <c r="K20" i="23" s="1"/>
  <c r="L20" i="23" s="1"/>
  <c r="I20" i="23"/>
  <c r="I19" i="23"/>
  <c r="J19" i="23" s="1"/>
  <c r="K19" i="23" s="1"/>
  <c r="L19" i="23" s="1"/>
  <c r="J18" i="23"/>
  <c r="K18" i="23" s="1"/>
  <c r="L18" i="23" s="1"/>
  <c r="I18" i="23"/>
  <c r="J17" i="23"/>
  <c r="K17" i="23" s="1"/>
  <c r="L17" i="23" s="1"/>
  <c r="I17" i="23"/>
  <c r="J16" i="23"/>
  <c r="K16" i="23" s="1"/>
  <c r="L16" i="23" s="1"/>
  <c r="I16" i="23"/>
  <c r="I15" i="23"/>
  <c r="J15" i="23" s="1"/>
  <c r="K15" i="23" s="1"/>
  <c r="L15" i="23" s="1"/>
  <c r="J14" i="23"/>
  <c r="K14" i="23" s="1"/>
  <c r="L14" i="23" s="1"/>
  <c r="I14" i="23"/>
  <c r="J13" i="23"/>
  <c r="K13" i="23" s="1"/>
  <c r="L13" i="23" s="1"/>
  <c r="I13" i="23"/>
  <c r="J12" i="23"/>
  <c r="K12" i="23" s="1"/>
  <c r="L12" i="23" s="1"/>
  <c r="I12" i="23"/>
  <c r="I11" i="23"/>
  <c r="J11" i="23" s="1"/>
  <c r="K11" i="23" s="1"/>
  <c r="L11" i="23" s="1"/>
  <c r="J113" i="33" l="1"/>
  <c r="I172" i="21"/>
  <c r="I171" i="21"/>
  <c r="I170" i="21"/>
  <c r="I169" i="21"/>
  <c r="I168" i="21"/>
  <c r="I167" i="21"/>
  <c r="I166" i="21"/>
  <c r="I165" i="21"/>
  <c r="I164" i="21"/>
  <c r="I163" i="21"/>
  <c r="I162" i="21"/>
  <c r="I161" i="21"/>
  <c r="I160" i="21"/>
  <c r="I159" i="21"/>
  <c r="I158" i="21"/>
  <c r="I154" i="21"/>
  <c r="I153" i="21"/>
  <c r="I152" i="21"/>
  <c r="I151" i="21"/>
  <c r="I150" i="21"/>
  <c r="I149" i="21"/>
  <c r="I148" i="21"/>
  <c r="I147" i="21"/>
  <c r="I146" i="21"/>
  <c r="I145" i="21"/>
  <c r="I144" i="21"/>
  <c r="I143" i="21"/>
  <c r="I142" i="21"/>
  <c r="I141" i="21"/>
  <c r="I140" i="21"/>
  <c r="I139" i="21"/>
  <c r="I138" i="21"/>
  <c r="I137" i="21"/>
  <c r="I136" i="21"/>
  <c r="I135" i="21"/>
  <c r="I134" i="21"/>
  <c r="I133" i="21"/>
  <c r="I132" i="21"/>
  <c r="I128" i="21"/>
  <c r="I127" i="21"/>
  <c r="I126" i="21"/>
  <c r="I125" i="21"/>
  <c r="I124" i="21"/>
  <c r="I123" i="21"/>
  <c r="I122" i="21"/>
  <c r="I121" i="21"/>
  <c r="I120" i="21"/>
  <c r="I119" i="21"/>
  <c r="I118" i="21"/>
  <c r="I117" i="21"/>
  <c r="I113" i="21"/>
  <c r="I112" i="21"/>
  <c r="I111" i="21"/>
  <c r="I110" i="21"/>
  <c r="I109" i="21"/>
  <c r="I108" i="21"/>
  <c r="I107" i="21"/>
  <c r="I106" i="21"/>
  <c r="I105" i="21"/>
  <c r="I104" i="21"/>
  <c r="I103" i="21"/>
  <c r="I102" i="21"/>
  <c r="I101" i="21"/>
  <c r="I100" i="21"/>
  <c r="I99" i="21"/>
  <c r="I98" i="21"/>
  <c r="I97" i="21"/>
  <c r="I96" i="21"/>
  <c r="I95" i="21"/>
  <c r="I94" i="21"/>
  <c r="I93" i="21"/>
  <c r="I92" i="21"/>
  <c r="I91" i="21"/>
  <c r="I90" i="21"/>
  <c r="I89" i="21"/>
  <c r="I88" i="21"/>
  <c r="I87" i="21"/>
  <c r="I86" i="21"/>
  <c r="I85" i="21"/>
  <c r="I84" i="21"/>
  <c r="I83" i="21"/>
  <c r="I82" i="21"/>
  <c r="I81" i="21"/>
  <c r="I80" i="21"/>
  <c r="I79" i="21"/>
  <c r="I78" i="21"/>
  <c r="I77" i="21"/>
  <c r="I76" i="21"/>
  <c r="I75" i="21"/>
  <c r="I74" i="21"/>
  <c r="I73" i="21"/>
  <c r="I72" i="21"/>
  <c r="I71" i="21"/>
  <c r="I70" i="21"/>
  <c r="I69" i="21"/>
  <c r="I68" i="21"/>
  <c r="I67" i="21"/>
  <c r="I66" i="21"/>
  <c r="I65" i="21"/>
  <c r="I64" i="21"/>
  <c r="I63" i="21"/>
  <c r="I62" i="21"/>
  <c r="I61" i="21"/>
  <c r="I60" i="21"/>
  <c r="I59" i="21"/>
  <c r="I58" i="21"/>
  <c r="I54" i="21"/>
  <c r="I53" i="21"/>
  <c r="I52" i="21"/>
  <c r="I51" i="21"/>
  <c r="I50" i="21"/>
  <c r="I49" i="21"/>
  <c r="I48" i="21"/>
  <c r="I47" i="21"/>
  <c r="I46" i="21"/>
  <c r="I45" i="21"/>
  <c r="I43" i="21"/>
  <c r="I42" i="21"/>
  <c r="I41" i="21"/>
  <c r="I40" i="21"/>
  <c r="I39" i="21"/>
  <c r="I38" i="21"/>
  <c r="I37" i="21"/>
  <c r="I36" i="21"/>
  <c r="I35" i="21"/>
  <c r="I34" i="21"/>
  <c r="I33" i="21"/>
  <c r="I32" i="21"/>
  <c r="I31" i="21"/>
  <c r="I30" i="21"/>
  <c r="I29" i="21"/>
  <c r="I28" i="21"/>
  <c r="I27" i="21"/>
  <c r="I26" i="21"/>
  <c r="I25" i="21"/>
  <c r="I24" i="21"/>
  <c r="I23" i="21"/>
  <c r="I22" i="21"/>
  <c r="I21" i="21"/>
  <c r="I20" i="21"/>
  <c r="I19" i="21"/>
  <c r="I18" i="21"/>
  <c r="I17" i="21"/>
  <c r="I16" i="21"/>
  <c r="I15" i="21"/>
  <c r="I14" i="21"/>
  <c r="I13" i="21"/>
  <c r="I12" i="21"/>
  <c r="I11" i="21"/>
  <c r="I10" i="21"/>
  <c r="I9" i="21"/>
  <c r="I8" i="21"/>
  <c r="I7" i="21"/>
  <c r="I172" i="18"/>
  <c r="J172" i="18" s="1"/>
  <c r="K172" i="18" s="1"/>
  <c r="L172" i="18" s="1"/>
  <c r="J171" i="18"/>
  <c r="K171" i="18" s="1"/>
  <c r="L171" i="18" s="1"/>
  <c r="I171" i="18"/>
  <c r="I170" i="18"/>
  <c r="J170" i="18" s="1"/>
  <c r="K170" i="18" s="1"/>
  <c r="L170" i="18" s="1"/>
  <c r="J169" i="18"/>
  <c r="K169" i="18" s="1"/>
  <c r="L169" i="18" s="1"/>
  <c r="I169" i="18"/>
  <c r="K168" i="18"/>
  <c r="L168" i="18" s="1"/>
  <c r="J168" i="18"/>
  <c r="I168" i="18"/>
  <c r="I167" i="18"/>
  <c r="J167" i="18" s="1"/>
  <c r="K167" i="18" s="1"/>
  <c r="L167" i="18" s="1"/>
  <c r="I166" i="18"/>
  <c r="J166" i="18" s="1"/>
  <c r="K166" i="18" s="1"/>
  <c r="L166" i="18" s="1"/>
  <c r="K165" i="18"/>
  <c r="L165" i="18" s="1"/>
  <c r="J165" i="18"/>
  <c r="I165" i="18"/>
  <c r="I164" i="18"/>
  <c r="J164" i="18" s="1"/>
  <c r="K164" i="18" s="1"/>
  <c r="L164" i="18" s="1"/>
  <c r="J163" i="18"/>
  <c r="K163" i="18" s="1"/>
  <c r="L163" i="18" s="1"/>
  <c r="I163" i="18"/>
  <c r="I162" i="18"/>
  <c r="J162" i="18" s="1"/>
  <c r="K162" i="18" s="1"/>
  <c r="L162" i="18" s="1"/>
  <c r="J161" i="18"/>
  <c r="K161" i="18" s="1"/>
  <c r="L161" i="18" s="1"/>
  <c r="I161" i="18"/>
  <c r="K160" i="18"/>
  <c r="L160" i="18" s="1"/>
  <c r="J160" i="18"/>
  <c r="I160" i="18"/>
  <c r="I159" i="18"/>
  <c r="J159" i="18" s="1"/>
  <c r="K159" i="18" s="1"/>
  <c r="L159" i="18" s="1"/>
  <c r="I158" i="18"/>
  <c r="J158" i="18" s="1"/>
  <c r="K158" i="18" s="1"/>
  <c r="L158" i="18" s="1"/>
  <c r="I154" i="18"/>
  <c r="J154" i="18" s="1"/>
  <c r="K154" i="18" s="1"/>
  <c r="L154" i="18" s="1"/>
  <c r="I153" i="18"/>
  <c r="J153" i="18" s="1"/>
  <c r="K153" i="18" s="1"/>
  <c r="L153" i="18" s="1"/>
  <c r="J152" i="18"/>
  <c r="K152" i="18" s="1"/>
  <c r="L152" i="18" s="1"/>
  <c r="I152" i="18"/>
  <c r="I151" i="18"/>
  <c r="J151" i="18" s="1"/>
  <c r="K151" i="18" s="1"/>
  <c r="L151" i="18" s="1"/>
  <c r="J150" i="18"/>
  <c r="K150" i="18" s="1"/>
  <c r="L150" i="18" s="1"/>
  <c r="I150" i="18"/>
  <c r="K149" i="18"/>
  <c r="L149" i="18" s="1"/>
  <c r="J149" i="18"/>
  <c r="I149" i="18"/>
  <c r="I148" i="18"/>
  <c r="J148" i="18" s="1"/>
  <c r="K148" i="18" s="1"/>
  <c r="L148" i="18" s="1"/>
  <c r="I147" i="18"/>
  <c r="J147" i="18" s="1"/>
  <c r="K147" i="18" s="1"/>
  <c r="L147" i="18" s="1"/>
  <c r="K146" i="18"/>
  <c r="L146" i="18" s="1"/>
  <c r="J146" i="18"/>
  <c r="I146" i="18"/>
  <c r="I145" i="18"/>
  <c r="J145" i="18" s="1"/>
  <c r="K145" i="18" s="1"/>
  <c r="L145" i="18" s="1"/>
  <c r="J144" i="18"/>
  <c r="K144" i="18" s="1"/>
  <c r="L144" i="18" s="1"/>
  <c r="I144" i="18"/>
  <c r="I143" i="18"/>
  <c r="J143" i="18" s="1"/>
  <c r="K143" i="18" s="1"/>
  <c r="L143" i="18" s="1"/>
  <c r="J142" i="18"/>
  <c r="K142" i="18" s="1"/>
  <c r="L142" i="18" s="1"/>
  <c r="I142" i="18"/>
  <c r="K141" i="18"/>
  <c r="L141" i="18" s="1"/>
  <c r="J141" i="18"/>
  <c r="I141" i="18"/>
  <c r="I140" i="18"/>
  <c r="J140" i="18" s="1"/>
  <c r="K140" i="18" s="1"/>
  <c r="L140" i="18" s="1"/>
  <c r="I139" i="18"/>
  <c r="J139" i="18" s="1"/>
  <c r="K139" i="18" s="1"/>
  <c r="L139" i="18" s="1"/>
  <c r="I138" i="18"/>
  <c r="J138" i="18" s="1"/>
  <c r="K138" i="18" s="1"/>
  <c r="L138" i="18" s="1"/>
  <c r="I137" i="18"/>
  <c r="J137" i="18" s="1"/>
  <c r="K137" i="18" s="1"/>
  <c r="L137" i="18" s="1"/>
  <c r="J136" i="18"/>
  <c r="K136" i="18" s="1"/>
  <c r="L136" i="18" s="1"/>
  <c r="I136" i="18"/>
  <c r="I135" i="18"/>
  <c r="J135" i="18" s="1"/>
  <c r="K135" i="18" s="1"/>
  <c r="L135" i="18" s="1"/>
  <c r="J134" i="18"/>
  <c r="K134" i="18" s="1"/>
  <c r="L134" i="18" s="1"/>
  <c r="I134" i="18"/>
  <c r="K133" i="18"/>
  <c r="L133" i="18" s="1"/>
  <c r="J133" i="18"/>
  <c r="I133" i="18"/>
  <c r="I132" i="18"/>
  <c r="J132" i="18" s="1"/>
  <c r="K132" i="18" s="1"/>
  <c r="L132" i="18" s="1"/>
  <c r="I128" i="18"/>
  <c r="J128" i="18" s="1"/>
  <c r="K128" i="18" s="1"/>
  <c r="L128" i="18" s="1"/>
  <c r="I127" i="18"/>
  <c r="J127" i="18" s="1"/>
  <c r="K127" i="18" s="1"/>
  <c r="L127" i="18" s="1"/>
  <c r="I126" i="18"/>
  <c r="J126" i="18" s="1"/>
  <c r="K126" i="18" s="1"/>
  <c r="L126" i="18" s="1"/>
  <c r="J125" i="18"/>
  <c r="K125" i="18" s="1"/>
  <c r="L125" i="18" s="1"/>
  <c r="I125" i="18"/>
  <c r="I124" i="18"/>
  <c r="J124" i="18" s="1"/>
  <c r="K124" i="18" s="1"/>
  <c r="L124" i="18" s="1"/>
  <c r="J123" i="18"/>
  <c r="K123" i="18" s="1"/>
  <c r="L123" i="18" s="1"/>
  <c r="I123" i="18"/>
  <c r="K122" i="18"/>
  <c r="L122" i="18" s="1"/>
  <c r="J122" i="18"/>
  <c r="I122" i="18"/>
  <c r="I121" i="18"/>
  <c r="J121" i="18" s="1"/>
  <c r="K121" i="18" s="1"/>
  <c r="L121" i="18" s="1"/>
  <c r="I120" i="18"/>
  <c r="J120" i="18" s="1"/>
  <c r="K120" i="18" s="1"/>
  <c r="L120" i="18" s="1"/>
  <c r="I119" i="18"/>
  <c r="J119" i="18" s="1"/>
  <c r="K119" i="18" s="1"/>
  <c r="L119" i="18" s="1"/>
  <c r="I117" i="18"/>
  <c r="I113" i="18"/>
  <c r="J113" i="18" s="1"/>
  <c r="K113" i="18" s="1"/>
  <c r="L113" i="18" s="1"/>
  <c r="I112" i="18"/>
  <c r="J112" i="18" s="1"/>
  <c r="K112" i="18" s="1"/>
  <c r="L112" i="18" s="1"/>
  <c r="I111" i="18"/>
  <c r="J111" i="18" s="1"/>
  <c r="K111" i="18" s="1"/>
  <c r="L111" i="18" s="1"/>
  <c r="I110" i="18"/>
  <c r="J110" i="18" s="1"/>
  <c r="K110" i="18" s="1"/>
  <c r="L110" i="18" s="1"/>
  <c r="I109" i="18"/>
  <c r="J109" i="18" s="1"/>
  <c r="K109" i="18" s="1"/>
  <c r="L109" i="18" s="1"/>
  <c r="I108" i="18"/>
  <c r="J108" i="18" s="1"/>
  <c r="K108" i="18" s="1"/>
  <c r="L108" i="18" s="1"/>
  <c r="I107" i="18"/>
  <c r="J107" i="18" s="1"/>
  <c r="K107" i="18" s="1"/>
  <c r="L107" i="18" s="1"/>
  <c r="I106" i="18"/>
  <c r="J106" i="18" s="1"/>
  <c r="K106" i="18" s="1"/>
  <c r="L106" i="18" s="1"/>
  <c r="I105" i="18"/>
  <c r="J105" i="18" s="1"/>
  <c r="K105" i="18" s="1"/>
  <c r="L105" i="18" s="1"/>
  <c r="I104" i="18"/>
  <c r="J104" i="18" s="1"/>
  <c r="K104" i="18" s="1"/>
  <c r="L104" i="18" s="1"/>
  <c r="I103" i="18"/>
  <c r="J103" i="18" s="1"/>
  <c r="K103" i="18" s="1"/>
  <c r="L103" i="18" s="1"/>
  <c r="I102" i="18"/>
  <c r="J102" i="18" s="1"/>
  <c r="K102" i="18" s="1"/>
  <c r="L102" i="18" s="1"/>
  <c r="I101" i="18"/>
  <c r="J101" i="18" s="1"/>
  <c r="K101" i="18" s="1"/>
  <c r="L101" i="18" s="1"/>
  <c r="I100" i="18"/>
  <c r="J100" i="18" s="1"/>
  <c r="K100" i="18" s="1"/>
  <c r="L100" i="18" s="1"/>
  <c r="I99" i="18"/>
  <c r="J99" i="18" s="1"/>
  <c r="K99" i="18" s="1"/>
  <c r="L99" i="18" s="1"/>
  <c r="I98" i="18"/>
  <c r="J98" i="18" s="1"/>
  <c r="K98" i="18" s="1"/>
  <c r="L98" i="18" s="1"/>
  <c r="I97" i="18"/>
  <c r="J97" i="18" s="1"/>
  <c r="K97" i="18" s="1"/>
  <c r="L97" i="18" s="1"/>
  <c r="I96" i="18"/>
  <c r="J96" i="18" s="1"/>
  <c r="K96" i="18" s="1"/>
  <c r="L96" i="18" s="1"/>
  <c r="I95" i="18"/>
  <c r="J95" i="18" s="1"/>
  <c r="K95" i="18" s="1"/>
  <c r="L95" i="18" s="1"/>
  <c r="I94" i="18"/>
  <c r="J94" i="18" s="1"/>
  <c r="K94" i="18" s="1"/>
  <c r="L94" i="18" s="1"/>
  <c r="I93" i="18"/>
  <c r="J93" i="18" s="1"/>
  <c r="K93" i="18" s="1"/>
  <c r="L93" i="18" s="1"/>
  <c r="I92" i="18"/>
  <c r="J92" i="18" s="1"/>
  <c r="K92" i="18" s="1"/>
  <c r="L92" i="18" s="1"/>
  <c r="I91" i="18"/>
  <c r="J91" i="18" s="1"/>
  <c r="K91" i="18" s="1"/>
  <c r="L91" i="18" s="1"/>
  <c r="I90" i="18"/>
  <c r="J90" i="18" s="1"/>
  <c r="K90" i="18" s="1"/>
  <c r="L90" i="18" s="1"/>
  <c r="I89" i="18"/>
  <c r="J89" i="18" s="1"/>
  <c r="K89" i="18" s="1"/>
  <c r="L89" i="18" s="1"/>
  <c r="I88" i="18"/>
  <c r="J88" i="18" s="1"/>
  <c r="K88" i="18" s="1"/>
  <c r="L88" i="18" s="1"/>
  <c r="I87" i="18"/>
  <c r="J87" i="18" s="1"/>
  <c r="K87" i="18" s="1"/>
  <c r="L87" i="18" s="1"/>
  <c r="I86" i="18"/>
  <c r="J86" i="18" s="1"/>
  <c r="K86" i="18" s="1"/>
  <c r="L86" i="18" s="1"/>
  <c r="I85" i="18"/>
  <c r="J85" i="18" s="1"/>
  <c r="K85" i="18" s="1"/>
  <c r="L85" i="18" s="1"/>
  <c r="I84" i="18"/>
  <c r="J84" i="18" s="1"/>
  <c r="K84" i="18" s="1"/>
  <c r="L84" i="18" s="1"/>
  <c r="I83" i="18"/>
  <c r="J83" i="18" s="1"/>
  <c r="K83" i="18" s="1"/>
  <c r="L83" i="18" s="1"/>
  <c r="I82" i="18"/>
  <c r="J82" i="18" s="1"/>
  <c r="K82" i="18" s="1"/>
  <c r="L82" i="18" s="1"/>
  <c r="I81" i="18"/>
  <c r="J81" i="18" s="1"/>
  <c r="K81" i="18" s="1"/>
  <c r="L81" i="18" s="1"/>
  <c r="I80" i="18"/>
  <c r="J80" i="18" s="1"/>
  <c r="K80" i="18" s="1"/>
  <c r="L80" i="18" s="1"/>
  <c r="I79" i="18"/>
  <c r="J79" i="18" s="1"/>
  <c r="K79" i="18" s="1"/>
  <c r="L79" i="18" s="1"/>
  <c r="I78" i="18"/>
  <c r="J78" i="18" s="1"/>
  <c r="K78" i="18" s="1"/>
  <c r="L78" i="18" s="1"/>
  <c r="I77" i="18"/>
  <c r="J77" i="18" s="1"/>
  <c r="K77" i="18" s="1"/>
  <c r="L77" i="18" s="1"/>
  <c r="I76" i="18"/>
  <c r="J76" i="18" s="1"/>
  <c r="K76" i="18" s="1"/>
  <c r="L76" i="18" s="1"/>
  <c r="I75" i="18"/>
  <c r="J75" i="18" s="1"/>
  <c r="K75" i="18" s="1"/>
  <c r="L75" i="18" s="1"/>
  <c r="I74" i="18"/>
  <c r="J74" i="18" s="1"/>
  <c r="K74" i="18" s="1"/>
  <c r="L74" i="18" s="1"/>
  <c r="I73" i="18"/>
  <c r="J73" i="18" s="1"/>
  <c r="K73" i="18" s="1"/>
  <c r="L73" i="18" s="1"/>
  <c r="I72" i="18"/>
  <c r="J72" i="18" s="1"/>
  <c r="K72" i="18" s="1"/>
  <c r="L72" i="18" s="1"/>
  <c r="I71" i="18"/>
  <c r="J71" i="18" s="1"/>
  <c r="K71" i="18" s="1"/>
  <c r="L71" i="18" s="1"/>
  <c r="I70" i="18"/>
  <c r="J70" i="18" s="1"/>
  <c r="K70" i="18" s="1"/>
  <c r="L70" i="18" s="1"/>
  <c r="I69" i="18"/>
  <c r="J69" i="18" s="1"/>
  <c r="K69" i="18" s="1"/>
  <c r="L69" i="18" s="1"/>
  <c r="I68" i="18"/>
  <c r="J68" i="18" s="1"/>
  <c r="K68" i="18" s="1"/>
  <c r="L68" i="18" s="1"/>
  <c r="I67" i="18"/>
  <c r="J67" i="18" s="1"/>
  <c r="K67" i="18" s="1"/>
  <c r="L67" i="18" s="1"/>
  <c r="I66" i="18"/>
  <c r="J66" i="18" s="1"/>
  <c r="K66" i="18" s="1"/>
  <c r="L66" i="18" s="1"/>
  <c r="I65" i="18"/>
  <c r="J65" i="18" s="1"/>
  <c r="K65" i="18" s="1"/>
  <c r="L65" i="18" s="1"/>
  <c r="I64" i="18"/>
  <c r="J64" i="18" s="1"/>
  <c r="K64" i="18" s="1"/>
  <c r="L64" i="18" s="1"/>
  <c r="I63" i="18"/>
  <c r="J63" i="18" s="1"/>
  <c r="K63" i="18" s="1"/>
  <c r="L63" i="18" s="1"/>
  <c r="I62" i="18"/>
  <c r="J62" i="18" s="1"/>
  <c r="K62" i="18" s="1"/>
  <c r="L62" i="18" s="1"/>
  <c r="I61" i="18"/>
  <c r="J61" i="18" s="1"/>
  <c r="K61" i="18" s="1"/>
  <c r="L61" i="18" s="1"/>
  <c r="I60" i="18"/>
  <c r="J60" i="18" s="1"/>
  <c r="K60" i="18" s="1"/>
  <c r="L60" i="18" s="1"/>
  <c r="I59" i="18"/>
  <c r="J59" i="18" s="1"/>
  <c r="K59" i="18" s="1"/>
  <c r="L59" i="18" s="1"/>
  <c r="I58" i="18"/>
  <c r="J58" i="18" s="1"/>
  <c r="K58" i="18" s="1"/>
  <c r="L58" i="18" s="1"/>
  <c r="I54" i="18"/>
  <c r="J54" i="18" s="1"/>
  <c r="K54" i="18" s="1"/>
  <c r="L54" i="18" s="1"/>
  <c r="I53" i="18"/>
  <c r="J53" i="18" s="1"/>
  <c r="K53" i="18" s="1"/>
  <c r="L53" i="18" s="1"/>
  <c r="I52" i="18"/>
  <c r="J52" i="18" s="1"/>
  <c r="K52" i="18" s="1"/>
  <c r="L52" i="18" s="1"/>
  <c r="I51" i="18"/>
  <c r="J51" i="18" s="1"/>
  <c r="K51" i="18" s="1"/>
  <c r="L51" i="18" s="1"/>
  <c r="I50" i="18"/>
  <c r="J50" i="18" s="1"/>
  <c r="K50" i="18" s="1"/>
  <c r="L50" i="18" s="1"/>
  <c r="I49" i="18"/>
  <c r="J49" i="18" s="1"/>
  <c r="K49" i="18" s="1"/>
  <c r="L49" i="18" s="1"/>
  <c r="I48" i="18"/>
  <c r="J48" i="18" s="1"/>
  <c r="K48" i="18" s="1"/>
  <c r="L48" i="18" s="1"/>
  <c r="I47" i="18"/>
  <c r="I46" i="18"/>
  <c r="J46" i="18" s="1"/>
  <c r="K46" i="18" s="1"/>
  <c r="L46" i="18" s="1"/>
  <c r="I45" i="18"/>
  <c r="J45" i="18" s="1"/>
  <c r="K45" i="18" s="1"/>
  <c r="L45" i="18" s="1"/>
  <c r="J44" i="18"/>
  <c r="K44" i="18" s="1"/>
  <c r="L44" i="18" s="1"/>
  <c r="I44" i="18"/>
  <c r="I43" i="18"/>
  <c r="J43" i="18" s="1"/>
  <c r="K43" i="18" s="1"/>
  <c r="L43" i="18" s="1"/>
  <c r="I42" i="18"/>
  <c r="J42" i="18" s="1"/>
  <c r="K42" i="18" s="1"/>
  <c r="L42" i="18" s="1"/>
  <c r="I41" i="18"/>
  <c r="J41" i="18" s="1"/>
  <c r="K41" i="18" s="1"/>
  <c r="L41" i="18" s="1"/>
  <c r="J40" i="18"/>
  <c r="K40" i="18" s="1"/>
  <c r="L40" i="18" s="1"/>
  <c r="I40" i="18"/>
  <c r="I39" i="18"/>
  <c r="J39" i="18" s="1"/>
  <c r="K39" i="18" s="1"/>
  <c r="L39" i="18" s="1"/>
  <c r="I38" i="18"/>
  <c r="J38" i="18" s="1"/>
  <c r="K38" i="18" s="1"/>
  <c r="L38" i="18" s="1"/>
  <c r="I37" i="18"/>
  <c r="J37" i="18" s="1"/>
  <c r="K37" i="18" s="1"/>
  <c r="L37" i="18" s="1"/>
  <c r="J36" i="18"/>
  <c r="K36" i="18" s="1"/>
  <c r="L36" i="18" s="1"/>
  <c r="I36" i="18"/>
  <c r="I35" i="18"/>
  <c r="J35" i="18" s="1"/>
  <c r="K35" i="18" s="1"/>
  <c r="L35" i="18" s="1"/>
  <c r="I34" i="18"/>
  <c r="J34" i="18" s="1"/>
  <c r="K34" i="18" s="1"/>
  <c r="L34" i="18" s="1"/>
  <c r="I33" i="18"/>
  <c r="J33" i="18" s="1"/>
  <c r="K33" i="18" s="1"/>
  <c r="L33" i="18" s="1"/>
  <c r="I32" i="18"/>
  <c r="I31" i="18"/>
  <c r="I30" i="18"/>
  <c r="J30" i="18" s="1"/>
  <c r="K30" i="18" s="1"/>
  <c r="L30" i="18" s="1"/>
  <c r="I29" i="18"/>
  <c r="J29" i="18" s="1"/>
  <c r="K29" i="18" s="1"/>
  <c r="L29" i="18" s="1"/>
  <c r="I28" i="18"/>
  <c r="J28" i="18" s="1"/>
  <c r="K28" i="18" s="1"/>
  <c r="L28" i="18" s="1"/>
  <c r="I27" i="18"/>
  <c r="I26" i="18"/>
  <c r="J25" i="18"/>
  <c r="K25" i="18" s="1"/>
  <c r="L25" i="18" s="1"/>
  <c r="I25" i="18"/>
  <c r="I24" i="18"/>
  <c r="J24" i="18" s="1"/>
  <c r="K24" i="18" s="1"/>
  <c r="L24" i="18" s="1"/>
  <c r="I23" i="18"/>
  <c r="J23" i="18" s="1"/>
  <c r="K23" i="18" s="1"/>
  <c r="L23" i="18" s="1"/>
  <c r="J22" i="18"/>
  <c r="K22" i="18" s="1"/>
  <c r="L22" i="18" s="1"/>
  <c r="I22" i="18"/>
  <c r="J21" i="18"/>
  <c r="K21" i="18" s="1"/>
  <c r="L21" i="18" s="1"/>
  <c r="I21" i="18"/>
  <c r="I20" i="18"/>
  <c r="J20" i="18" s="1"/>
  <c r="K20" i="18" s="1"/>
  <c r="L20" i="18" s="1"/>
  <c r="I19" i="18"/>
  <c r="J19" i="18" s="1"/>
  <c r="K19" i="18" s="1"/>
  <c r="L19" i="18" s="1"/>
  <c r="J18" i="18"/>
  <c r="K18" i="18" s="1"/>
  <c r="L18" i="18" s="1"/>
  <c r="I18" i="18"/>
  <c r="J17" i="18"/>
  <c r="K17" i="18" s="1"/>
  <c r="L17" i="18" s="1"/>
  <c r="I17" i="18"/>
  <c r="I16" i="18"/>
  <c r="J16" i="18" s="1"/>
  <c r="K16" i="18" s="1"/>
  <c r="L16" i="18" s="1"/>
  <c r="I15" i="18"/>
  <c r="J15" i="18" s="1"/>
  <c r="K15" i="18" s="1"/>
  <c r="L15" i="18" s="1"/>
  <c r="J14" i="18"/>
  <c r="K14" i="18" s="1"/>
  <c r="L14" i="18" s="1"/>
  <c r="I14" i="18"/>
  <c r="J13" i="18"/>
  <c r="K13" i="18" s="1"/>
  <c r="L13" i="18" s="1"/>
  <c r="I13" i="18"/>
  <c r="I12" i="18"/>
  <c r="J12" i="18" s="1"/>
  <c r="K12" i="18" s="1"/>
  <c r="L12" i="18" s="1"/>
  <c r="I11" i="18"/>
  <c r="J11" i="18" s="1"/>
  <c r="K11" i="18" s="1"/>
  <c r="L11" i="18" s="1"/>
  <c r="I10" i="18"/>
  <c r="I9" i="18"/>
  <c r="I8" i="18"/>
  <c r="I7" i="18"/>
  <c r="I172" i="17"/>
  <c r="I171" i="17"/>
  <c r="I170" i="17"/>
  <c r="I169" i="17"/>
  <c r="I168" i="17"/>
  <c r="I167" i="17"/>
  <c r="I166" i="17"/>
  <c r="I165" i="17"/>
  <c r="I164" i="17"/>
  <c r="I163" i="17"/>
  <c r="I162" i="17"/>
  <c r="I161" i="17"/>
  <c r="I160" i="17"/>
  <c r="I159" i="17"/>
  <c r="I158" i="17"/>
  <c r="I154" i="17"/>
  <c r="I153" i="17"/>
  <c r="I152" i="17"/>
  <c r="I151" i="17"/>
  <c r="I150" i="17"/>
  <c r="I149" i="17"/>
  <c r="I148" i="17"/>
  <c r="I147" i="17"/>
  <c r="I146" i="17"/>
  <c r="I145" i="17"/>
  <c r="I144" i="17"/>
  <c r="I143" i="17"/>
  <c r="I142" i="17"/>
  <c r="I141" i="17"/>
  <c r="I140" i="17"/>
  <c r="I139" i="17"/>
  <c r="I138" i="17"/>
  <c r="I137" i="17"/>
  <c r="I136" i="17"/>
  <c r="I135" i="17"/>
  <c r="I134" i="17"/>
  <c r="I133" i="17"/>
  <c r="I132" i="17"/>
  <c r="I128" i="17"/>
  <c r="I127" i="17"/>
  <c r="I126" i="17"/>
  <c r="I125" i="17"/>
  <c r="I124" i="17"/>
  <c r="I123" i="17"/>
  <c r="I122" i="17"/>
  <c r="I121" i="17"/>
  <c r="I120" i="17"/>
  <c r="I119" i="17"/>
  <c r="I118" i="17"/>
  <c r="I117" i="17"/>
  <c r="I113" i="17"/>
  <c r="I112" i="17"/>
  <c r="I111" i="17"/>
  <c r="I110" i="17"/>
  <c r="I109" i="17"/>
  <c r="I108" i="17"/>
  <c r="I107" i="17"/>
  <c r="I106" i="17"/>
  <c r="I105" i="17"/>
  <c r="I104" i="17"/>
  <c r="I103" i="17"/>
  <c r="I102" i="17"/>
  <c r="I101" i="17"/>
  <c r="I100" i="17"/>
  <c r="I99" i="17"/>
  <c r="I98" i="17"/>
  <c r="I97" i="17"/>
  <c r="I96" i="17"/>
  <c r="I95" i="17"/>
  <c r="I94" i="17"/>
  <c r="I93" i="17"/>
  <c r="I92" i="17"/>
  <c r="I91" i="17"/>
  <c r="I90" i="17"/>
  <c r="I89" i="17"/>
  <c r="I88" i="17"/>
  <c r="I87" i="17"/>
  <c r="I86" i="17"/>
  <c r="I85" i="17"/>
  <c r="I84" i="17"/>
  <c r="I83" i="17"/>
  <c r="I82" i="17"/>
  <c r="I81" i="17"/>
  <c r="I80" i="17"/>
  <c r="I79" i="17"/>
  <c r="I78" i="17"/>
  <c r="I77" i="17"/>
  <c r="I76" i="17"/>
  <c r="I75" i="17"/>
  <c r="I74" i="17"/>
  <c r="I73" i="17"/>
  <c r="I72" i="17"/>
  <c r="I71" i="17"/>
  <c r="I70" i="17"/>
  <c r="I69" i="17"/>
  <c r="I68" i="17"/>
  <c r="I67" i="17"/>
  <c r="I66" i="17"/>
  <c r="I65" i="17"/>
  <c r="I64" i="17"/>
  <c r="I63" i="17"/>
  <c r="I62" i="17"/>
  <c r="I61" i="17"/>
  <c r="I60" i="17"/>
  <c r="I59" i="17"/>
  <c r="I58" i="17"/>
  <c r="I54" i="17"/>
  <c r="I53" i="17"/>
  <c r="I52" i="17"/>
  <c r="I51" i="17"/>
  <c r="I50" i="17"/>
  <c r="I49" i="17"/>
  <c r="I48" i="17"/>
  <c r="I47" i="17"/>
  <c r="I46" i="17"/>
  <c r="I45" i="17"/>
  <c r="I44" i="17"/>
  <c r="I43" i="17"/>
  <c r="I42" i="17"/>
  <c r="I41" i="17"/>
  <c r="I40" i="17"/>
  <c r="I39" i="17"/>
  <c r="I38" i="17"/>
  <c r="I37" i="17"/>
  <c r="I36" i="17"/>
  <c r="I35" i="17"/>
  <c r="I34" i="17"/>
  <c r="I33" i="17"/>
  <c r="I32" i="17"/>
  <c r="I31" i="17"/>
  <c r="I30" i="17"/>
  <c r="I29" i="17"/>
  <c r="I28" i="17"/>
  <c r="I27" i="17"/>
  <c r="I26" i="17"/>
  <c r="I25" i="17"/>
  <c r="I24" i="17"/>
  <c r="I23" i="17"/>
  <c r="I22" i="17"/>
  <c r="I21" i="17"/>
  <c r="I20" i="17"/>
  <c r="I19" i="17"/>
  <c r="I18" i="17"/>
  <c r="I17" i="17"/>
  <c r="I16" i="17"/>
  <c r="I15" i="17"/>
  <c r="I14" i="17"/>
  <c r="I13" i="17"/>
  <c r="I12" i="17"/>
  <c r="I11" i="17"/>
  <c r="I10" i="17"/>
  <c r="I9" i="17"/>
  <c r="I8" i="17"/>
  <c r="I7" i="17"/>
  <c r="I172" i="16"/>
  <c r="I171" i="16"/>
  <c r="I170" i="16"/>
  <c r="I169" i="16"/>
  <c r="I168" i="16"/>
  <c r="I167" i="16"/>
  <c r="I166" i="16"/>
  <c r="I165" i="16"/>
  <c r="I164" i="16"/>
  <c r="I163" i="16"/>
  <c r="I162" i="16"/>
  <c r="I161" i="16"/>
  <c r="I160" i="16"/>
  <c r="I159" i="16"/>
  <c r="I158" i="16"/>
  <c r="I154" i="16"/>
  <c r="I153" i="16"/>
  <c r="I152" i="16"/>
  <c r="I151" i="16"/>
  <c r="I150" i="16"/>
  <c r="I149" i="16"/>
  <c r="I148" i="16"/>
  <c r="I147" i="16"/>
  <c r="I146" i="16"/>
  <c r="I145" i="16"/>
  <c r="I144" i="16"/>
  <c r="I143" i="16"/>
  <c r="I142" i="16"/>
  <c r="I141" i="16"/>
  <c r="I140" i="16"/>
  <c r="I139" i="16"/>
  <c r="I138" i="16"/>
  <c r="I137" i="16"/>
  <c r="I136" i="16"/>
  <c r="I135" i="16"/>
  <c r="I134" i="16"/>
  <c r="I133" i="16"/>
  <c r="I132" i="16"/>
  <c r="I128" i="16"/>
  <c r="I127" i="16"/>
  <c r="I126" i="16"/>
  <c r="I125" i="16"/>
  <c r="I124" i="16"/>
  <c r="I123" i="16"/>
  <c r="I122" i="16"/>
  <c r="I121" i="16"/>
  <c r="I120" i="16"/>
  <c r="I119" i="16"/>
  <c r="I118" i="16"/>
  <c r="I117" i="16"/>
  <c r="I113" i="16"/>
  <c r="I112" i="16"/>
  <c r="I111" i="16"/>
  <c r="I110" i="16"/>
  <c r="I109" i="16"/>
  <c r="I108" i="16"/>
  <c r="I107" i="16"/>
  <c r="I106" i="16"/>
  <c r="I105" i="16"/>
  <c r="I104" i="16"/>
  <c r="I103" i="16"/>
  <c r="I102" i="16"/>
  <c r="I101" i="16"/>
  <c r="I100" i="16"/>
  <c r="I99" i="16"/>
  <c r="I98" i="16"/>
  <c r="I97" i="16"/>
  <c r="I96" i="16"/>
  <c r="I95" i="16"/>
  <c r="I94" i="16"/>
  <c r="I93" i="16"/>
  <c r="I92" i="16"/>
  <c r="I91" i="16"/>
  <c r="I90" i="16"/>
  <c r="I89" i="16"/>
  <c r="I88" i="16"/>
  <c r="I87" i="16"/>
  <c r="I86" i="16"/>
  <c r="I85" i="16"/>
  <c r="I84" i="16"/>
  <c r="I83" i="16"/>
  <c r="I82" i="16"/>
  <c r="I81" i="16"/>
  <c r="I80" i="16"/>
  <c r="I79" i="16"/>
  <c r="I78" i="16"/>
  <c r="I77" i="16"/>
  <c r="I76" i="16"/>
  <c r="I75" i="16"/>
  <c r="I74" i="16"/>
  <c r="I73" i="16"/>
  <c r="I72" i="16"/>
  <c r="I71" i="16"/>
  <c r="I70" i="16"/>
  <c r="I69" i="16"/>
  <c r="I68" i="16"/>
  <c r="I67" i="16"/>
  <c r="I66" i="16"/>
  <c r="I65" i="16"/>
  <c r="I64" i="16"/>
  <c r="I63" i="16"/>
  <c r="I62" i="16"/>
  <c r="I61" i="16"/>
  <c r="I60" i="16"/>
  <c r="I59" i="16"/>
  <c r="I58" i="16"/>
  <c r="I54" i="16"/>
  <c r="I53" i="16"/>
  <c r="I52" i="16"/>
  <c r="I51" i="16"/>
  <c r="I50" i="16"/>
  <c r="I49" i="16"/>
  <c r="I48" i="16"/>
  <c r="I47" i="16"/>
  <c r="I46" i="16"/>
  <c r="I45" i="16"/>
  <c r="I44" i="16"/>
  <c r="I43" i="16"/>
  <c r="I42" i="16"/>
  <c r="I41" i="16"/>
  <c r="I40" i="16"/>
  <c r="I39" i="16"/>
  <c r="I38" i="16"/>
  <c r="I37" i="16"/>
  <c r="I36" i="16"/>
  <c r="I35" i="16"/>
  <c r="I34" i="16"/>
  <c r="I33" i="16"/>
  <c r="I32" i="16"/>
  <c r="I31" i="16"/>
  <c r="I30" i="16"/>
  <c r="I29" i="16"/>
  <c r="I28" i="16"/>
  <c r="I27" i="16"/>
  <c r="I26" i="16"/>
  <c r="I25" i="16"/>
  <c r="I24" i="16"/>
  <c r="I23" i="16"/>
  <c r="I22" i="16"/>
  <c r="I21" i="16"/>
  <c r="I20" i="16"/>
  <c r="I19" i="16"/>
  <c r="I18" i="16"/>
  <c r="I17" i="16"/>
  <c r="I16" i="16"/>
  <c r="I15" i="16"/>
  <c r="I14" i="16"/>
  <c r="I13" i="16"/>
  <c r="I12" i="16"/>
  <c r="I11" i="16"/>
  <c r="I10" i="16"/>
  <c r="I9" i="16"/>
  <c r="I8" i="16"/>
  <c r="I7" i="16"/>
  <c r="I172" i="15"/>
  <c r="I171" i="15"/>
  <c r="I170" i="15"/>
  <c r="I169" i="15"/>
  <c r="I168" i="15"/>
  <c r="I167" i="15"/>
  <c r="I166" i="15"/>
  <c r="I165" i="15"/>
  <c r="I164" i="15"/>
  <c r="I163" i="15"/>
  <c r="I162" i="15"/>
  <c r="I161" i="15"/>
  <c r="I160" i="15"/>
  <c r="I159" i="15"/>
  <c r="I158" i="15"/>
  <c r="I154" i="15"/>
  <c r="I153" i="15"/>
  <c r="I152" i="15"/>
  <c r="I151" i="15"/>
  <c r="I150" i="15"/>
  <c r="I149" i="15"/>
  <c r="I148" i="15"/>
  <c r="I147" i="15"/>
  <c r="I146" i="15"/>
  <c r="I145" i="15"/>
  <c r="I144" i="15"/>
  <c r="I143" i="15"/>
  <c r="I142" i="15"/>
  <c r="I141" i="15"/>
  <c r="I140" i="15"/>
  <c r="I139" i="15"/>
  <c r="I138" i="15"/>
  <c r="I137" i="15"/>
  <c r="I136" i="15"/>
  <c r="I135" i="15"/>
  <c r="I134" i="15"/>
  <c r="I133" i="15"/>
  <c r="I132" i="15"/>
  <c r="I128" i="15"/>
  <c r="I127" i="15"/>
  <c r="I126" i="15"/>
  <c r="I125" i="15"/>
  <c r="I124" i="15"/>
  <c r="I123" i="15"/>
  <c r="I122" i="15"/>
  <c r="I121" i="15"/>
  <c r="I120" i="15"/>
  <c r="I119" i="15"/>
  <c r="I118" i="15"/>
  <c r="I117" i="15"/>
  <c r="I113" i="15"/>
  <c r="I112" i="15"/>
  <c r="I111" i="15"/>
  <c r="I110" i="15"/>
  <c r="I109" i="15"/>
  <c r="I108" i="15"/>
  <c r="I107" i="15"/>
  <c r="I106" i="15"/>
  <c r="I105" i="15"/>
  <c r="I104" i="15"/>
  <c r="I103" i="15"/>
  <c r="I102" i="15"/>
  <c r="I101" i="15"/>
  <c r="I100" i="15"/>
  <c r="I99" i="15"/>
  <c r="I98" i="15"/>
  <c r="I97" i="15"/>
  <c r="I96" i="15"/>
  <c r="I95" i="15"/>
  <c r="I94" i="15"/>
  <c r="I93" i="15"/>
  <c r="I92" i="15"/>
  <c r="I91" i="15"/>
  <c r="I90" i="15"/>
  <c r="I89" i="15"/>
  <c r="I88" i="15"/>
  <c r="I87" i="15"/>
  <c r="I86" i="15"/>
  <c r="I85" i="15"/>
  <c r="I84" i="15"/>
  <c r="I83" i="15"/>
  <c r="I82" i="15"/>
  <c r="I81" i="15"/>
  <c r="I80" i="15"/>
  <c r="I79" i="15"/>
  <c r="I78" i="15"/>
  <c r="I77" i="15"/>
  <c r="I76" i="15"/>
  <c r="I75" i="15"/>
  <c r="I74" i="15"/>
  <c r="I73" i="15"/>
  <c r="I72" i="15"/>
  <c r="I71" i="15"/>
  <c r="I70" i="15"/>
  <c r="I69" i="15"/>
  <c r="I68" i="15"/>
  <c r="I67" i="15"/>
  <c r="I66" i="15"/>
  <c r="I65" i="15"/>
  <c r="I64" i="15"/>
  <c r="I63" i="15"/>
  <c r="I62" i="15"/>
  <c r="I61" i="15"/>
  <c r="I60" i="15"/>
  <c r="I59" i="15"/>
  <c r="I58" i="15"/>
  <c r="I54" i="15"/>
  <c r="I53" i="15"/>
  <c r="I52" i="15"/>
  <c r="I51" i="15"/>
  <c r="I50" i="15"/>
  <c r="I49" i="15"/>
  <c r="I48" i="15"/>
  <c r="I47" i="15"/>
  <c r="I46" i="15"/>
  <c r="I45" i="15"/>
  <c r="I44" i="15"/>
  <c r="I43" i="15"/>
  <c r="I42" i="15"/>
  <c r="I41" i="15"/>
  <c r="I40" i="15"/>
  <c r="I39" i="15"/>
  <c r="I38" i="15"/>
  <c r="I37" i="15"/>
  <c r="I36" i="15"/>
  <c r="I35" i="15"/>
  <c r="I34" i="15"/>
  <c r="I33" i="15"/>
  <c r="I32" i="15"/>
  <c r="I31" i="15"/>
  <c r="I30" i="15"/>
  <c r="I29" i="15"/>
  <c r="I28" i="15"/>
  <c r="I27" i="15"/>
  <c r="I26" i="15"/>
  <c r="I25" i="15"/>
  <c r="I24" i="15"/>
  <c r="I23" i="15"/>
  <c r="I22" i="15"/>
  <c r="I21" i="15"/>
  <c r="I20" i="15"/>
  <c r="I19" i="15"/>
  <c r="I18" i="15"/>
  <c r="I17" i="15"/>
  <c r="I16" i="15"/>
  <c r="I15" i="15"/>
  <c r="I14" i="15"/>
  <c r="I13" i="15"/>
  <c r="I12" i="15"/>
  <c r="I11" i="15"/>
  <c r="I10" i="15"/>
  <c r="I9" i="15"/>
  <c r="I8" i="15"/>
  <c r="I7" i="15"/>
  <c r="I172" i="14" l="1"/>
  <c r="I171" i="14"/>
  <c r="I170" i="14"/>
  <c r="I169" i="14"/>
  <c r="I168" i="14"/>
  <c r="I167" i="14"/>
  <c r="I166" i="14"/>
  <c r="I165" i="14"/>
  <c r="I164" i="14"/>
  <c r="I163" i="14"/>
  <c r="I162" i="14"/>
  <c r="I161" i="14"/>
  <c r="I160" i="14"/>
  <c r="I159" i="14"/>
  <c r="I158" i="14"/>
  <c r="I154" i="14"/>
  <c r="I153" i="14"/>
  <c r="I152" i="14"/>
  <c r="I151" i="14"/>
  <c r="I150" i="14"/>
  <c r="I149" i="14"/>
  <c r="I148" i="14"/>
  <c r="I147" i="14"/>
  <c r="I146" i="14"/>
  <c r="I145" i="14"/>
  <c r="I144" i="14"/>
  <c r="I143" i="14"/>
  <c r="I142" i="14"/>
  <c r="I141" i="14"/>
  <c r="I140" i="14"/>
  <c r="I139" i="14"/>
  <c r="I138" i="14"/>
  <c r="I137" i="14"/>
  <c r="I136" i="14"/>
  <c r="I135" i="14"/>
  <c r="I134" i="14"/>
  <c r="I133" i="14"/>
  <c r="I132" i="14"/>
  <c r="I128" i="14"/>
  <c r="I127" i="14"/>
  <c r="I126" i="14"/>
  <c r="I125" i="14"/>
  <c r="I124" i="14"/>
  <c r="I123" i="14"/>
  <c r="I122" i="14"/>
  <c r="I121" i="14"/>
  <c r="I120" i="14"/>
  <c r="I119" i="14"/>
  <c r="I117" i="14"/>
  <c r="I113" i="14"/>
  <c r="I112" i="14"/>
  <c r="I111" i="14"/>
  <c r="I110" i="14"/>
  <c r="I109" i="14"/>
  <c r="I108" i="14"/>
  <c r="I107" i="14"/>
  <c r="I106" i="14"/>
  <c r="I105" i="14"/>
  <c r="I104" i="14"/>
  <c r="I103" i="14"/>
  <c r="I102" i="14"/>
  <c r="I101" i="14"/>
  <c r="I100" i="14"/>
  <c r="I99" i="14"/>
  <c r="I98" i="14"/>
  <c r="I97" i="14"/>
  <c r="I96" i="14"/>
  <c r="I95" i="14"/>
  <c r="I94" i="14"/>
  <c r="I93" i="14"/>
  <c r="I92" i="14"/>
  <c r="I91" i="14"/>
  <c r="I90" i="14"/>
  <c r="I89" i="14"/>
  <c r="I88" i="14"/>
  <c r="I87" i="14"/>
  <c r="I86" i="14"/>
  <c r="I85" i="14"/>
  <c r="I84" i="14"/>
  <c r="I83" i="14"/>
  <c r="I82" i="14"/>
  <c r="I81" i="14"/>
  <c r="I80" i="14"/>
  <c r="I79" i="14"/>
  <c r="I78" i="14"/>
  <c r="I77" i="14"/>
  <c r="I76" i="14"/>
  <c r="I75" i="14"/>
  <c r="I74" i="14"/>
  <c r="I73" i="14"/>
  <c r="I72" i="14"/>
  <c r="I71" i="14"/>
  <c r="I70" i="14"/>
  <c r="I69" i="14"/>
  <c r="I68" i="14"/>
  <c r="I67" i="14"/>
  <c r="I66" i="14"/>
  <c r="I65" i="14"/>
  <c r="I64" i="14"/>
  <c r="I63" i="14"/>
  <c r="I62" i="14"/>
  <c r="I61" i="14"/>
  <c r="I60" i="14"/>
  <c r="I59" i="14"/>
  <c r="I58" i="14"/>
  <c r="I54" i="14"/>
  <c r="I53" i="14"/>
  <c r="I52" i="14"/>
  <c r="I51" i="14"/>
  <c r="I50" i="14"/>
  <c r="I49" i="14"/>
  <c r="I48" i="14"/>
  <c r="I47" i="14"/>
  <c r="I46" i="14"/>
  <c r="I45" i="14"/>
  <c r="I44" i="14"/>
  <c r="I43" i="14"/>
  <c r="I42" i="14"/>
  <c r="I41" i="14"/>
  <c r="I40" i="14"/>
  <c r="I39" i="14"/>
  <c r="I38" i="14"/>
  <c r="I37" i="14"/>
  <c r="I36" i="14"/>
  <c r="I35" i="14"/>
  <c r="I34" i="14"/>
  <c r="I33" i="14"/>
  <c r="I32" i="14"/>
  <c r="I31" i="14"/>
  <c r="I30" i="14"/>
  <c r="I29" i="14"/>
  <c r="I28" i="14"/>
  <c r="I27" i="14"/>
  <c r="I26" i="14"/>
  <c r="I25" i="14"/>
  <c r="I24" i="14"/>
  <c r="I23" i="14"/>
  <c r="I22" i="14"/>
  <c r="I21" i="14"/>
  <c r="I20" i="14"/>
  <c r="I19" i="14"/>
  <c r="I18" i="14"/>
  <c r="I17" i="14"/>
  <c r="I16" i="14"/>
  <c r="I15" i="14"/>
  <c r="I14" i="14"/>
  <c r="I13" i="14"/>
  <c r="I12" i="14"/>
  <c r="I11" i="14"/>
  <c r="I10" i="14"/>
  <c r="I9" i="14"/>
  <c r="I8" i="14"/>
  <c r="I7" i="14"/>
  <c r="I174" i="13"/>
  <c r="I173" i="13"/>
  <c r="I172" i="13"/>
  <c r="I171" i="13"/>
  <c r="I170" i="13"/>
  <c r="I169" i="13"/>
  <c r="I168" i="13"/>
  <c r="I167" i="13"/>
  <c r="I166" i="13"/>
  <c r="I165" i="13"/>
  <c r="I164" i="13"/>
  <c r="I163" i="13"/>
  <c r="I162" i="13"/>
  <c r="I161" i="13"/>
  <c r="I160" i="13"/>
  <c r="I159" i="13"/>
  <c r="I158" i="13"/>
  <c r="I154" i="13"/>
  <c r="I153" i="13"/>
  <c r="I152" i="13"/>
  <c r="I151" i="13"/>
  <c r="I150" i="13"/>
  <c r="I149" i="13"/>
  <c r="I148" i="13"/>
  <c r="I147" i="13"/>
  <c r="I146" i="13"/>
  <c r="I145" i="13"/>
  <c r="I144" i="13"/>
  <c r="I143" i="13"/>
  <c r="I142" i="13"/>
  <c r="I141" i="13"/>
  <c r="I140" i="13"/>
  <c r="I139" i="13"/>
  <c r="I138" i="13"/>
  <c r="I137" i="13"/>
  <c r="I136" i="13"/>
  <c r="I135" i="13"/>
  <c r="I134" i="13"/>
  <c r="I133" i="13"/>
  <c r="I132" i="13"/>
  <c r="I128" i="13"/>
  <c r="I127" i="13"/>
  <c r="I126" i="13"/>
  <c r="I125" i="13"/>
  <c r="I124" i="13"/>
  <c r="I123" i="13"/>
  <c r="I122" i="13"/>
  <c r="I121" i="13"/>
  <c r="I120" i="13"/>
  <c r="I119" i="13"/>
  <c r="I118" i="13"/>
  <c r="I117" i="13"/>
  <c r="I113" i="13"/>
  <c r="I112" i="13"/>
  <c r="I111" i="13"/>
  <c r="I110" i="13"/>
  <c r="I109" i="13"/>
  <c r="I108" i="13"/>
  <c r="I107" i="13"/>
  <c r="I106" i="13"/>
  <c r="I105" i="13"/>
  <c r="I104" i="13"/>
  <c r="I103" i="13"/>
  <c r="I102" i="13"/>
  <c r="I101" i="13"/>
  <c r="I100" i="13"/>
  <c r="I99" i="13"/>
  <c r="I98" i="13"/>
  <c r="I97" i="13"/>
  <c r="I96" i="13"/>
  <c r="I95" i="13"/>
  <c r="I94" i="13"/>
  <c r="I93" i="13"/>
  <c r="I92" i="13"/>
  <c r="I91" i="13"/>
  <c r="I90" i="13"/>
  <c r="I89" i="13"/>
  <c r="I88" i="13"/>
  <c r="I87" i="13"/>
  <c r="I86" i="13"/>
  <c r="I85" i="13"/>
  <c r="I84" i="13"/>
  <c r="I83" i="13"/>
  <c r="I82" i="13"/>
  <c r="I81" i="13"/>
  <c r="I80" i="13"/>
  <c r="I79" i="13"/>
  <c r="I78" i="13"/>
  <c r="I77" i="13"/>
  <c r="I76" i="13"/>
  <c r="I75" i="13"/>
  <c r="I74" i="13"/>
  <c r="I73" i="13"/>
  <c r="I72" i="13"/>
  <c r="I71" i="13"/>
  <c r="I70" i="13"/>
  <c r="I69" i="13"/>
  <c r="I68" i="13"/>
  <c r="I67" i="13"/>
  <c r="I66" i="13"/>
  <c r="I65" i="13"/>
  <c r="I64" i="13"/>
  <c r="I63" i="13"/>
  <c r="I62" i="13"/>
  <c r="I61" i="13"/>
  <c r="I60" i="13"/>
  <c r="I59" i="13"/>
  <c r="I58" i="13"/>
  <c r="I54" i="13"/>
  <c r="I53" i="13"/>
  <c r="I52" i="13"/>
  <c r="I51" i="13"/>
  <c r="I50" i="13"/>
  <c r="I49" i="13"/>
  <c r="I48" i="13"/>
  <c r="I47" i="13"/>
  <c r="I46" i="13"/>
  <c r="I45" i="13"/>
  <c r="I44" i="13"/>
  <c r="I43" i="13"/>
  <c r="I42" i="13"/>
  <c r="I41" i="13"/>
  <c r="I40" i="13"/>
  <c r="I39" i="13"/>
  <c r="I38" i="13"/>
  <c r="I37" i="13"/>
  <c r="I36" i="13"/>
  <c r="I35" i="13"/>
  <c r="I34" i="13"/>
  <c r="I33" i="13"/>
  <c r="I32" i="13"/>
  <c r="I31" i="13"/>
  <c r="I30" i="13"/>
  <c r="I29" i="13"/>
  <c r="I28" i="13"/>
  <c r="I27" i="13"/>
  <c r="I26" i="13"/>
  <c r="I25" i="13"/>
  <c r="I24" i="13"/>
  <c r="I23" i="13"/>
  <c r="I22" i="13"/>
  <c r="I21" i="13"/>
  <c r="I20" i="13"/>
  <c r="I19" i="13"/>
  <c r="I18" i="13"/>
  <c r="I17" i="13"/>
  <c r="I16" i="13"/>
  <c r="I15" i="13"/>
  <c r="I14" i="13"/>
  <c r="I13" i="13"/>
  <c r="I12" i="13"/>
  <c r="I11" i="13"/>
  <c r="I10" i="13"/>
  <c r="I9" i="13"/>
  <c r="I8" i="13"/>
  <c r="I7" i="13"/>
  <c r="I172" i="12"/>
  <c r="I171" i="12"/>
  <c r="I170" i="12"/>
  <c r="I169" i="12"/>
  <c r="I168" i="12"/>
  <c r="I167" i="12"/>
  <c r="I166" i="12"/>
  <c r="I165" i="12"/>
  <c r="I164" i="12"/>
  <c r="I163" i="12"/>
  <c r="I162" i="12"/>
  <c r="I161" i="12"/>
  <c r="I160" i="12"/>
  <c r="I159" i="12"/>
  <c r="I158" i="12"/>
  <c r="I154" i="12"/>
  <c r="I153" i="12"/>
  <c r="I152" i="12"/>
  <c r="I151" i="12"/>
  <c r="I150" i="12"/>
  <c r="I149" i="12"/>
  <c r="I148" i="12"/>
  <c r="I147" i="12"/>
  <c r="I146" i="12"/>
  <c r="I145" i="12"/>
  <c r="I144" i="12"/>
  <c r="I143" i="12"/>
  <c r="I142" i="12"/>
  <c r="I141" i="12"/>
  <c r="I140" i="12"/>
  <c r="I139" i="12"/>
  <c r="I138" i="12"/>
  <c r="I137" i="12"/>
  <c r="I136" i="12"/>
  <c r="I135" i="12"/>
  <c r="I134" i="12"/>
  <c r="I133" i="12"/>
  <c r="I132" i="12"/>
  <c r="I128" i="12"/>
  <c r="I127" i="12"/>
  <c r="I126" i="12"/>
  <c r="I125" i="12"/>
  <c r="I124" i="12"/>
  <c r="I123" i="12"/>
  <c r="I122" i="12"/>
  <c r="I121" i="12"/>
  <c r="I120" i="12"/>
  <c r="I119" i="12"/>
  <c r="I117" i="12"/>
  <c r="I113" i="12"/>
  <c r="I112" i="12"/>
  <c r="I111" i="12"/>
  <c r="I110" i="12"/>
  <c r="I109" i="12"/>
  <c r="I108" i="12"/>
  <c r="I107" i="12"/>
  <c r="I106" i="12"/>
  <c r="I105" i="12"/>
  <c r="I104" i="12"/>
  <c r="I103" i="12"/>
  <c r="I102" i="12"/>
  <c r="I101" i="12"/>
  <c r="I100" i="12"/>
  <c r="I99" i="12"/>
  <c r="I98" i="12"/>
  <c r="I97" i="12"/>
  <c r="I96" i="12"/>
  <c r="I95" i="12"/>
  <c r="I94" i="12"/>
  <c r="I93" i="12"/>
  <c r="I92" i="12"/>
  <c r="I91" i="12"/>
  <c r="I90" i="12"/>
  <c r="I89" i="12"/>
  <c r="I88" i="12"/>
  <c r="I87" i="12"/>
  <c r="I86" i="12"/>
  <c r="I85" i="12"/>
  <c r="I84" i="12"/>
  <c r="I83" i="12"/>
  <c r="I82" i="12"/>
  <c r="I81" i="12"/>
  <c r="I80" i="12"/>
  <c r="I79" i="12"/>
  <c r="I78" i="12"/>
  <c r="I77" i="12"/>
  <c r="I76" i="12"/>
  <c r="I75" i="12"/>
  <c r="I74" i="12"/>
  <c r="I73" i="12"/>
  <c r="I72" i="12"/>
  <c r="I71" i="12"/>
  <c r="I70" i="12"/>
  <c r="I69" i="12"/>
  <c r="I68" i="12"/>
  <c r="I67" i="12"/>
  <c r="I66" i="12"/>
  <c r="I65" i="12"/>
  <c r="I64" i="12"/>
  <c r="I63" i="12"/>
  <c r="I62" i="12"/>
  <c r="I61" i="12"/>
  <c r="I60" i="12"/>
  <c r="I59" i="12"/>
  <c r="I58" i="12"/>
  <c r="I54" i="12"/>
  <c r="I53" i="12"/>
  <c r="I52" i="12"/>
  <c r="I51" i="12"/>
  <c r="I50" i="12"/>
  <c r="I49" i="12"/>
  <c r="I48" i="12"/>
  <c r="I47" i="12"/>
  <c r="I46" i="12"/>
  <c r="I45" i="12"/>
  <c r="I44" i="12"/>
  <c r="I43" i="12"/>
  <c r="I42" i="12"/>
  <c r="I41" i="12"/>
  <c r="I40" i="12"/>
  <c r="I39" i="12"/>
  <c r="I38" i="12"/>
  <c r="I37" i="12"/>
  <c r="I36" i="12"/>
  <c r="I35" i="12"/>
  <c r="I34" i="12"/>
  <c r="I33" i="12"/>
  <c r="I32" i="12"/>
  <c r="I31" i="12"/>
  <c r="I30" i="12"/>
  <c r="I29" i="12"/>
  <c r="I28" i="12"/>
  <c r="I27" i="12"/>
  <c r="I26" i="12"/>
  <c r="I25" i="12"/>
  <c r="I24" i="12"/>
  <c r="I23" i="12"/>
  <c r="I22" i="12"/>
  <c r="I21" i="12"/>
  <c r="I20" i="12"/>
  <c r="I19" i="12"/>
  <c r="I18" i="12"/>
  <c r="I17" i="12"/>
  <c r="I16" i="12"/>
  <c r="I15" i="12"/>
  <c r="I14" i="12"/>
  <c r="I13" i="12"/>
  <c r="I12" i="12"/>
  <c r="I11" i="12"/>
  <c r="I10" i="12"/>
  <c r="I9" i="12"/>
  <c r="I8" i="12"/>
  <c r="I7" i="12"/>
  <c r="I172" i="11"/>
  <c r="I171" i="11"/>
  <c r="I170" i="11"/>
  <c r="I169" i="11"/>
  <c r="I168" i="11"/>
  <c r="I167" i="11"/>
  <c r="I166" i="11"/>
  <c r="I165" i="11"/>
  <c r="I164" i="11"/>
  <c r="I163" i="11"/>
  <c r="I162" i="11"/>
  <c r="I161" i="11"/>
  <c r="I160" i="11"/>
  <c r="I159" i="11"/>
  <c r="I158" i="11"/>
  <c r="I154" i="11"/>
  <c r="I153" i="11"/>
  <c r="I152" i="11"/>
  <c r="I151" i="11"/>
  <c r="I150" i="11"/>
  <c r="I149" i="11"/>
  <c r="I148" i="11"/>
  <c r="I147" i="11"/>
  <c r="I146" i="11"/>
  <c r="I145" i="11"/>
  <c r="I144" i="11"/>
  <c r="I143" i="11"/>
  <c r="I142" i="11"/>
  <c r="I141" i="11"/>
  <c r="I140" i="11"/>
  <c r="I139" i="11"/>
  <c r="I138" i="11"/>
  <c r="I137" i="11"/>
  <c r="I136" i="11"/>
  <c r="I135" i="11"/>
  <c r="I134" i="11"/>
  <c r="I133" i="11"/>
  <c r="I132" i="11"/>
  <c r="I128" i="11"/>
  <c r="I127" i="11"/>
  <c r="I126" i="11"/>
  <c r="I125" i="11"/>
  <c r="I124" i="11"/>
  <c r="I123" i="11"/>
  <c r="I122" i="11"/>
  <c r="I121" i="11"/>
  <c r="I120" i="11"/>
  <c r="I119" i="11"/>
  <c r="I117" i="11"/>
  <c r="J113" i="11"/>
  <c r="I113" i="11"/>
  <c r="I112" i="11"/>
  <c r="J112" i="11" s="1"/>
  <c r="J111" i="11"/>
  <c r="I111" i="11"/>
  <c r="I110" i="11"/>
  <c r="J110" i="11" s="1"/>
  <c r="I109" i="11"/>
  <c r="J109" i="11" s="1"/>
  <c r="I108" i="11"/>
  <c r="J108" i="11" s="1"/>
  <c r="I107" i="11"/>
  <c r="J107" i="11" s="1"/>
  <c r="I106" i="11"/>
  <c r="J106" i="11" s="1"/>
  <c r="I105" i="11"/>
  <c r="J105" i="11" s="1"/>
  <c r="I104" i="11"/>
  <c r="J104" i="11" s="1"/>
  <c r="J103" i="11"/>
  <c r="I103" i="11"/>
  <c r="I102" i="11"/>
  <c r="J102" i="11" s="1"/>
  <c r="I101" i="11"/>
  <c r="J101" i="11" s="1"/>
  <c r="I100" i="11"/>
  <c r="J100" i="11" s="1"/>
  <c r="J99" i="11"/>
  <c r="I99" i="11"/>
  <c r="I98" i="11"/>
  <c r="J98" i="11" s="1"/>
  <c r="J97" i="11"/>
  <c r="I97" i="11"/>
  <c r="I96" i="11"/>
  <c r="J96" i="11" s="1"/>
  <c r="J95" i="11"/>
  <c r="I95" i="11"/>
  <c r="I94" i="11"/>
  <c r="J94" i="11" s="1"/>
  <c r="I93" i="11"/>
  <c r="J93" i="11" s="1"/>
  <c r="I92" i="11"/>
  <c r="J92" i="11" s="1"/>
  <c r="I91" i="11"/>
  <c r="J91" i="11" s="1"/>
  <c r="I90" i="11"/>
  <c r="J90" i="11" s="1"/>
  <c r="I89" i="11"/>
  <c r="J89" i="11" s="1"/>
  <c r="I88" i="11"/>
  <c r="J88" i="11" s="1"/>
  <c r="J87" i="11"/>
  <c r="I87" i="11"/>
  <c r="I86" i="11"/>
  <c r="J86" i="11" s="1"/>
  <c r="I85" i="11"/>
  <c r="J85" i="11" s="1"/>
  <c r="I84" i="11"/>
  <c r="J84" i="11" s="1"/>
  <c r="J83" i="11"/>
  <c r="I83" i="11"/>
  <c r="I82" i="11"/>
  <c r="J82" i="11" s="1"/>
  <c r="J81" i="11"/>
  <c r="I81" i="11"/>
  <c r="I80" i="11"/>
  <c r="J80" i="11" s="1"/>
  <c r="J79" i="11"/>
  <c r="I79" i="11"/>
  <c r="I78" i="11"/>
  <c r="J78" i="11" s="1"/>
  <c r="I77" i="11"/>
  <c r="J77" i="11" s="1"/>
  <c r="I76" i="11"/>
  <c r="J76" i="11" s="1"/>
  <c r="I75" i="11"/>
  <c r="J75" i="11" s="1"/>
  <c r="I74" i="11"/>
  <c r="J74" i="11" s="1"/>
  <c r="I73" i="11"/>
  <c r="J73" i="11" s="1"/>
  <c r="I72" i="11"/>
  <c r="J72" i="11" s="1"/>
  <c r="J71" i="11"/>
  <c r="I71" i="11"/>
  <c r="I70" i="11"/>
  <c r="J70" i="11" s="1"/>
  <c r="I69" i="11"/>
  <c r="J69" i="11" s="1"/>
  <c r="I68" i="11"/>
  <c r="J68" i="11" s="1"/>
  <c r="J67" i="11"/>
  <c r="I67" i="11"/>
  <c r="I66" i="11"/>
  <c r="J66" i="11" s="1"/>
  <c r="J65" i="11"/>
  <c r="I65" i="11"/>
  <c r="I64" i="11"/>
  <c r="J64" i="11" s="1"/>
  <c r="J63" i="11"/>
  <c r="I63" i="11"/>
  <c r="I62" i="11"/>
  <c r="J62" i="11" s="1"/>
  <c r="I61" i="11"/>
  <c r="J61" i="11" s="1"/>
  <c r="I60" i="11"/>
  <c r="J60" i="11" s="1"/>
  <c r="I59" i="11"/>
  <c r="J59" i="11" s="1"/>
  <c r="I58" i="11"/>
  <c r="J58" i="11" s="1"/>
  <c r="I54" i="11"/>
  <c r="J54" i="11" s="1"/>
  <c r="I53" i="11"/>
  <c r="J53" i="11" s="1"/>
  <c r="J52" i="11"/>
  <c r="I52" i="11"/>
  <c r="I51" i="11"/>
  <c r="J51" i="11" s="1"/>
  <c r="I50" i="11"/>
  <c r="J50" i="11" s="1"/>
  <c r="I49" i="11"/>
  <c r="J49" i="11" s="1"/>
  <c r="J48" i="11"/>
  <c r="I48" i="11"/>
  <c r="I47" i="11"/>
  <c r="J46" i="11"/>
  <c r="I46" i="11"/>
  <c r="I45" i="11"/>
  <c r="J45" i="11" s="1"/>
  <c r="I44" i="11"/>
  <c r="J44" i="11" s="1"/>
  <c r="I43" i="11"/>
  <c r="J43" i="11" s="1"/>
  <c r="J42" i="11"/>
  <c r="I42" i="11"/>
  <c r="I41" i="11"/>
  <c r="J41" i="11" s="1"/>
  <c r="I40" i="11"/>
  <c r="J40" i="11" s="1"/>
  <c r="I39" i="11"/>
  <c r="J39" i="11" s="1"/>
  <c r="J38" i="11"/>
  <c r="I38" i="11"/>
  <c r="I37" i="11"/>
  <c r="J37" i="11" s="1"/>
  <c r="I36" i="11"/>
  <c r="J36" i="11" s="1"/>
  <c r="I35" i="11"/>
  <c r="J35" i="11" s="1"/>
  <c r="J34" i="11"/>
  <c r="I34" i="11"/>
  <c r="I33" i="11"/>
  <c r="J33" i="11" s="1"/>
  <c r="I32" i="11"/>
  <c r="I31" i="11"/>
  <c r="I30" i="11"/>
  <c r="J30" i="11" s="1"/>
  <c r="J29" i="11"/>
  <c r="I29" i="11"/>
  <c r="I28" i="11"/>
  <c r="J28" i="11" s="1"/>
  <c r="I27" i="11"/>
  <c r="I26" i="11"/>
  <c r="I25" i="11"/>
  <c r="J25" i="11" s="1"/>
  <c r="J24" i="11"/>
  <c r="I24" i="11"/>
  <c r="I23" i="11"/>
  <c r="J23" i="11" s="1"/>
  <c r="I22" i="11"/>
  <c r="J22" i="11" s="1"/>
  <c r="I21" i="11"/>
  <c r="J21" i="11" s="1"/>
  <c r="J20" i="11"/>
  <c r="I20" i="11"/>
  <c r="I19" i="11"/>
  <c r="J19" i="11" s="1"/>
  <c r="I18" i="11"/>
  <c r="J18" i="11" s="1"/>
  <c r="I17" i="11"/>
  <c r="J17" i="11" s="1"/>
  <c r="J16" i="11"/>
  <c r="I16" i="11"/>
  <c r="I15" i="11"/>
  <c r="J15" i="11" s="1"/>
  <c r="I14" i="11"/>
  <c r="J14" i="11" s="1"/>
  <c r="I13" i="11"/>
  <c r="J13" i="11" s="1"/>
  <c r="J12" i="11"/>
  <c r="I12" i="11"/>
  <c r="I11" i="11"/>
  <c r="J11" i="11" s="1"/>
  <c r="I10" i="11"/>
  <c r="I9" i="11"/>
  <c r="I8" i="11"/>
  <c r="I7" i="11"/>
  <c r="I174" i="8"/>
  <c r="J174" i="8" s="1"/>
  <c r="I173" i="8"/>
  <c r="J173" i="8" s="1"/>
  <c r="I172" i="8"/>
  <c r="J172" i="8" s="1"/>
  <c r="I171" i="8"/>
  <c r="J171" i="8" s="1"/>
  <c r="I170" i="8"/>
  <c r="J170" i="8" s="1"/>
  <c r="I169" i="8"/>
  <c r="J169" i="8" s="1"/>
  <c r="I168" i="8"/>
  <c r="J168" i="8" s="1"/>
  <c r="I167" i="8"/>
  <c r="J167" i="8" s="1"/>
  <c r="I166" i="8"/>
  <c r="J166" i="8" s="1"/>
  <c r="I165" i="8"/>
  <c r="J165" i="8" s="1"/>
  <c r="I164" i="8"/>
  <c r="J164" i="8" s="1"/>
  <c r="I163" i="8"/>
  <c r="J163" i="8" s="1"/>
  <c r="I162" i="8"/>
  <c r="J162" i="8" s="1"/>
  <c r="I161" i="8"/>
  <c r="J161" i="8" s="1"/>
  <c r="I160" i="8"/>
  <c r="J160" i="8" s="1"/>
  <c r="I159" i="8"/>
  <c r="J159" i="8" s="1"/>
  <c r="I158" i="8"/>
  <c r="J158" i="8" s="1"/>
  <c r="I154" i="8"/>
  <c r="J154" i="8" s="1"/>
  <c r="I153" i="8"/>
  <c r="J153" i="8" s="1"/>
  <c r="I152" i="8"/>
  <c r="J152" i="8" s="1"/>
  <c r="I151" i="8"/>
  <c r="J151" i="8" s="1"/>
  <c r="I150" i="8"/>
  <c r="J150" i="8" s="1"/>
  <c r="I149" i="8"/>
  <c r="J149" i="8" s="1"/>
  <c r="I148" i="8"/>
  <c r="J148" i="8" s="1"/>
  <c r="I147" i="8"/>
  <c r="J147" i="8" s="1"/>
  <c r="I146" i="8"/>
  <c r="J146" i="8" s="1"/>
  <c r="I145" i="8"/>
  <c r="J145" i="8" s="1"/>
  <c r="I144" i="8"/>
  <c r="J144" i="8" s="1"/>
  <c r="I143" i="8"/>
  <c r="J143" i="8" s="1"/>
  <c r="I142" i="8"/>
  <c r="J142" i="8" s="1"/>
  <c r="I141" i="8"/>
  <c r="J141" i="8" s="1"/>
  <c r="I140" i="8"/>
  <c r="J140" i="8" s="1"/>
  <c r="I139" i="8"/>
  <c r="J139" i="8" s="1"/>
  <c r="I138" i="8"/>
  <c r="J138" i="8" s="1"/>
  <c r="I137" i="8"/>
  <c r="J137" i="8" s="1"/>
  <c r="I136" i="8"/>
  <c r="J136" i="8" s="1"/>
  <c r="I135" i="8"/>
  <c r="J135" i="8" s="1"/>
  <c r="I134" i="8"/>
  <c r="J134" i="8" s="1"/>
  <c r="I133" i="8"/>
  <c r="J133" i="8" s="1"/>
  <c r="I132" i="8"/>
  <c r="J132" i="8" s="1"/>
  <c r="I128" i="8"/>
  <c r="J128" i="8" s="1"/>
  <c r="I127" i="8"/>
  <c r="J127" i="8" s="1"/>
  <c r="I126" i="8"/>
  <c r="J126" i="8" s="1"/>
  <c r="I125" i="8"/>
  <c r="J125" i="8" s="1"/>
  <c r="I124" i="8"/>
  <c r="J124" i="8" s="1"/>
  <c r="I123" i="8"/>
  <c r="J123" i="8" s="1"/>
  <c r="I122" i="8"/>
  <c r="J122" i="8" s="1"/>
  <c r="I121" i="8"/>
  <c r="J121" i="8" s="1"/>
  <c r="I120" i="8"/>
  <c r="J120" i="8" s="1"/>
  <c r="I119" i="8"/>
  <c r="J119" i="8" s="1"/>
  <c r="I117" i="8"/>
  <c r="I113" i="8"/>
  <c r="J113" i="8" s="1"/>
  <c r="I112" i="8"/>
  <c r="J112" i="8" s="1"/>
  <c r="I111" i="8"/>
  <c r="J111" i="8" s="1"/>
  <c r="I110" i="8"/>
  <c r="J110" i="8" s="1"/>
  <c r="I109" i="8"/>
  <c r="J109" i="8" s="1"/>
  <c r="I108" i="8"/>
  <c r="J108" i="8" s="1"/>
  <c r="I107" i="8"/>
  <c r="J107" i="8" s="1"/>
  <c r="I106" i="8"/>
  <c r="J106" i="8" s="1"/>
  <c r="I105" i="8"/>
  <c r="J105" i="8" s="1"/>
  <c r="I104" i="8"/>
  <c r="J104" i="8" s="1"/>
  <c r="I103" i="8"/>
  <c r="J103" i="8" s="1"/>
  <c r="I102" i="8"/>
  <c r="J102" i="8" s="1"/>
  <c r="I101" i="8"/>
  <c r="J101" i="8" s="1"/>
  <c r="I100" i="8"/>
  <c r="J100" i="8" s="1"/>
  <c r="I99" i="8"/>
  <c r="J99" i="8" s="1"/>
  <c r="I98" i="8"/>
  <c r="J98" i="8" s="1"/>
  <c r="I97" i="8"/>
  <c r="J97" i="8" s="1"/>
  <c r="I96" i="8"/>
  <c r="J96" i="8" s="1"/>
  <c r="I95" i="8"/>
  <c r="J95" i="8" s="1"/>
  <c r="I94" i="8"/>
  <c r="J94" i="8" s="1"/>
  <c r="I93" i="8"/>
  <c r="J93" i="8" s="1"/>
  <c r="I92" i="8"/>
  <c r="J92" i="8" s="1"/>
  <c r="I91" i="8"/>
  <c r="J91" i="8" s="1"/>
  <c r="I90" i="8"/>
  <c r="J90" i="8" s="1"/>
  <c r="I89" i="8"/>
  <c r="J89" i="8" s="1"/>
  <c r="I88" i="8"/>
  <c r="J88" i="8" s="1"/>
  <c r="I87" i="8"/>
  <c r="J87" i="8" s="1"/>
  <c r="I86" i="8"/>
  <c r="J86" i="8" s="1"/>
  <c r="I85" i="8"/>
  <c r="J85" i="8" s="1"/>
  <c r="I84" i="8"/>
  <c r="J84" i="8" s="1"/>
  <c r="I83" i="8"/>
  <c r="J83" i="8" s="1"/>
  <c r="I82" i="8"/>
  <c r="J82" i="8" s="1"/>
  <c r="I81" i="8"/>
  <c r="J81" i="8" s="1"/>
  <c r="I80" i="8"/>
  <c r="J80" i="8" s="1"/>
  <c r="I79" i="8"/>
  <c r="J79" i="8" s="1"/>
  <c r="I78" i="8"/>
  <c r="J78" i="8" s="1"/>
  <c r="I77" i="8"/>
  <c r="J77" i="8" s="1"/>
  <c r="I76" i="8"/>
  <c r="J76" i="8" s="1"/>
  <c r="I75" i="8"/>
  <c r="J75" i="8" s="1"/>
  <c r="I74" i="8"/>
  <c r="J74" i="8" s="1"/>
  <c r="I73" i="8"/>
  <c r="J73" i="8" s="1"/>
  <c r="I72" i="8"/>
  <c r="J72" i="8" s="1"/>
  <c r="I71" i="8"/>
  <c r="J71" i="8" s="1"/>
  <c r="I70" i="8"/>
  <c r="J70" i="8" s="1"/>
  <c r="I69" i="8"/>
  <c r="J69" i="8" s="1"/>
  <c r="I68" i="8"/>
  <c r="J68" i="8" s="1"/>
  <c r="I67" i="8"/>
  <c r="J67" i="8" s="1"/>
  <c r="I66" i="8"/>
  <c r="J66" i="8" s="1"/>
  <c r="I65" i="8"/>
  <c r="J65" i="8" s="1"/>
  <c r="I64" i="8"/>
  <c r="J64" i="8" s="1"/>
  <c r="I63" i="8"/>
  <c r="J63" i="8" s="1"/>
  <c r="I62" i="8"/>
  <c r="J62" i="8" s="1"/>
  <c r="I61" i="8"/>
  <c r="J61" i="8" s="1"/>
  <c r="I60" i="8"/>
  <c r="J60" i="8" s="1"/>
  <c r="I59" i="8"/>
  <c r="J59" i="8" s="1"/>
  <c r="I58" i="8"/>
  <c r="J58" i="8" s="1"/>
  <c r="I54" i="8"/>
  <c r="J54" i="8" s="1"/>
  <c r="I53" i="8"/>
  <c r="J53" i="8" s="1"/>
  <c r="I52" i="8"/>
  <c r="J52" i="8" s="1"/>
  <c r="I51" i="8"/>
  <c r="J51" i="8" s="1"/>
  <c r="I50" i="8"/>
  <c r="J50" i="8" s="1"/>
  <c r="I49" i="8"/>
  <c r="J49" i="8" s="1"/>
  <c r="I48" i="8"/>
  <c r="J48" i="8" s="1"/>
  <c r="I46" i="8"/>
  <c r="J46" i="8" s="1"/>
  <c r="I45" i="8"/>
  <c r="J45" i="8" s="1"/>
  <c r="I44" i="8"/>
  <c r="J44" i="8" s="1"/>
  <c r="I43" i="8"/>
  <c r="J43" i="8" s="1"/>
  <c r="I42" i="8"/>
  <c r="J42" i="8" s="1"/>
  <c r="I41" i="8"/>
  <c r="J41" i="8" s="1"/>
  <c r="I40" i="8"/>
  <c r="J40" i="8" s="1"/>
  <c r="I39" i="8"/>
  <c r="J39" i="8" s="1"/>
  <c r="I38" i="8"/>
  <c r="J38" i="8" s="1"/>
  <c r="I37" i="8"/>
  <c r="J37" i="8" s="1"/>
  <c r="I36" i="8"/>
  <c r="J36" i="8" s="1"/>
  <c r="I35" i="8"/>
  <c r="J35" i="8" s="1"/>
  <c r="I34" i="8"/>
  <c r="J34" i="8" s="1"/>
  <c r="I33" i="8"/>
  <c r="J33" i="8" s="1"/>
  <c r="I32" i="8"/>
  <c r="I31" i="8"/>
  <c r="I30" i="8"/>
  <c r="J30" i="8" s="1"/>
  <c r="I29" i="8"/>
  <c r="J29" i="8" s="1"/>
  <c r="I28" i="8"/>
  <c r="J28" i="8" s="1"/>
  <c r="I27" i="8"/>
  <c r="I26" i="8"/>
  <c r="I25" i="8"/>
  <c r="J25" i="8" s="1"/>
  <c r="I24" i="8"/>
  <c r="J24" i="8" s="1"/>
  <c r="I23" i="8"/>
  <c r="J23" i="8" s="1"/>
  <c r="I22" i="8"/>
  <c r="J22" i="8" s="1"/>
  <c r="I21" i="8"/>
  <c r="J21" i="8" s="1"/>
  <c r="I20" i="8"/>
  <c r="J20" i="8" s="1"/>
  <c r="I19" i="8"/>
  <c r="J19" i="8" s="1"/>
  <c r="I18" i="8"/>
  <c r="J18" i="8" s="1"/>
  <c r="I17" i="8"/>
  <c r="J17" i="8" s="1"/>
  <c r="I16" i="8"/>
  <c r="J16" i="8" s="1"/>
  <c r="I15" i="8"/>
  <c r="J15" i="8" s="1"/>
  <c r="I14" i="8"/>
  <c r="J14" i="8" s="1"/>
  <c r="I13" i="8"/>
  <c r="J13" i="8" s="1"/>
  <c r="I12" i="8"/>
  <c r="J12" i="8" s="1"/>
  <c r="I11" i="8"/>
  <c r="J11" i="8" s="1"/>
  <c r="I10" i="8"/>
  <c r="I9" i="8"/>
  <c r="I8" i="8"/>
  <c r="I7" i="8"/>
  <c r="I174" i="9"/>
  <c r="J174" i="9" s="1"/>
  <c r="I173" i="9"/>
  <c r="J173" i="9" s="1"/>
  <c r="I172" i="9"/>
  <c r="J172" i="9" s="1"/>
  <c r="I171" i="9"/>
  <c r="J171" i="9" s="1"/>
  <c r="I170" i="9"/>
  <c r="J170" i="9" s="1"/>
  <c r="I169" i="9"/>
  <c r="J169" i="9" s="1"/>
  <c r="I168" i="9"/>
  <c r="J168" i="9" s="1"/>
  <c r="I167" i="9"/>
  <c r="J167" i="9" s="1"/>
  <c r="I166" i="9"/>
  <c r="J166" i="9" s="1"/>
  <c r="I165" i="9"/>
  <c r="J165" i="9" s="1"/>
  <c r="I164" i="9"/>
  <c r="J164" i="9" s="1"/>
  <c r="I163" i="9"/>
  <c r="J163" i="9" s="1"/>
  <c r="I162" i="9"/>
  <c r="J162" i="9" s="1"/>
  <c r="I161" i="9"/>
  <c r="J161" i="9" s="1"/>
  <c r="I160" i="9"/>
  <c r="J160" i="9" s="1"/>
  <c r="I159" i="9"/>
  <c r="J159" i="9" s="1"/>
  <c r="I158" i="9"/>
  <c r="J158" i="9" s="1"/>
  <c r="I154" i="9"/>
  <c r="J154" i="9" s="1"/>
  <c r="I153" i="9"/>
  <c r="J153" i="9" s="1"/>
  <c r="I152" i="9"/>
  <c r="J152" i="9" s="1"/>
  <c r="I151" i="9"/>
  <c r="J151" i="9" s="1"/>
  <c r="I150" i="9"/>
  <c r="J150" i="9" s="1"/>
  <c r="I149" i="9"/>
  <c r="J149" i="9" s="1"/>
  <c r="I148" i="9"/>
  <c r="J148" i="9" s="1"/>
  <c r="I147" i="9"/>
  <c r="J147" i="9" s="1"/>
  <c r="I146" i="9"/>
  <c r="J146" i="9" s="1"/>
  <c r="I145" i="9"/>
  <c r="J145" i="9" s="1"/>
  <c r="I144" i="9"/>
  <c r="J144" i="9" s="1"/>
  <c r="I143" i="9"/>
  <c r="J143" i="9" s="1"/>
  <c r="I142" i="9"/>
  <c r="J142" i="9" s="1"/>
  <c r="I141" i="9"/>
  <c r="J141" i="9" s="1"/>
  <c r="I140" i="9"/>
  <c r="J140" i="9" s="1"/>
  <c r="I139" i="9"/>
  <c r="J139" i="9" s="1"/>
  <c r="I138" i="9"/>
  <c r="J138" i="9" s="1"/>
  <c r="I137" i="9"/>
  <c r="J137" i="9" s="1"/>
  <c r="I136" i="9"/>
  <c r="J136" i="9" s="1"/>
  <c r="I135" i="9"/>
  <c r="J135" i="9" s="1"/>
  <c r="I134" i="9"/>
  <c r="J134" i="9" s="1"/>
  <c r="I133" i="9"/>
  <c r="J133" i="9" s="1"/>
  <c r="I132" i="9"/>
  <c r="J132" i="9" s="1"/>
  <c r="I128" i="9"/>
  <c r="J128" i="9" s="1"/>
  <c r="I127" i="9"/>
  <c r="J127" i="9" s="1"/>
  <c r="I126" i="9"/>
  <c r="J126" i="9" s="1"/>
  <c r="I125" i="9"/>
  <c r="J125" i="9" s="1"/>
  <c r="I124" i="9"/>
  <c r="J124" i="9" s="1"/>
  <c r="I123" i="9"/>
  <c r="J123" i="9" s="1"/>
  <c r="I122" i="9"/>
  <c r="J122" i="9" s="1"/>
  <c r="I121" i="9"/>
  <c r="J121" i="9" s="1"/>
  <c r="I120" i="9"/>
  <c r="J120" i="9" s="1"/>
  <c r="I119" i="9"/>
  <c r="J119" i="9" s="1"/>
  <c r="I117" i="9"/>
  <c r="J113" i="9"/>
  <c r="I113" i="9"/>
  <c r="J112" i="9"/>
  <c r="I112" i="9"/>
  <c r="J111" i="9"/>
  <c r="I111" i="9"/>
  <c r="J110" i="9"/>
  <c r="I110" i="9"/>
  <c r="J109" i="9"/>
  <c r="I109" i="9"/>
  <c r="J108" i="9"/>
  <c r="I108" i="9"/>
  <c r="J107" i="9"/>
  <c r="I107" i="9"/>
  <c r="J106" i="9"/>
  <c r="I106" i="9"/>
  <c r="J105" i="9"/>
  <c r="I105" i="9"/>
  <c r="J104" i="9"/>
  <c r="I104" i="9"/>
  <c r="J103" i="9"/>
  <c r="I103" i="9"/>
  <c r="J102" i="9"/>
  <c r="I102" i="9"/>
  <c r="J101" i="9"/>
  <c r="I101" i="9"/>
  <c r="J100" i="9"/>
  <c r="I100" i="9"/>
  <c r="J99" i="9"/>
  <c r="I99" i="9"/>
  <c r="J98" i="9"/>
  <c r="I98" i="9"/>
  <c r="J97" i="9"/>
  <c r="I97" i="9"/>
  <c r="J96" i="9"/>
  <c r="I96" i="9"/>
  <c r="J95" i="9"/>
  <c r="I95" i="9"/>
  <c r="J94" i="9"/>
  <c r="I94" i="9"/>
  <c r="J93" i="9"/>
  <c r="I93" i="9"/>
  <c r="J92" i="9"/>
  <c r="I92" i="9"/>
  <c r="J91" i="9"/>
  <c r="I91" i="9"/>
  <c r="J90" i="9"/>
  <c r="I90" i="9"/>
  <c r="J89" i="9"/>
  <c r="I89" i="9"/>
  <c r="J88" i="9"/>
  <c r="I88" i="9"/>
  <c r="J87" i="9"/>
  <c r="I87" i="9"/>
  <c r="J86" i="9"/>
  <c r="I86" i="9"/>
  <c r="J85" i="9"/>
  <c r="I85" i="9"/>
  <c r="J84" i="9"/>
  <c r="I84" i="9"/>
  <c r="J83" i="9"/>
  <c r="I83" i="9"/>
  <c r="J82" i="9"/>
  <c r="I82" i="9"/>
  <c r="J81" i="9"/>
  <c r="I81" i="9"/>
  <c r="J80" i="9"/>
  <c r="I80" i="9"/>
  <c r="J79" i="9"/>
  <c r="I79" i="9"/>
  <c r="J78" i="9"/>
  <c r="I78" i="9"/>
  <c r="J77" i="9"/>
  <c r="I77" i="9"/>
  <c r="J76" i="9"/>
  <c r="I76" i="9"/>
  <c r="J75" i="9"/>
  <c r="I75" i="9"/>
  <c r="J74" i="9"/>
  <c r="I74" i="9"/>
  <c r="J73" i="9"/>
  <c r="I73" i="9"/>
  <c r="J72" i="9"/>
  <c r="I72" i="9"/>
  <c r="J71" i="9"/>
  <c r="I71" i="9"/>
  <c r="J70" i="9"/>
  <c r="I70" i="9"/>
  <c r="J69" i="9"/>
  <c r="I69" i="9"/>
  <c r="J68" i="9"/>
  <c r="I68" i="9"/>
  <c r="J67" i="9"/>
  <c r="I67" i="9"/>
  <c r="J66" i="9"/>
  <c r="I66" i="9"/>
  <c r="J65" i="9"/>
  <c r="I65" i="9"/>
  <c r="J64" i="9"/>
  <c r="I64" i="9"/>
  <c r="J63" i="9"/>
  <c r="I63" i="9"/>
  <c r="J62" i="9"/>
  <c r="I62" i="9"/>
  <c r="J61" i="9"/>
  <c r="I61" i="9"/>
  <c r="J60" i="9"/>
  <c r="I60" i="9"/>
  <c r="J59" i="9"/>
  <c r="I59" i="9"/>
  <c r="J58" i="9"/>
  <c r="I58" i="9"/>
  <c r="J54" i="9"/>
  <c r="I54" i="9"/>
  <c r="J53" i="9"/>
  <c r="I53" i="9"/>
  <c r="J52" i="9"/>
  <c r="I52" i="9"/>
  <c r="J51" i="9"/>
  <c r="I51" i="9"/>
  <c r="J50" i="9"/>
  <c r="I50" i="9"/>
  <c r="J49" i="9"/>
  <c r="I49" i="9"/>
  <c r="J48" i="9"/>
  <c r="I48" i="9"/>
  <c r="I47" i="9"/>
  <c r="I46" i="9"/>
  <c r="J46" i="9" s="1"/>
  <c r="J45" i="9"/>
  <c r="I45" i="9"/>
  <c r="I44" i="9"/>
  <c r="J44" i="9" s="1"/>
  <c r="I43" i="9"/>
  <c r="J43" i="9" s="1"/>
  <c r="I42" i="9"/>
  <c r="J42" i="9" s="1"/>
  <c r="J41" i="9"/>
  <c r="I41" i="9"/>
  <c r="I40" i="9"/>
  <c r="J40" i="9" s="1"/>
  <c r="I39" i="9"/>
  <c r="J39" i="9" s="1"/>
  <c r="I38" i="9"/>
  <c r="J38" i="9" s="1"/>
  <c r="J37" i="9"/>
  <c r="I37" i="9"/>
  <c r="I36" i="9"/>
  <c r="J36" i="9" s="1"/>
  <c r="I35" i="9"/>
  <c r="J35" i="9" s="1"/>
  <c r="I34" i="9"/>
  <c r="J34" i="9" s="1"/>
  <c r="J33" i="9"/>
  <c r="I33" i="9"/>
  <c r="I32" i="9"/>
  <c r="I31" i="9"/>
  <c r="J30" i="9"/>
  <c r="I30" i="9"/>
  <c r="I29" i="9"/>
  <c r="J29" i="9" s="1"/>
  <c r="I28" i="9"/>
  <c r="J28" i="9" s="1"/>
  <c r="I27" i="9"/>
  <c r="I26" i="9"/>
  <c r="I25" i="9"/>
  <c r="J25" i="9" s="1"/>
  <c r="I24" i="9"/>
  <c r="J24" i="9" s="1"/>
  <c r="J23" i="9"/>
  <c r="I23" i="9"/>
  <c r="I22" i="9"/>
  <c r="J22" i="9" s="1"/>
  <c r="I21" i="9"/>
  <c r="J21" i="9" s="1"/>
  <c r="I20" i="9"/>
  <c r="J20" i="9" s="1"/>
  <c r="I19" i="9"/>
  <c r="J19" i="9" s="1"/>
  <c r="I18" i="9"/>
  <c r="J18" i="9" s="1"/>
  <c r="I17" i="9"/>
  <c r="J17" i="9" s="1"/>
  <c r="I16" i="9"/>
  <c r="J16" i="9" s="1"/>
  <c r="J15" i="9"/>
  <c r="I15" i="9"/>
  <c r="I14" i="9"/>
  <c r="J14" i="9" s="1"/>
  <c r="I13" i="9"/>
  <c r="J13" i="9" s="1"/>
  <c r="I12" i="9"/>
  <c r="J12" i="9" s="1"/>
  <c r="J11" i="9"/>
  <c r="I11" i="9"/>
  <c r="I10" i="9"/>
  <c r="I9" i="9"/>
  <c r="I8" i="9"/>
  <c r="I7" i="9"/>
  <c r="I172" i="7"/>
  <c r="I171" i="7"/>
  <c r="I170" i="7"/>
  <c r="I169" i="7"/>
  <c r="I168" i="7"/>
  <c r="I167" i="7"/>
  <c r="I166" i="7"/>
  <c r="I165" i="7"/>
  <c r="I164" i="7"/>
  <c r="I163" i="7"/>
  <c r="I162" i="7"/>
  <c r="I161" i="7"/>
  <c r="I160" i="7"/>
  <c r="I159" i="7"/>
  <c r="I158" i="7"/>
  <c r="I154" i="7"/>
  <c r="I153" i="7"/>
  <c r="I152" i="7"/>
  <c r="I151" i="7"/>
  <c r="I150" i="7"/>
  <c r="I149" i="7"/>
  <c r="I148" i="7"/>
  <c r="I147" i="7"/>
  <c r="I146" i="7"/>
  <c r="I145" i="7"/>
  <c r="I144" i="7"/>
  <c r="I143" i="7"/>
  <c r="I142" i="7"/>
  <c r="I141" i="7"/>
  <c r="I140" i="7"/>
  <c r="I139" i="7"/>
  <c r="I138" i="7"/>
  <c r="I137" i="7"/>
  <c r="I136" i="7"/>
  <c r="I135" i="7"/>
  <c r="I134" i="7"/>
  <c r="I133" i="7"/>
  <c r="I132" i="7"/>
  <c r="I128" i="7"/>
  <c r="I127" i="7"/>
  <c r="I126" i="7"/>
  <c r="I125" i="7"/>
  <c r="I124" i="7"/>
  <c r="I123" i="7"/>
  <c r="I122" i="7"/>
  <c r="I121" i="7"/>
  <c r="I120" i="7"/>
  <c r="I119" i="7"/>
  <c r="I117" i="7"/>
  <c r="I54" i="7"/>
  <c r="I53" i="7"/>
  <c r="I52" i="7"/>
  <c r="I51" i="7"/>
  <c r="I50" i="7"/>
  <c r="I49" i="7"/>
  <c r="I48" i="7"/>
  <c r="I47" i="7"/>
  <c r="I46" i="7"/>
  <c r="I45" i="7"/>
  <c r="I44" i="7"/>
  <c r="I43" i="7"/>
  <c r="I42" i="7"/>
  <c r="I41" i="7"/>
  <c r="I40" i="7"/>
  <c r="I39" i="7"/>
  <c r="I38" i="7"/>
  <c r="I37" i="7"/>
  <c r="I36" i="7"/>
  <c r="I35" i="7"/>
  <c r="I34" i="7"/>
  <c r="I33" i="7"/>
  <c r="I32" i="7"/>
  <c r="I31" i="7"/>
  <c r="I30" i="7"/>
  <c r="I29" i="7"/>
  <c r="I28" i="7"/>
  <c r="I27" i="7"/>
  <c r="I26" i="7"/>
  <c r="I25" i="7"/>
  <c r="I24" i="7"/>
  <c r="I23" i="7"/>
  <c r="I22" i="7"/>
  <c r="I21" i="7"/>
  <c r="I20" i="7"/>
  <c r="I19" i="7"/>
  <c r="I18" i="7"/>
  <c r="I17" i="7"/>
  <c r="I16" i="7"/>
  <c r="I15" i="7"/>
  <c r="I14" i="7"/>
  <c r="I13" i="7"/>
  <c r="I12" i="7"/>
  <c r="I11" i="7"/>
  <c r="I10" i="7"/>
  <c r="I9" i="7"/>
  <c r="I8" i="7"/>
  <c r="I7" i="7"/>
  <c r="I172" i="6"/>
  <c r="I171" i="6"/>
  <c r="I170" i="6"/>
  <c r="I169" i="6"/>
  <c r="I168" i="6"/>
  <c r="I167" i="6"/>
  <c r="I166" i="6"/>
  <c r="I165" i="6"/>
  <c r="I164" i="6"/>
  <c r="I163" i="6"/>
  <c r="I162" i="6"/>
  <c r="I161" i="6"/>
  <c r="I160" i="6"/>
  <c r="I159" i="6"/>
  <c r="I158" i="6"/>
  <c r="I154" i="6"/>
  <c r="I153" i="6"/>
  <c r="I152" i="6"/>
  <c r="I151" i="6"/>
  <c r="I150" i="6"/>
  <c r="I149" i="6"/>
  <c r="I148" i="6"/>
  <c r="I147" i="6"/>
  <c r="I146" i="6"/>
  <c r="I145" i="6"/>
  <c r="I144" i="6"/>
  <c r="I143" i="6"/>
  <c r="I142" i="6"/>
  <c r="I141" i="6"/>
  <c r="I140" i="6"/>
  <c r="I139" i="6"/>
  <c r="I138" i="6"/>
  <c r="I137" i="6"/>
  <c r="I136" i="6"/>
  <c r="I135" i="6"/>
  <c r="I134" i="6"/>
  <c r="I133" i="6"/>
  <c r="I132" i="6"/>
  <c r="I128" i="6"/>
  <c r="I127" i="6"/>
  <c r="I126" i="6"/>
  <c r="I125" i="6"/>
  <c r="I124" i="6"/>
  <c r="I123" i="6"/>
  <c r="I122" i="6"/>
  <c r="I121" i="6"/>
  <c r="I120" i="6"/>
  <c r="I119" i="6"/>
  <c r="I117" i="6"/>
  <c r="I113" i="6"/>
  <c r="I112" i="6"/>
  <c r="I111" i="6"/>
  <c r="I110" i="6"/>
  <c r="I109" i="6"/>
  <c r="I108" i="6"/>
  <c r="I107" i="6"/>
  <c r="I106" i="6"/>
  <c r="I105" i="6"/>
  <c r="I104" i="6"/>
  <c r="I103" i="6"/>
  <c r="I102" i="6"/>
  <c r="I101" i="6"/>
  <c r="I100" i="6"/>
  <c r="I99" i="6"/>
  <c r="I98" i="6"/>
  <c r="I97" i="6"/>
  <c r="I96" i="6"/>
  <c r="I95" i="6"/>
  <c r="I94" i="6"/>
  <c r="I93" i="6"/>
  <c r="I92" i="6"/>
  <c r="I91" i="6"/>
  <c r="I90" i="6"/>
  <c r="I89" i="6"/>
  <c r="I88" i="6"/>
  <c r="I87" i="6"/>
  <c r="I86" i="6"/>
  <c r="I85" i="6"/>
  <c r="I84" i="6"/>
  <c r="I83" i="6"/>
  <c r="I82" i="6"/>
  <c r="I81" i="6"/>
  <c r="I80" i="6"/>
  <c r="I79" i="6"/>
  <c r="I78" i="6"/>
  <c r="I77" i="6"/>
  <c r="I76" i="6"/>
  <c r="I75" i="6"/>
  <c r="I74" i="6"/>
  <c r="I73" i="6"/>
  <c r="I72" i="6"/>
  <c r="I71" i="6"/>
  <c r="I70" i="6"/>
  <c r="I69" i="6"/>
  <c r="I68" i="6"/>
  <c r="I67" i="6"/>
  <c r="I66" i="6"/>
  <c r="I65" i="6"/>
  <c r="I64" i="6"/>
  <c r="I63" i="6"/>
  <c r="I62" i="6"/>
  <c r="I61" i="6"/>
  <c r="I60" i="6"/>
  <c r="I59" i="6"/>
  <c r="I58" i="6"/>
  <c r="I54" i="6"/>
  <c r="I53" i="6"/>
  <c r="I52" i="6"/>
  <c r="I51" i="6"/>
  <c r="I50" i="6"/>
  <c r="I49" i="6"/>
  <c r="I48" i="6"/>
  <c r="I47" i="6"/>
  <c r="I46" i="6"/>
  <c r="I45" i="6"/>
  <c r="I44" i="6"/>
  <c r="I43" i="6"/>
  <c r="I42" i="6"/>
  <c r="I41" i="6"/>
  <c r="I40" i="6"/>
  <c r="I39" i="6"/>
  <c r="I38" i="6"/>
  <c r="I37" i="6"/>
  <c r="I36" i="6"/>
  <c r="I35" i="6"/>
  <c r="I34" i="6"/>
  <c r="I33" i="6"/>
  <c r="I32" i="6"/>
  <c r="I31" i="6"/>
  <c r="I30" i="6"/>
  <c r="I29" i="6"/>
  <c r="I28" i="6"/>
  <c r="I27" i="6"/>
  <c r="I26" i="6"/>
  <c r="I25" i="6"/>
  <c r="I24" i="6"/>
  <c r="I23" i="6"/>
  <c r="I22" i="6"/>
  <c r="I21" i="6"/>
  <c r="I20" i="6"/>
  <c r="I19" i="6"/>
  <c r="I18" i="6"/>
  <c r="I17" i="6"/>
  <c r="I16" i="6"/>
  <c r="I15" i="6"/>
  <c r="I14" i="6"/>
  <c r="I13" i="6"/>
  <c r="I12" i="6"/>
  <c r="I11" i="6"/>
  <c r="I10" i="6"/>
  <c r="I9" i="6"/>
  <c r="I8" i="6"/>
  <c r="I7" i="6"/>
  <c r="I174" i="5"/>
  <c r="I173" i="5"/>
  <c r="I172" i="5"/>
  <c r="I171" i="5"/>
  <c r="I170" i="5"/>
  <c r="I169" i="5"/>
  <c r="I168" i="5"/>
  <c r="I167" i="5"/>
  <c r="I166" i="5"/>
  <c r="I165" i="5"/>
  <c r="I164" i="5"/>
  <c r="I163" i="5"/>
  <c r="I162" i="5"/>
  <c r="I161" i="5"/>
  <c r="I160" i="5"/>
  <c r="I159" i="5"/>
  <c r="I158" i="5"/>
  <c r="I154" i="5"/>
  <c r="I153" i="5"/>
  <c r="I152" i="5"/>
  <c r="I151" i="5"/>
  <c r="I150" i="5"/>
  <c r="I149" i="5"/>
  <c r="I148" i="5"/>
  <c r="I147" i="5"/>
  <c r="I146" i="5"/>
  <c r="I145" i="5"/>
  <c r="I144" i="5"/>
  <c r="I143" i="5"/>
  <c r="I142" i="5"/>
  <c r="I141" i="5"/>
  <c r="I140" i="5"/>
  <c r="I139" i="5"/>
  <c r="I138" i="5"/>
  <c r="I137" i="5"/>
  <c r="I136" i="5"/>
  <c r="I135" i="5"/>
  <c r="I134" i="5"/>
  <c r="I133" i="5"/>
  <c r="I132" i="5"/>
  <c r="I128" i="5"/>
  <c r="I127" i="5"/>
  <c r="I126" i="5"/>
  <c r="I125" i="5"/>
  <c r="I124" i="5"/>
  <c r="I123" i="5"/>
  <c r="I122" i="5"/>
  <c r="I121" i="5"/>
  <c r="I120" i="5"/>
  <c r="I119" i="5"/>
  <c r="I117" i="5"/>
  <c r="I113" i="5"/>
  <c r="I112" i="5"/>
  <c r="I111" i="5"/>
  <c r="I110" i="5"/>
  <c r="I109" i="5"/>
  <c r="I108" i="5"/>
  <c r="I107" i="5"/>
  <c r="I106" i="5"/>
  <c r="I105" i="5"/>
  <c r="I104" i="5"/>
  <c r="I103" i="5"/>
  <c r="I102" i="5"/>
  <c r="I101" i="5"/>
  <c r="I100" i="5"/>
  <c r="I99" i="5"/>
  <c r="I98" i="5"/>
  <c r="I97" i="5"/>
  <c r="I96" i="5"/>
  <c r="I95" i="5"/>
  <c r="I94" i="5"/>
  <c r="I93" i="5"/>
  <c r="I92" i="5"/>
  <c r="I91" i="5"/>
  <c r="I90" i="5"/>
  <c r="I89" i="5"/>
  <c r="I88" i="5"/>
  <c r="I87" i="5"/>
  <c r="I86" i="5"/>
  <c r="I85" i="5"/>
  <c r="I84" i="5"/>
  <c r="I83" i="5"/>
  <c r="I82" i="5"/>
  <c r="I81" i="5"/>
  <c r="I80" i="5"/>
  <c r="I79" i="5"/>
  <c r="I78" i="5"/>
  <c r="I77" i="5"/>
  <c r="I76" i="5"/>
  <c r="I75" i="5"/>
  <c r="I74" i="5"/>
  <c r="I73" i="5"/>
  <c r="I72" i="5"/>
  <c r="I71" i="5"/>
  <c r="I70" i="5"/>
  <c r="I69" i="5"/>
  <c r="I68" i="5"/>
  <c r="I67" i="5"/>
  <c r="I66" i="5"/>
  <c r="I65" i="5"/>
  <c r="I64" i="5"/>
  <c r="I63" i="5"/>
  <c r="I62" i="5"/>
  <c r="I61" i="5"/>
  <c r="I60" i="5"/>
  <c r="I59" i="5"/>
  <c r="I58" i="5"/>
  <c r="I54" i="5"/>
  <c r="I53" i="5"/>
  <c r="I52" i="5"/>
  <c r="I51" i="5"/>
  <c r="I50" i="5"/>
  <c r="I49" i="5"/>
  <c r="I48" i="5"/>
  <c r="I47" i="5"/>
  <c r="I46" i="5"/>
  <c r="I45" i="5"/>
  <c r="I44" i="5"/>
  <c r="I43" i="5"/>
  <c r="I42" i="5"/>
  <c r="I41" i="5"/>
  <c r="I40" i="5"/>
  <c r="I39" i="5"/>
  <c r="I38" i="5"/>
  <c r="I37" i="5"/>
  <c r="I36" i="5"/>
  <c r="I35" i="5"/>
  <c r="I34" i="5"/>
  <c r="I33" i="5"/>
  <c r="I32" i="5"/>
  <c r="I31" i="5"/>
  <c r="I30" i="5"/>
  <c r="I29" i="5"/>
  <c r="I28" i="5"/>
  <c r="I27" i="5"/>
  <c r="I26" i="5"/>
  <c r="I25" i="5"/>
  <c r="I24" i="5"/>
  <c r="I23" i="5"/>
  <c r="I22" i="5"/>
  <c r="I21" i="5"/>
  <c r="I20" i="5"/>
  <c r="I19" i="5"/>
  <c r="I18" i="5"/>
  <c r="I17" i="5"/>
  <c r="I16" i="5"/>
  <c r="I15" i="5"/>
  <c r="I14" i="5"/>
  <c r="I13" i="5"/>
  <c r="I12" i="5"/>
  <c r="I11" i="5"/>
  <c r="I10" i="5"/>
  <c r="I9" i="5"/>
  <c r="I8" i="5"/>
  <c r="I7" i="5"/>
  <c r="I174" i="2" l="1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9" i="2"/>
  <c r="I158" i="2"/>
  <c r="I154" i="2"/>
  <c r="I153" i="2"/>
  <c r="I152" i="2"/>
  <c r="I151" i="2"/>
  <c r="I150" i="2"/>
  <c r="I149" i="2"/>
  <c r="I148" i="2"/>
  <c r="I147" i="2"/>
  <c r="I146" i="2"/>
  <c r="I145" i="2"/>
  <c r="I144" i="2"/>
  <c r="I143" i="2"/>
  <c r="I142" i="2"/>
  <c r="I141" i="2"/>
  <c r="I140" i="2"/>
  <c r="I139" i="2"/>
  <c r="I138" i="2"/>
  <c r="I137" i="2"/>
  <c r="I136" i="2"/>
  <c r="I135" i="2"/>
  <c r="I134" i="2"/>
  <c r="I133" i="2"/>
  <c r="I132" i="2"/>
  <c r="I128" i="2"/>
  <c r="I127" i="2"/>
  <c r="I126" i="2"/>
  <c r="I125" i="2"/>
  <c r="I124" i="2"/>
  <c r="I123" i="2"/>
  <c r="I122" i="2"/>
  <c r="I121" i="2"/>
  <c r="I120" i="2"/>
  <c r="I119" i="2"/>
  <c r="I117" i="2"/>
  <c r="I113" i="2"/>
  <c r="I112" i="2"/>
  <c r="I111" i="2"/>
  <c r="I110" i="2"/>
  <c r="I109" i="2"/>
  <c r="I108" i="2"/>
  <c r="I107" i="2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MANGLA</author>
  </authors>
  <commentList>
    <comment ref="H30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MANGLA:</t>
        </r>
        <r>
          <rPr>
            <sz val="9"/>
            <color indexed="81"/>
            <rFont val="Tahoma"/>
            <family val="2"/>
          </rPr>
          <t xml:space="preserve">
Price Correction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MANGLA</author>
  </authors>
  <commentList>
    <comment ref="H30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MANGLA:</t>
        </r>
        <r>
          <rPr>
            <sz val="9"/>
            <color indexed="81"/>
            <rFont val="Tahoma"/>
            <family val="2"/>
          </rPr>
          <t xml:space="preserve">
Price Correction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MANGLA</author>
  </authors>
  <commentList>
    <comment ref="H30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MANGLA:</t>
        </r>
        <r>
          <rPr>
            <sz val="9"/>
            <color indexed="81"/>
            <rFont val="Tahoma"/>
            <family val="2"/>
          </rPr>
          <t xml:space="preserve">
Price Correction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MANGLA</author>
  </authors>
  <commentList>
    <comment ref="H30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MANGLA:</t>
        </r>
        <r>
          <rPr>
            <sz val="9"/>
            <color indexed="81"/>
            <rFont val="Tahoma"/>
            <family val="2"/>
          </rPr>
          <t xml:space="preserve">
Price Correction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MANGLA</author>
  </authors>
  <commentList>
    <comment ref="H30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MANGLA:</t>
        </r>
        <r>
          <rPr>
            <sz val="9"/>
            <color indexed="81"/>
            <rFont val="Tahoma"/>
            <family val="2"/>
          </rPr>
          <t xml:space="preserve">
Price Correction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MANGLA</author>
  </authors>
  <commentList>
    <comment ref="H30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>MANGLA:</t>
        </r>
        <r>
          <rPr>
            <sz val="9"/>
            <color indexed="81"/>
            <rFont val="Tahoma"/>
            <family val="2"/>
          </rPr>
          <t xml:space="preserve">
Price Correction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MANGLA</author>
  </authors>
  <commentList>
    <comment ref="H30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MANGLA:</t>
        </r>
        <r>
          <rPr>
            <sz val="9"/>
            <color indexed="81"/>
            <rFont val="Tahoma"/>
            <family val="2"/>
          </rPr>
          <t xml:space="preserve">
Price Correction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MANGLA</author>
  </authors>
  <commentList>
    <comment ref="H30" authorId="0" shapeId="0" xr:uid="{00000000-0006-0000-0C00-000001000000}">
      <text>
        <r>
          <rPr>
            <b/>
            <sz val="9"/>
            <color indexed="81"/>
            <rFont val="Tahoma"/>
            <family val="2"/>
          </rPr>
          <t>MANGLA:</t>
        </r>
        <r>
          <rPr>
            <sz val="9"/>
            <color indexed="81"/>
            <rFont val="Tahoma"/>
            <family val="2"/>
          </rPr>
          <t xml:space="preserve">
Price Correction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MANGLA</author>
  </authors>
  <commentList>
    <comment ref="H30" authorId="0" shapeId="0" xr:uid="{00000000-0006-0000-0D00-000001000000}">
      <text>
        <r>
          <rPr>
            <b/>
            <sz val="9"/>
            <color indexed="81"/>
            <rFont val="Tahoma"/>
            <family val="2"/>
          </rPr>
          <t>MANGLA:</t>
        </r>
        <r>
          <rPr>
            <sz val="9"/>
            <color indexed="81"/>
            <rFont val="Tahoma"/>
            <family val="2"/>
          </rPr>
          <t xml:space="preserve">
Price Correction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MANGLA</author>
  </authors>
  <commentList>
    <comment ref="H30" authorId="0" shapeId="0" xr:uid="{00000000-0006-0000-0E00-000001000000}">
      <text>
        <r>
          <rPr>
            <b/>
            <sz val="9"/>
            <color indexed="81"/>
            <rFont val="Tahoma"/>
            <family val="2"/>
          </rPr>
          <t>MANGLA:</t>
        </r>
        <r>
          <rPr>
            <sz val="9"/>
            <color indexed="81"/>
            <rFont val="Tahoma"/>
            <family val="2"/>
          </rPr>
          <t xml:space="preserve">
Price Correction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MANGLA</author>
  </authors>
  <commentList>
    <comment ref="H30" authorId="0" shapeId="0" xr:uid="{00000000-0006-0000-0F00-000001000000}">
      <text>
        <r>
          <rPr>
            <b/>
            <sz val="9"/>
            <color indexed="81"/>
            <rFont val="Tahoma"/>
            <family val="2"/>
          </rPr>
          <t>MANGLA:</t>
        </r>
        <r>
          <rPr>
            <sz val="9"/>
            <color indexed="81"/>
            <rFont val="Tahoma"/>
            <family val="2"/>
          </rPr>
          <t xml:space="preserve">
Price Correction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MANGLA</author>
  </authors>
  <commentList>
    <comment ref="H30" authorId="0" shapeId="0" xr:uid="{00000000-0006-0000-1200-000001000000}">
      <text>
        <r>
          <rPr>
            <b/>
            <sz val="9"/>
            <color indexed="81"/>
            <rFont val="Tahoma"/>
            <family val="2"/>
          </rPr>
          <t>MANGLA:</t>
        </r>
        <r>
          <rPr>
            <sz val="9"/>
            <color indexed="81"/>
            <rFont val="Tahoma"/>
            <family val="2"/>
          </rPr>
          <t xml:space="preserve">
Price Correction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MANGLA</author>
  </authors>
  <commentList>
    <comment ref="H30" authorId="0" shapeId="0" xr:uid="{00000000-0006-0000-1300-000001000000}">
      <text>
        <r>
          <rPr>
            <b/>
            <sz val="9"/>
            <color indexed="81"/>
            <rFont val="Tahoma"/>
            <family val="2"/>
          </rPr>
          <t>MANGLA:</t>
        </r>
        <r>
          <rPr>
            <sz val="9"/>
            <color indexed="81"/>
            <rFont val="Tahoma"/>
            <family val="2"/>
          </rPr>
          <t xml:space="preserve">
Price Correction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MANGLA</author>
  </authors>
  <commentList>
    <comment ref="H30" authorId="0" shapeId="0" xr:uid="{00000000-0006-0000-1400-000001000000}">
      <text>
        <r>
          <rPr>
            <b/>
            <sz val="9"/>
            <color indexed="81"/>
            <rFont val="Tahoma"/>
            <family val="2"/>
          </rPr>
          <t>MANGLA:</t>
        </r>
        <r>
          <rPr>
            <sz val="9"/>
            <color indexed="81"/>
            <rFont val="Tahoma"/>
            <family val="2"/>
          </rPr>
          <t xml:space="preserve">
Price Correction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MANGLA</author>
  </authors>
  <commentList>
    <comment ref="H30" authorId="0" shapeId="0" xr:uid="{00000000-0006-0000-1500-000001000000}">
      <text>
        <r>
          <rPr>
            <b/>
            <sz val="9"/>
            <color indexed="81"/>
            <rFont val="Tahoma"/>
            <family val="2"/>
          </rPr>
          <t>MANGLA:</t>
        </r>
        <r>
          <rPr>
            <sz val="9"/>
            <color indexed="81"/>
            <rFont val="Tahoma"/>
            <family val="2"/>
          </rPr>
          <t xml:space="preserve">
Price Correction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MANGLA</author>
  </authors>
  <commentList>
    <comment ref="H30" authorId="0" shapeId="0" xr:uid="{00000000-0006-0000-1600-000001000000}">
      <text>
        <r>
          <rPr>
            <b/>
            <sz val="9"/>
            <color indexed="81"/>
            <rFont val="Tahoma"/>
            <family val="2"/>
          </rPr>
          <t>MANGLA:</t>
        </r>
        <r>
          <rPr>
            <sz val="9"/>
            <color indexed="81"/>
            <rFont val="Tahoma"/>
            <family val="2"/>
          </rPr>
          <t xml:space="preserve">
Price Correction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MANGLA</author>
  </authors>
  <commentList>
    <comment ref="H30" authorId="0" shapeId="0" xr:uid="{00000000-0006-0000-1700-000001000000}">
      <text>
        <r>
          <rPr>
            <b/>
            <sz val="9"/>
            <color indexed="81"/>
            <rFont val="Tahoma"/>
            <family val="2"/>
          </rPr>
          <t>MANGLA:</t>
        </r>
        <r>
          <rPr>
            <sz val="9"/>
            <color indexed="81"/>
            <rFont val="Tahoma"/>
            <family val="2"/>
          </rPr>
          <t xml:space="preserve">
Price Correction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MANGLA</author>
  </authors>
  <commentList>
    <comment ref="H30" authorId="0" shapeId="0" xr:uid="{00000000-0006-0000-1800-000001000000}">
      <text>
        <r>
          <rPr>
            <b/>
            <sz val="9"/>
            <color indexed="81"/>
            <rFont val="Tahoma"/>
            <family val="2"/>
          </rPr>
          <t>MANGLA:</t>
        </r>
        <r>
          <rPr>
            <sz val="9"/>
            <color indexed="81"/>
            <rFont val="Tahoma"/>
            <family val="2"/>
          </rPr>
          <t xml:space="preserve">
Price Correction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MANGLA</author>
  </authors>
  <commentList>
    <comment ref="H30" authorId="0" shapeId="0" xr:uid="{00000000-0006-0000-1900-000001000000}">
      <text>
        <r>
          <rPr>
            <b/>
            <sz val="9"/>
            <color indexed="81"/>
            <rFont val="Tahoma"/>
            <family val="2"/>
          </rPr>
          <t>MANGLA:</t>
        </r>
        <r>
          <rPr>
            <sz val="9"/>
            <color indexed="81"/>
            <rFont val="Tahoma"/>
            <family val="2"/>
          </rPr>
          <t xml:space="preserve">
Price Correction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MANGLA</author>
  </authors>
  <commentList>
    <comment ref="H30" authorId="0" shapeId="0" xr:uid="{00000000-0006-0000-1A00-000001000000}">
      <text>
        <r>
          <rPr>
            <b/>
            <sz val="9"/>
            <color indexed="81"/>
            <rFont val="Tahoma"/>
            <family val="2"/>
          </rPr>
          <t>MANGLA:</t>
        </r>
        <r>
          <rPr>
            <sz val="9"/>
            <color indexed="81"/>
            <rFont val="Tahoma"/>
            <family val="2"/>
          </rPr>
          <t xml:space="preserve">
Price Correction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MANGLA</author>
  </authors>
  <commentList>
    <comment ref="H30" authorId="0" shapeId="0" xr:uid="{00000000-0006-0000-1B00-000001000000}">
      <text>
        <r>
          <rPr>
            <b/>
            <sz val="9"/>
            <color indexed="81"/>
            <rFont val="Tahoma"/>
            <family val="2"/>
          </rPr>
          <t>MANGLA:</t>
        </r>
        <r>
          <rPr>
            <sz val="9"/>
            <color indexed="81"/>
            <rFont val="Tahoma"/>
            <family val="2"/>
          </rPr>
          <t xml:space="preserve">
Price Correction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MANGLA</author>
  </authors>
  <commentList>
    <comment ref="H30" authorId="0" shapeId="0" xr:uid="{00000000-0006-0000-1C00-000001000000}">
      <text>
        <r>
          <rPr>
            <b/>
            <sz val="9"/>
            <color indexed="81"/>
            <rFont val="Tahoma"/>
            <family val="2"/>
          </rPr>
          <t>MANGLA:</t>
        </r>
        <r>
          <rPr>
            <sz val="9"/>
            <color indexed="81"/>
            <rFont val="Tahoma"/>
            <family val="2"/>
          </rPr>
          <t xml:space="preserve">
Price Correction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MANGLA</author>
  </authors>
  <commentList>
    <comment ref="H30" authorId="0" shapeId="0" xr:uid="{00000000-0006-0000-1D00-000001000000}">
      <text>
        <r>
          <rPr>
            <b/>
            <sz val="9"/>
            <color indexed="81"/>
            <rFont val="Tahoma"/>
            <family val="2"/>
          </rPr>
          <t>MANGLA:</t>
        </r>
        <r>
          <rPr>
            <sz val="9"/>
            <color indexed="81"/>
            <rFont val="Tahoma"/>
            <family val="2"/>
          </rPr>
          <t xml:space="preserve">
Price Correction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MANGLA</author>
  </authors>
  <commentList>
    <comment ref="H30" authorId="0" shapeId="0" xr:uid="{00000000-0006-0000-1E00-000001000000}">
      <text>
        <r>
          <rPr>
            <b/>
            <sz val="9"/>
            <color indexed="81"/>
            <rFont val="Tahoma"/>
            <family val="2"/>
          </rPr>
          <t>MANGLA:</t>
        </r>
        <r>
          <rPr>
            <sz val="9"/>
            <color indexed="81"/>
            <rFont val="Tahoma"/>
            <family val="2"/>
          </rPr>
          <t xml:space="preserve">
Price Correction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MANGLA</author>
  </authors>
  <commentList>
    <comment ref="H30" authorId="0" shapeId="0" xr:uid="{00000000-0006-0000-1F00-000001000000}">
      <text>
        <r>
          <rPr>
            <b/>
            <sz val="9"/>
            <color indexed="81"/>
            <rFont val="Tahoma"/>
            <family val="2"/>
          </rPr>
          <t>MANGLA:</t>
        </r>
        <r>
          <rPr>
            <sz val="9"/>
            <color indexed="81"/>
            <rFont val="Tahoma"/>
            <family val="2"/>
          </rPr>
          <t xml:space="preserve">
Price Correction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MANGLA</author>
  </authors>
  <commentList>
    <comment ref="H30" authorId="0" shapeId="0" xr:uid="{00000000-0006-0000-2000-000001000000}">
      <text>
        <r>
          <rPr>
            <b/>
            <sz val="9"/>
            <color indexed="81"/>
            <rFont val="Tahoma"/>
            <family val="2"/>
          </rPr>
          <t>MANGLA:</t>
        </r>
        <r>
          <rPr>
            <sz val="9"/>
            <color indexed="81"/>
            <rFont val="Tahoma"/>
            <family val="2"/>
          </rPr>
          <t xml:space="preserve">
Price Correction</t>
        </r>
      </text>
    </comment>
  </commentList>
</comments>
</file>

<file path=xl/sharedStrings.xml><?xml version="1.0" encoding="utf-8"?>
<sst xmlns="http://schemas.openxmlformats.org/spreadsheetml/2006/main" count="10962" uniqueCount="640">
  <si>
    <t>MANGLA ENTERPRISES PVT LTD</t>
  </si>
  <si>
    <t>Tiwari Machinery Tools</t>
  </si>
  <si>
    <t>Sr. No.</t>
  </si>
  <si>
    <t>Item Code</t>
  </si>
  <si>
    <t>Model</t>
  </si>
  <si>
    <t>Power Ratings</t>
  </si>
  <si>
    <t>Pipe Size (mm)</t>
  </si>
  <si>
    <t>24-04-2024 Final LP</t>
  </si>
  <si>
    <t>Base Price</t>
  </si>
  <si>
    <t>HP</t>
  </si>
  <si>
    <t>kW</t>
  </si>
  <si>
    <t>SUC.</t>
  </si>
  <si>
    <t>DEL.</t>
  </si>
  <si>
    <t>FG000000011</t>
  </si>
  <si>
    <t>Sharp Hyflow 50</t>
  </si>
  <si>
    <t>FG001100014</t>
  </si>
  <si>
    <t>Sharp Hyflow 100</t>
  </si>
  <si>
    <t>FG000000008</t>
  </si>
  <si>
    <t>Argus 051</t>
  </si>
  <si>
    <t>FG001100011</t>
  </si>
  <si>
    <t>Argus 101</t>
  </si>
  <si>
    <t>FG000000007</t>
  </si>
  <si>
    <t>Mini Magic Ultra 50</t>
  </si>
  <si>
    <t>FG001100009</t>
  </si>
  <si>
    <t>Mini Magic Ultra 100</t>
  </si>
  <si>
    <t>FG002100004</t>
  </si>
  <si>
    <t>Sharp Hyflow 150</t>
  </si>
  <si>
    <t>FG021100004</t>
  </si>
  <si>
    <t>Power 50 ACW</t>
  </si>
  <si>
    <t>FG021100006</t>
  </si>
  <si>
    <t>Power 90 ACW</t>
  </si>
  <si>
    <t>FG021100005</t>
  </si>
  <si>
    <t>Miracle - II ACW</t>
  </si>
  <si>
    <t>FG001000005</t>
  </si>
  <si>
    <t>Star +</t>
  </si>
  <si>
    <t>FG001100007</t>
  </si>
  <si>
    <t>Mini 2+ BFC</t>
  </si>
  <si>
    <t>FG001100012</t>
  </si>
  <si>
    <t>Mini 2+ RFC</t>
  </si>
  <si>
    <t>FG001100006</t>
  </si>
  <si>
    <t>Mini 1+</t>
  </si>
  <si>
    <t>FG011000008</t>
  </si>
  <si>
    <t>Crysta</t>
  </si>
  <si>
    <t>FG002100005</t>
  </si>
  <si>
    <t>Mini 50 M CI</t>
  </si>
  <si>
    <t>FG002100002</t>
  </si>
  <si>
    <t>Mini 58 M</t>
  </si>
  <si>
    <t>FG002200001</t>
  </si>
  <si>
    <t>Jumbo SP 200</t>
  </si>
  <si>
    <t>FG000000004</t>
  </si>
  <si>
    <t>Mini Gold</t>
  </si>
  <si>
    <t>FG001000007</t>
  </si>
  <si>
    <t>Hydra 50</t>
  </si>
  <si>
    <t>FG001100013</t>
  </si>
  <si>
    <t>Hydra 100</t>
  </si>
  <si>
    <t>FG001100002</t>
  </si>
  <si>
    <t>STREAM 90 AL</t>
  </si>
  <si>
    <t>FG001100004</t>
  </si>
  <si>
    <t xml:space="preserve">STREAM 90 CI </t>
  </si>
  <si>
    <t>FG002100001</t>
  </si>
  <si>
    <t>STREAM 100</t>
  </si>
  <si>
    <t>FG021000006</t>
  </si>
  <si>
    <t>V FLO 50 AL</t>
  </si>
  <si>
    <t>FG001000008</t>
  </si>
  <si>
    <t>V FLO 50 CI</t>
  </si>
  <si>
    <t>FG022100004</t>
  </si>
  <si>
    <t>V FLO 100 AL</t>
  </si>
  <si>
    <t>FG021100002</t>
  </si>
  <si>
    <t>V FLO 100 CI</t>
  </si>
  <si>
    <t>FG022100001</t>
  </si>
  <si>
    <t>V FLO 150 AL</t>
  </si>
  <si>
    <t>FG022100003</t>
  </si>
  <si>
    <t>V FLO 150 CI</t>
  </si>
  <si>
    <t>FG011000009</t>
  </si>
  <si>
    <t>Lifta SWP 50 N</t>
  </si>
  <si>
    <t>FG011100004</t>
  </si>
  <si>
    <t>Lifta SWP 90 N</t>
  </si>
  <si>
    <t>FG011100003</t>
  </si>
  <si>
    <t>Lifta SWP 100 N</t>
  </si>
  <si>
    <t>FG011000010</t>
  </si>
  <si>
    <t>Lifta Nero 50</t>
  </si>
  <si>
    <t>Lifta Nero 100</t>
  </si>
  <si>
    <t>FG011000001</t>
  </si>
  <si>
    <t>SWP 05C</t>
  </si>
  <si>
    <t>FG011100001</t>
  </si>
  <si>
    <t>SWP 10C</t>
  </si>
  <si>
    <t>FG012100002</t>
  </si>
  <si>
    <t>SWP 11C</t>
  </si>
  <si>
    <t>FG021000004</t>
  </si>
  <si>
    <t>Aqua Lift 60</t>
  </si>
  <si>
    <t>FG021000005</t>
  </si>
  <si>
    <t>Aqua Lift 100</t>
  </si>
  <si>
    <t>FG022100005</t>
  </si>
  <si>
    <t xml:space="preserve">10D MS </t>
  </si>
  <si>
    <t>FG023110001</t>
  </si>
  <si>
    <t>Tendee (1400 rpm)</t>
  </si>
  <si>
    <t>FG000000001</t>
  </si>
  <si>
    <t>Booster King 502</t>
  </si>
  <si>
    <t>FG011000007</t>
  </si>
  <si>
    <t>Booster King 1002</t>
  </si>
  <si>
    <t>FG011000006</t>
  </si>
  <si>
    <t>Booster King 1024</t>
  </si>
  <si>
    <t>FG021000007</t>
  </si>
  <si>
    <t>Booster King 50</t>
  </si>
  <si>
    <t>FG021000008</t>
  </si>
  <si>
    <t>Booster King 90</t>
  </si>
  <si>
    <t>FG021000010</t>
  </si>
  <si>
    <t>Booster King 100</t>
  </si>
  <si>
    <t xml:space="preserve">CENTRIFUGAL SERIES </t>
  </si>
  <si>
    <t>24-04-2024 Roundoff LP</t>
  </si>
  <si>
    <t>FG031000001</t>
  </si>
  <si>
    <t>SCP518</t>
  </si>
  <si>
    <t>FG031000002</t>
  </si>
  <si>
    <t>SCP510# **</t>
  </si>
  <si>
    <t>FG031000004</t>
  </si>
  <si>
    <t>SCP712L</t>
  </si>
  <si>
    <t>FG032100001</t>
  </si>
  <si>
    <t>SCP1030 **</t>
  </si>
  <si>
    <t>FG032100002</t>
  </si>
  <si>
    <t>SCP1013#</t>
  </si>
  <si>
    <t>FG032110002</t>
  </si>
  <si>
    <t>SCP1013 P</t>
  </si>
  <si>
    <t>FG032100012</t>
  </si>
  <si>
    <t>SCP1013 LV</t>
  </si>
  <si>
    <t>FG032100006</t>
  </si>
  <si>
    <t>SCP1010</t>
  </si>
  <si>
    <t>SCP1010 P</t>
  </si>
  <si>
    <t>FG032100003</t>
  </si>
  <si>
    <t>SCP1522#</t>
  </si>
  <si>
    <t>FG032120003</t>
  </si>
  <si>
    <t>SCP1522 P</t>
  </si>
  <si>
    <t>FG032100007</t>
  </si>
  <si>
    <t>SCP1515#</t>
  </si>
  <si>
    <t>FG032120004</t>
  </si>
  <si>
    <t>SCP1515 P</t>
  </si>
  <si>
    <t>FG032100005</t>
  </si>
  <si>
    <t>SCP1512 Eco</t>
  </si>
  <si>
    <t>FG032120005</t>
  </si>
  <si>
    <t>SCP1512 P Eco</t>
  </si>
  <si>
    <t>FG032100016</t>
  </si>
  <si>
    <t>SCP1512 LV</t>
  </si>
  <si>
    <t>FG033200002</t>
  </si>
  <si>
    <t>SCP2032#</t>
  </si>
  <si>
    <t>FG033210004</t>
  </si>
  <si>
    <t>SCP2032 P</t>
  </si>
  <si>
    <t>FG033200003</t>
  </si>
  <si>
    <t>SCP2025#</t>
  </si>
  <si>
    <t>FG033210002</t>
  </si>
  <si>
    <t>SCP2025 P</t>
  </si>
  <si>
    <t>FG033200004</t>
  </si>
  <si>
    <t>SCP2020#</t>
  </si>
  <si>
    <t>FG033210003</t>
  </si>
  <si>
    <t>SCP2020 P</t>
  </si>
  <si>
    <t>FG033200012</t>
  </si>
  <si>
    <t>SCP2020 LV</t>
  </si>
  <si>
    <t>SCP2020HH</t>
  </si>
  <si>
    <t>FG033210008</t>
  </si>
  <si>
    <t>SCP2020 P HH</t>
  </si>
  <si>
    <t>FG033200001</t>
  </si>
  <si>
    <t>SCP2012# **</t>
  </si>
  <si>
    <t>FG033210001</t>
  </si>
  <si>
    <t>SCP2012 P</t>
  </si>
  <si>
    <t>FG033210009</t>
  </si>
  <si>
    <t>SCP 2012+ P</t>
  </si>
  <si>
    <t>FG033210011</t>
  </si>
  <si>
    <t>SCP 2012+ P VOLT MTR</t>
  </si>
  <si>
    <t>FG033200007</t>
  </si>
  <si>
    <t>SCP2012 LV</t>
  </si>
  <si>
    <t>FG033200005</t>
  </si>
  <si>
    <t>SCP2013#</t>
  </si>
  <si>
    <t>FG033210005</t>
  </si>
  <si>
    <t>SCP2013 P</t>
  </si>
  <si>
    <t>SAM20</t>
  </si>
  <si>
    <t>SAM20D</t>
  </si>
  <si>
    <t>SCP3035</t>
  </si>
  <si>
    <t>FG033310006</t>
  </si>
  <si>
    <t>SCP3035 P</t>
  </si>
  <si>
    <t>FG033300005</t>
  </si>
  <si>
    <t>SCP3030</t>
  </si>
  <si>
    <t>FG033310007</t>
  </si>
  <si>
    <t>SCP3030 P</t>
  </si>
  <si>
    <t>FG033300004</t>
  </si>
  <si>
    <t>SCP3026</t>
  </si>
  <si>
    <t>FG033310005</t>
  </si>
  <si>
    <t>SCP3026 P</t>
  </si>
  <si>
    <t>FG033300001</t>
  </si>
  <si>
    <t>SCP3016</t>
  </si>
  <si>
    <t>FG033310001</t>
  </si>
  <si>
    <t>SCP3016 P</t>
  </si>
  <si>
    <t>FG033300002</t>
  </si>
  <si>
    <t>SCP3014</t>
  </si>
  <si>
    <t>FG033310002</t>
  </si>
  <si>
    <t>SCP3014 P</t>
  </si>
  <si>
    <t>FG033200011</t>
  </si>
  <si>
    <t>SAM30</t>
  </si>
  <si>
    <t>FG033310004</t>
  </si>
  <si>
    <t>SAM30D</t>
  </si>
  <si>
    <t>FG034400001</t>
  </si>
  <si>
    <t>SCP5027</t>
  </si>
  <si>
    <t>SCP5027 P</t>
  </si>
  <si>
    <t>FG034430001</t>
  </si>
  <si>
    <t>SCP5027 3P</t>
  </si>
  <si>
    <t>FG031000003</t>
  </si>
  <si>
    <t>Akaash725</t>
  </si>
  <si>
    <t>FG032100008</t>
  </si>
  <si>
    <t>Akaash1018</t>
  </si>
  <si>
    <t>Akaash1018 P</t>
  </si>
  <si>
    <t>Akaash 2012</t>
  </si>
  <si>
    <t>FG032200005</t>
  </si>
  <si>
    <t>Aakash 2012 P</t>
  </si>
  <si>
    <t>FG032200006</t>
  </si>
  <si>
    <t>Akaash 2018</t>
  </si>
  <si>
    <t>FG032200004</t>
  </si>
  <si>
    <t>Akaash 2018 P</t>
  </si>
  <si>
    <t xml:space="preserve">OPENWELL SERIES </t>
  </si>
  <si>
    <t>FG041000002</t>
  </si>
  <si>
    <t>SOS 50N</t>
  </si>
  <si>
    <t>FG042100002</t>
  </si>
  <si>
    <t>SOS 100N</t>
  </si>
  <si>
    <t>FGM42210001</t>
  </si>
  <si>
    <t>JOSH-225D</t>
  </si>
  <si>
    <t>FGM42210003</t>
  </si>
  <si>
    <t>Josh-225</t>
  </si>
  <si>
    <t>FGM42200003</t>
  </si>
  <si>
    <t>JOSH-220</t>
  </si>
  <si>
    <t>FGM42210002</t>
  </si>
  <si>
    <t>JOSH-220D</t>
  </si>
  <si>
    <t>FGM43300001</t>
  </si>
  <si>
    <t>Josh-325</t>
  </si>
  <si>
    <t>FGM43310001</t>
  </si>
  <si>
    <t>JOSH-325D</t>
  </si>
  <si>
    <t>FGM43320001</t>
  </si>
  <si>
    <t>JOSH-325T</t>
  </si>
  <si>
    <t>FGM43320002</t>
  </si>
  <si>
    <t>JOSH-325T CI</t>
  </si>
  <si>
    <t>FGM43520002</t>
  </si>
  <si>
    <t>JOSH-540T SS</t>
  </si>
  <si>
    <t>FGM43520003</t>
  </si>
  <si>
    <t>JOSH-540T CI</t>
  </si>
  <si>
    <t>SUBMERSIBLE SERIES (WATERFILLED)</t>
  </si>
  <si>
    <t>FG057100115</t>
  </si>
  <si>
    <t>MSW40508</t>
  </si>
  <si>
    <t>FG057100101</t>
  </si>
  <si>
    <t>MSW40510</t>
  </si>
  <si>
    <t>FG057100103</t>
  </si>
  <si>
    <t>MSW40710</t>
  </si>
  <si>
    <t>FG057100116</t>
  </si>
  <si>
    <t>MSW40712</t>
  </si>
  <si>
    <t>FG057100117</t>
  </si>
  <si>
    <t>MSW41008</t>
  </si>
  <si>
    <t>FG057100113</t>
  </si>
  <si>
    <t>MSW41010</t>
  </si>
  <si>
    <t>FG057100102</t>
  </si>
  <si>
    <t>MSW41015</t>
  </si>
  <si>
    <t>FG057100118</t>
  </si>
  <si>
    <t>MSW41018</t>
  </si>
  <si>
    <t>FG057100112</t>
  </si>
  <si>
    <t>MSW4 1512</t>
  </si>
  <si>
    <t>FG057100119</t>
  </si>
  <si>
    <t>MSW4 1515</t>
  </si>
  <si>
    <t>FG057100104</t>
  </si>
  <si>
    <t>MSW41520</t>
  </si>
  <si>
    <t>FG057100105</t>
  </si>
  <si>
    <t>MSW41525</t>
  </si>
  <si>
    <t>FG057100111</t>
  </si>
  <si>
    <t>MSW42015</t>
  </si>
  <si>
    <t>FG057100114</t>
  </si>
  <si>
    <t>MSW42018</t>
  </si>
  <si>
    <t>FG057100106</t>
  </si>
  <si>
    <t>MSW42024</t>
  </si>
  <si>
    <t>FG057100122</t>
  </si>
  <si>
    <t>MSW42025</t>
  </si>
  <si>
    <t>FG057100107</t>
  </si>
  <si>
    <t>MSW42030</t>
  </si>
  <si>
    <t>FG057100120</t>
  </si>
  <si>
    <t>MSW042006</t>
  </si>
  <si>
    <t>FG057100109</t>
  </si>
  <si>
    <t>MSW43025</t>
  </si>
  <si>
    <t>FG057100108</t>
  </si>
  <si>
    <t>MSW43030</t>
  </si>
  <si>
    <t>FG057100110</t>
  </si>
  <si>
    <t>MSW43035</t>
  </si>
  <si>
    <t>FG057330001</t>
  </si>
  <si>
    <t>MSW43007</t>
  </si>
  <si>
    <t>FG057100121</t>
  </si>
  <si>
    <t>SUBMERSIBLE SERIES (OILFILLED)</t>
  </si>
  <si>
    <t>FG057100008</t>
  </si>
  <si>
    <t>MS04 0508</t>
  </si>
  <si>
    <t>FG057100003</t>
  </si>
  <si>
    <t>MS04 0510</t>
  </si>
  <si>
    <t>FG057100009</t>
  </si>
  <si>
    <t>MS04 0710</t>
  </si>
  <si>
    <t>FG057100012</t>
  </si>
  <si>
    <t>MS04 0712</t>
  </si>
  <si>
    <t>FG057100011</t>
  </si>
  <si>
    <t>MS04 1008</t>
  </si>
  <si>
    <t>FG057100001</t>
  </si>
  <si>
    <t>MS04 1010</t>
  </si>
  <si>
    <t>FG057100006</t>
  </si>
  <si>
    <t>MS04 1015</t>
  </si>
  <si>
    <t>FG057100013</t>
  </si>
  <si>
    <t>MS04 1512</t>
  </si>
  <si>
    <t>FG057100002</t>
  </si>
  <si>
    <t>MS04 1515</t>
  </si>
  <si>
    <t>FG057100007</t>
  </si>
  <si>
    <t>MS04 1520</t>
  </si>
  <si>
    <t>FG057100010</t>
  </si>
  <si>
    <t>MS04 2015</t>
  </si>
  <si>
    <t>FG057100004</t>
  </si>
  <si>
    <t>MS04 2025</t>
  </si>
  <si>
    <t>FG057100014</t>
  </si>
  <si>
    <t>MS04 3025</t>
  </si>
  <si>
    <t>FG057100005</t>
  </si>
  <si>
    <t>MS04 3030</t>
  </si>
  <si>
    <t>FG057100015</t>
  </si>
  <si>
    <t>MS04 3035</t>
  </si>
  <si>
    <t>15% addition on ETC Price</t>
  </si>
  <si>
    <t>2000419</t>
  </si>
  <si>
    <t>Name of the Parties</t>
  </si>
  <si>
    <t>Party code</t>
  </si>
  <si>
    <t>Sn.No.</t>
  </si>
  <si>
    <t>2000400</t>
  </si>
  <si>
    <t>Patna Tools Agency</t>
  </si>
  <si>
    <t>2000643</t>
  </si>
  <si>
    <t xml:space="preserve">Ganesh Machinery &amp; Repairing </t>
  </si>
  <si>
    <t>2000651</t>
  </si>
  <si>
    <t>OMEGA Enterprises</t>
  </si>
  <si>
    <t>Mahavir Machinery and Hardware</t>
  </si>
  <si>
    <t>Shri Traders</t>
  </si>
  <si>
    <t>Maa Kali Enterprises</t>
  </si>
  <si>
    <t>Binod Kumar Chirania</t>
  </si>
  <si>
    <t>Khushi Traders</t>
  </si>
  <si>
    <t>Bhawan Nirman</t>
  </si>
  <si>
    <t>D K Enterprises &amp; Co</t>
  </si>
  <si>
    <t>Discount @</t>
  </si>
  <si>
    <t>Discount @ 40%</t>
  </si>
  <si>
    <t>Dealer @</t>
  </si>
  <si>
    <t>Eastern Trading Company(2000403)</t>
  </si>
  <si>
    <t xml:space="preserve">37% discounted Party list </t>
  </si>
  <si>
    <t>2000515</t>
  </si>
  <si>
    <t>Unique Agencies</t>
  </si>
  <si>
    <t>Shri Shiv Distributors, Lucknow</t>
  </si>
  <si>
    <t>2000455</t>
  </si>
  <si>
    <t>Global Marketing ,Wadi(Nagpur)</t>
  </si>
  <si>
    <t>2000453</t>
  </si>
  <si>
    <t>Pattewar Trading Company , Latur</t>
  </si>
  <si>
    <t>2000298</t>
  </si>
  <si>
    <t>Chandra Agro Sales</t>
  </si>
  <si>
    <t>2000448</t>
  </si>
  <si>
    <t>Basant Trader</t>
  </si>
  <si>
    <t>2000179</t>
  </si>
  <si>
    <t>Jain Electric &amp; Machinery</t>
  </si>
  <si>
    <t>Laxmi Traders</t>
  </si>
  <si>
    <t>2000577</t>
  </si>
  <si>
    <t>Enterna Enterprises</t>
  </si>
  <si>
    <t>2000327</t>
  </si>
  <si>
    <t>Calcutta Machinery Stores</t>
  </si>
  <si>
    <t>2000157</t>
  </si>
  <si>
    <t>Satnam Agro</t>
  </si>
  <si>
    <t>2000562</t>
  </si>
  <si>
    <t>Tulsi Trading Company</t>
  </si>
  <si>
    <t>2000523</t>
  </si>
  <si>
    <t>Shiv Shakti Enterprises , Seoni</t>
  </si>
  <si>
    <t>2000621</t>
  </si>
  <si>
    <t>Shree Maruti Corp</t>
  </si>
  <si>
    <t>2000646</t>
  </si>
  <si>
    <t>Shri Venkatesh Pumps &amp; Electricals</t>
  </si>
  <si>
    <t>2000463</t>
  </si>
  <si>
    <t>P K Shah &amp; Sons</t>
  </si>
  <si>
    <t>2000549</t>
  </si>
  <si>
    <t>Jyoti Traders , Raipur</t>
  </si>
  <si>
    <t>2000555</t>
  </si>
  <si>
    <t>Shiv Traders</t>
  </si>
  <si>
    <t>2000446</t>
  </si>
  <si>
    <t>Mansata Machinery Mart</t>
  </si>
  <si>
    <t>Bajaj Machinery Store</t>
  </si>
  <si>
    <t>Maxflow Pumps &amp; Controls Inc</t>
  </si>
  <si>
    <t>Jai Enterprises</t>
  </si>
  <si>
    <t>Jagdamba Dye Stuff Industries</t>
  </si>
  <si>
    <t>Mahalaxmi Electricals</t>
  </si>
  <si>
    <t>Dhan Laxmi Pumps</t>
  </si>
  <si>
    <t>Aries Agencies</t>
  </si>
  <si>
    <t>Rama Traders</t>
  </si>
  <si>
    <t>Sita Ram Motilal Gupta</t>
  </si>
  <si>
    <t>Tejas Enterprises</t>
  </si>
  <si>
    <t>Shri Durga Iron Stores</t>
  </si>
  <si>
    <t>Jain Rahat Industries</t>
  </si>
  <si>
    <t>Shailendra Sales</t>
  </si>
  <si>
    <t>Central Agriculture Agency</t>
  </si>
  <si>
    <t>Vijay Traders</t>
  </si>
  <si>
    <t>Rishabh Electricals and Repairs</t>
  </si>
  <si>
    <t>Vikas Enterprises</t>
  </si>
  <si>
    <t>Parshwanath Motors &amp; Hardware</t>
  </si>
  <si>
    <t>Hussaini Traders</t>
  </si>
  <si>
    <t>JMD Pipes, Sriganganagar</t>
  </si>
  <si>
    <t>Vasant Machinery Company</t>
  </si>
  <si>
    <t>Shri Ram Agencies, Bhokardan</t>
  </si>
  <si>
    <t>BaisakhiyaTraders</t>
  </si>
  <si>
    <t>Indore Agro</t>
  </si>
  <si>
    <t>Mittal Pipe Distributor</t>
  </si>
  <si>
    <t>New Protec Sales</t>
  </si>
  <si>
    <t>Jaisinghani Enterprises</t>
  </si>
  <si>
    <t>Yogesh Hardware and Machinery &amp; Elec. Stores</t>
  </si>
  <si>
    <t>Krishna Machinery, Tarana</t>
  </si>
  <si>
    <t>Krushna Pipe Agency</t>
  </si>
  <si>
    <t>Radhika Agency</t>
  </si>
  <si>
    <t>Borse And Sons</t>
  </si>
  <si>
    <t>Pramod Hardware Stores</t>
  </si>
  <si>
    <t>Somani Machinery</t>
  </si>
  <si>
    <t>Shri Electricals</t>
  </si>
  <si>
    <t>Borse And Company</t>
  </si>
  <si>
    <t>S.K. Brothers</t>
  </si>
  <si>
    <t>Tiware Electricals</t>
  </si>
  <si>
    <t>ShrI Ram Electrical</t>
  </si>
  <si>
    <t>Vardhaman Enterprises, KHIRKIYA</t>
  </si>
  <si>
    <t>Shree Mahaveer Agro Agency</t>
  </si>
  <si>
    <t>Shanti Enterprises</t>
  </si>
  <si>
    <t>Shriram Krishi Seva Kendra</t>
  </si>
  <si>
    <t>Purnima Traders</t>
  </si>
  <si>
    <t>Veer Agency</t>
  </si>
  <si>
    <t>Shree Traders</t>
  </si>
  <si>
    <t>Jain Sales Electricals And Plumbing</t>
  </si>
  <si>
    <t>Saify General Stores, Biaora</t>
  </si>
  <si>
    <t>Shree Ram Machinery Store, Ujjain</t>
  </si>
  <si>
    <t>P.D.Enterprises</t>
  </si>
  <si>
    <t>Rakesh Electricals</t>
  </si>
  <si>
    <t>Harshvardhan Machinery &amp; Electricals</t>
  </si>
  <si>
    <t>Maheshwari Machinary Store</t>
  </si>
  <si>
    <t>Laxmi Machinery Stores</t>
  </si>
  <si>
    <t>Maheshwari Enterprises</t>
  </si>
  <si>
    <t>Chopna Machinery</t>
  </si>
  <si>
    <t>Gurukrupa Agencies</t>
  </si>
  <si>
    <t>Shree Sheela Marketing</t>
  </si>
  <si>
    <t>Chaitanya Machinery</t>
  </si>
  <si>
    <t>Malwa Hardware Stores, Betul</t>
  </si>
  <si>
    <t>New Mauli Traders</t>
  </si>
  <si>
    <t>Rathore Electricals</t>
  </si>
  <si>
    <t>Dileep Krishi Yantra Vikreta, Shankargarh</t>
  </si>
  <si>
    <t>Amit Associates</t>
  </si>
  <si>
    <t>Shyam Machinary</t>
  </si>
  <si>
    <t>Surya Electricals</t>
  </si>
  <si>
    <t>Shreya Agro Agencies, Akola</t>
  </si>
  <si>
    <t>Abhijeet Machinery, Gangakhed</t>
  </si>
  <si>
    <t>Yash Engineering</t>
  </si>
  <si>
    <t>Ravi Electricals,Ashta</t>
  </si>
  <si>
    <t>Gupta Enterprises</t>
  </si>
  <si>
    <t>Vijay Machinery Store</t>
  </si>
  <si>
    <t>Ultra star pipe &amp; products</t>
  </si>
  <si>
    <t>Mam Lukhmanji</t>
  </si>
  <si>
    <t>Shanti Engineering</t>
  </si>
  <si>
    <t>Balaji Agencies</t>
  </si>
  <si>
    <t>Ambika Hardware &amp; Machinery</t>
  </si>
  <si>
    <t>Shree Sai Agency</t>
  </si>
  <si>
    <t>Shraddha Electricals</t>
  </si>
  <si>
    <t>Gajanan Traders</t>
  </si>
  <si>
    <t>Bhopal Machinery Stores</t>
  </si>
  <si>
    <t>Shree Ram Machinery Stores, Dhamnod</t>
  </si>
  <si>
    <t>Chandak Machinery &amp; Pipes</t>
  </si>
  <si>
    <t>Shri Ram Machinery Stores, Khilchipur</t>
  </si>
  <si>
    <t>Jogai Mata Electricals</t>
  </si>
  <si>
    <t>Bohara Pipe &amp; Electric Motors</t>
  </si>
  <si>
    <t>Shree Dutt Enterprises, Shujalpur</t>
  </si>
  <si>
    <t>Jay Khodiyar Machinery &amp; Hardware</t>
  </si>
  <si>
    <t>Maa Narmada Agencies</t>
  </si>
  <si>
    <t>Narmade Industries</t>
  </si>
  <si>
    <t>K.D.Enterpises</t>
  </si>
  <si>
    <t>Sai Machinery Stores</t>
  </si>
  <si>
    <t>Gulab Bhadora And Sons</t>
  </si>
  <si>
    <t>Sanjay Electricals</t>
  </si>
  <si>
    <t>Sawariya Krishi Sewa Kendra, Jhabua</t>
  </si>
  <si>
    <t>Maa Durga Electric &amp; Machinery</t>
  </si>
  <si>
    <t>Santkirpa Agencies , Nanded</t>
  </si>
  <si>
    <t>Hendre Machineries Spare Parts</t>
  </si>
  <si>
    <t>Mahakal Electricals</t>
  </si>
  <si>
    <t>Godawari Hardware</t>
  </si>
  <si>
    <t>Aditya Traders, Ahmednagar</t>
  </si>
  <si>
    <t>Guru kripa Traders, Suthaliya</t>
  </si>
  <si>
    <t>Royal Traders</t>
  </si>
  <si>
    <t>Raj Machinery &amp; Hardware</t>
  </si>
  <si>
    <t>Reva Shakti Electricals &amp; Engineering, Alirajpur</t>
  </si>
  <si>
    <t>MS Hada Engineering</t>
  </si>
  <si>
    <t>Nirmal Machinery Store</t>
  </si>
  <si>
    <t>Muktai Borewell Electrical And Dripirrigation</t>
  </si>
  <si>
    <t>New Kamdar Agro Agency</t>
  </si>
  <si>
    <t>Jatadhari Machinery Store</t>
  </si>
  <si>
    <t>M.B. Traders</t>
  </si>
  <si>
    <t>Ashirvad Traders, Sarangpur</t>
  </si>
  <si>
    <t>Divya Electricals And Submarsibal</t>
  </si>
  <si>
    <t>Karvy Corporation</t>
  </si>
  <si>
    <t>Mahamaya Krishi Seva Kendra</t>
  </si>
  <si>
    <t>Priya Pumps</t>
  </si>
  <si>
    <t>Anmol Drilling</t>
  </si>
  <si>
    <t>Pushpa Agencies</t>
  </si>
  <si>
    <t>Patel Krishi Sewa Kendra</t>
  </si>
  <si>
    <t>Swastik Electricals, Pachore</t>
  </si>
  <si>
    <t>Ramdev Electric</t>
  </si>
  <si>
    <t>Aditya Agency</t>
  </si>
  <si>
    <t>Discount @37%</t>
  </si>
  <si>
    <t>Discount @ 37%</t>
  </si>
  <si>
    <t>S.S. Pumps, Gwalior (2000412)</t>
  </si>
  <si>
    <t>Discount @ 39</t>
  </si>
  <si>
    <t>Shyam Bihari, Rewa (2000426)</t>
  </si>
  <si>
    <t>Discount @40%</t>
  </si>
  <si>
    <t>Discount @37</t>
  </si>
  <si>
    <t>Basic Price</t>
  </si>
  <si>
    <t xml:space="preserve">Discount </t>
  </si>
  <si>
    <t>The Electric House</t>
  </si>
  <si>
    <t>Divisha Electricals, Jodhpur (2000525)</t>
  </si>
  <si>
    <t>Patel Switch Gear, Bengaluru (2000296)</t>
  </si>
  <si>
    <t>Discount @25%</t>
  </si>
  <si>
    <t>Discount @ 25%</t>
  </si>
  <si>
    <t>JMD Enterprises, Agra (2000313)</t>
  </si>
  <si>
    <t>SOS 50N with Panel</t>
  </si>
  <si>
    <t>SOS 100N with Panel</t>
  </si>
  <si>
    <t>Binod Kumar Chiraniya, Assam (2000682)</t>
  </si>
  <si>
    <t>Shree Engineering</t>
  </si>
  <si>
    <t>Amarsen Choudhary, Tripura (2000122)</t>
  </si>
  <si>
    <t xml:space="preserve">33%-3% Discounted Party list </t>
  </si>
  <si>
    <t>2000635</t>
  </si>
  <si>
    <t>2000606</t>
  </si>
  <si>
    <t>Sahil Hardware and Electricals</t>
  </si>
  <si>
    <t>Patel Machinary &amp; Electricals</t>
  </si>
  <si>
    <t>Patidar Electric &amp; Pumps</t>
  </si>
  <si>
    <t>Madhya Bharat Machinery Stores</t>
  </si>
  <si>
    <t>Sai Traders ,Bhoura</t>
  </si>
  <si>
    <t>Gouri Enterprises</t>
  </si>
  <si>
    <t>Chitrahaar Electric &amp; Electronics</t>
  </si>
  <si>
    <t>Shri Ram Machinery and Auto Parts</t>
  </si>
  <si>
    <t>33%-3% discount for parties</t>
  </si>
  <si>
    <t>37% discount price for dealer</t>
  </si>
  <si>
    <t>Sarda Builders, Dinajpur (2000605)</t>
  </si>
  <si>
    <t>Lahoti Brothers(2000623)</t>
  </si>
  <si>
    <t>Unique Agency(2000515)</t>
  </si>
  <si>
    <t>Discount @39%</t>
  </si>
  <si>
    <t>Ved &amp; Company</t>
  </si>
  <si>
    <t>Walk in Customer(2000010)</t>
  </si>
  <si>
    <t>Patodia Trading Company, Jaipur(2000666)</t>
  </si>
  <si>
    <t>Pearl Trading Company, Jaipur(2000566)</t>
  </si>
  <si>
    <t>Deep  Agency (2000462)</t>
  </si>
  <si>
    <t>Pramod Hardware and Store(2000464)</t>
  </si>
  <si>
    <t>Krishna Machinery and Stores(2000721)</t>
  </si>
  <si>
    <t>Ashok Traders(2000719)</t>
  </si>
  <si>
    <t>Pragati enterprises(2000709)</t>
  </si>
  <si>
    <t>SN Enterprises(2000707)</t>
  </si>
  <si>
    <t>Bansal Trading(2000715)</t>
  </si>
  <si>
    <t>Chawada Krishi Seva Kendra(2000712)</t>
  </si>
  <si>
    <t>Rajcot Machinery  &amp; Bearing Traders(2000718)</t>
  </si>
  <si>
    <t>Reyansh Traders(2000559)</t>
  </si>
  <si>
    <t>Hindustan Electricals &amp; Machinery(2000630)</t>
  </si>
  <si>
    <t xml:space="preserve">INDEX </t>
  </si>
  <si>
    <t xml:space="preserve">Customer code </t>
  </si>
  <si>
    <t xml:space="preserve">Dealer Name </t>
  </si>
  <si>
    <t>Discount</t>
  </si>
  <si>
    <t>Additional discount</t>
  </si>
  <si>
    <t>Freight</t>
  </si>
  <si>
    <t>TOD</t>
  </si>
  <si>
    <t>Remarks</t>
  </si>
  <si>
    <t>Self primimg</t>
  </si>
  <si>
    <t>Centrifugal</t>
  </si>
  <si>
    <t>Submersible &amp;</t>
  </si>
  <si>
    <t xml:space="preserve"> openwell</t>
  </si>
  <si>
    <t>QD%</t>
  </si>
  <si>
    <t>SD%</t>
  </si>
  <si>
    <t>TD%</t>
  </si>
  <si>
    <t>CD%</t>
  </si>
  <si>
    <t>Paid</t>
  </si>
  <si>
    <t>2000403</t>
  </si>
  <si>
    <t>Eastern Trading Company</t>
  </si>
  <si>
    <t>2000605</t>
  </si>
  <si>
    <t>Sarda Builders</t>
  </si>
  <si>
    <t>2000623</t>
  </si>
  <si>
    <t>Lahoti Brothers</t>
  </si>
  <si>
    <t>2000412</t>
  </si>
  <si>
    <t>S.S.Pumps</t>
  </si>
  <si>
    <t>2000426</t>
  </si>
  <si>
    <t>Shyam Bihari Agro Sales</t>
  </si>
  <si>
    <t>2000525</t>
  </si>
  <si>
    <t>Divisha Electricals</t>
  </si>
  <si>
    <t>2000296</t>
  </si>
  <si>
    <t>Patel Switch Gear</t>
  </si>
  <si>
    <t>Walk-in-Customer</t>
  </si>
  <si>
    <t>2000313</t>
  </si>
  <si>
    <t>J M D Enterprise</t>
  </si>
  <si>
    <t>Pearl Tradelink LLP</t>
  </si>
  <si>
    <t>2000561</t>
  </si>
  <si>
    <t>Shree Kamal Enterprises (Dealer)</t>
  </si>
  <si>
    <t>2000306</t>
  </si>
  <si>
    <t>Patodia Trading Company, Jaipur</t>
  </si>
  <si>
    <t>Special Price in 5 Subm. models</t>
  </si>
  <si>
    <t>Deep Agencies, Ambedkar Nagar</t>
  </si>
  <si>
    <t>Special Price in Some Centri &amp; Sub. Model</t>
  </si>
  <si>
    <t>2000682</t>
  </si>
  <si>
    <t>Amar Sen Chowdhury</t>
  </si>
  <si>
    <t>Special Price in some models</t>
  </si>
  <si>
    <t>bihar</t>
  </si>
  <si>
    <t>Verma Machinery Store</t>
  </si>
  <si>
    <t>Maa Ambey Traders</t>
  </si>
  <si>
    <t>Ambika Hardware, Dhar</t>
  </si>
  <si>
    <t>Modi Irrigation System</t>
  </si>
  <si>
    <t>Hindustan Electricals &amp; Machinery</t>
  </si>
  <si>
    <t>Rahul Enterprises</t>
  </si>
  <si>
    <t>Reyansh Traders</t>
  </si>
  <si>
    <t>Ajanta Traders</t>
  </si>
  <si>
    <t>Mamta Electricals</t>
  </si>
  <si>
    <t>Rajkot Machinery &amp; Bearing Traders</t>
  </si>
  <si>
    <t>Bathla Pumps &amp; Sanitary Stores</t>
  </si>
  <si>
    <t>Chawda Krishi Seva Kendra</t>
  </si>
  <si>
    <t>Bansal Trading</t>
  </si>
  <si>
    <t>Jitendra Electricals</t>
  </si>
  <si>
    <t>S N Enterprises</t>
  </si>
  <si>
    <t>Sanidhya Hardware &amp; Machinery</t>
  </si>
  <si>
    <t>Pragati Enterprise</t>
  </si>
  <si>
    <t>Ashok Traders</t>
  </si>
  <si>
    <t>Krishna Machinery and stores</t>
  </si>
  <si>
    <t>Cheque Details</t>
  </si>
  <si>
    <t>QTY</t>
  </si>
  <si>
    <t>AMT</t>
  </si>
  <si>
    <t xml:space="preserve">Bank Name </t>
  </si>
  <si>
    <t>BOB</t>
  </si>
  <si>
    <t>Blank</t>
  </si>
  <si>
    <t>Kotak</t>
  </si>
  <si>
    <t xml:space="preserve">Union </t>
  </si>
  <si>
    <t>IDBI</t>
  </si>
  <si>
    <t>BOI</t>
  </si>
  <si>
    <t>1Blank/30000</t>
  </si>
  <si>
    <t>Canara</t>
  </si>
  <si>
    <t>SBI</t>
  </si>
  <si>
    <t>ICICI</t>
  </si>
  <si>
    <t>Yes bank</t>
  </si>
  <si>
    <t>AXIS</t>
  </si>
  <si>
    <t>Central Bank of India</t>
  </si>
  <si>
    <t>Bank of Maharashtra</t>
  </si>
  <si>
    <t>3Blank/25000</t>
  </si>
  <si>
    <t>Bank of Maharastra</t>
  </si>
  <si>
    <t>HDFC</t>
  </si>
  <si>
    <t>Canara Bank</t>
  </si>
  <si>
    <t>AU</t>
  </si>
  <si>
    <t xml:space="preserve"> </t>
  </si>
  <si>
    <t>1Blank/100000</t>
  </si>
  <si>
    <t>The Electric House (2000635)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</si>
</sst>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4" x14ac:knownFonts="1">
    <font>
      <sz val="11"/>
      <color theme="1"/>
      <name val="Calibri"/>
      <family val="2"/>
      <scheme val="minor"/>
    </font>
    <font>
      <sz val="8"/>
      <name val="Trebuchet MS"/>
      <family val="2"/>
    </font>
    <font>
      <sz val="10"/>
      <name val="Trebuchet MS"/>
      <family val="2"/>
    </font>
    <font>
      <sz val="10"/>
      <color theme="1"/>
      <name val="Arial"/>
      <family val="2"/>
    </font>
    <font>
      <sz val="10"/>
      <color rgb="FF231F20"/>
      <name val="Trebuchet MS"/>
      <family val="2"/>
    </font>
    <font>
      <sz val="8"/>
      <color theme="1"/>
      <name val="Trebuchet MS"/>
      <family val="2"/>
    </font>
    <font>
      <sz val="11"/>
      <name val="Calibri"/>
      <family val="2"/>
      <scheme val="minor"/>
    </font>
    <font>
      <sz val="11"/>
      <color rgb="FF231F20"/>
      <name val="Trebuchet MS"/>
      <family val="2"/>
    </font>
    <font>
      <sz val="11"/>
      <color theme="1"/>
      <name val="Trebuchet MS"/>
      <family val="2"/>
    </font>
    <font>
      <sz val="10"/>
      <color rgb="FF000000"/>
      <name val="Arial"/>
      <family val="2"/>
    </font>
    <font>
      <sz val="11"/>
      <color rgb="FF1F1F1F"/>
      <name val="Arial"/>
      <family val="2"/>
    </font>
    <font>
      <b/>
      <sz val="18"/>
      <color theme="0"/>
      <name val="Berlin Sans FB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sz val="8"/>
      <color rgb="FF231F20"/>
      <name val="Trebuchet MS"/>
      <family val="2"/>
    </font>
    <font>
      <b/>
      <sz val="11"/>
      <name val="Calibri"/>
      <family val="2"/>
      <scheme val="minor"/>
    </font>
    <font>
      <b/>
      <sz val="10"/>
      <color rgb="FF231F20"/>
      <name val="Trebuchet MS"/>
      <family val="2"/>
    </font>
    <font>
      <b/>
      <sz val="10"/>
      <name val="Trebuchet MS"/>
      <family val="2"/>
    </font>
    <font>
      <b/>
      <sz val="8"/>
      <color theme="1"/>
      <name val="Trebuchet MS"/>
      <family val="2"/>
    </font>
    <font>
      <b/>
      <sz val="8"/>
      <name val="Trebuchet MS"/>
      <family val="2"/>
    </font>
    <font>
      <b/>
      <sz val="10"/>
      <color theme="1"/>
      <name val="Arial"/>
      <family val="2"/>
    </font>
    <font>
      <b/>
      <sz val="11"/>
      <color rgb="FF1F1F1F"/>
      <name val="Arial"/>
      <family val="2"/>
    </font>
    <font>
      <b/>
      <sz val="9"/>
      <color rgb="FF231F20"/>
      <name val="Trebuchet MS"/>
      <family val="2"/>
    </font>
    <font>
      <b/>
      <sz val="11"/>
      <color rgb="FF231F20"/>
      <name val="Trebuchet MS"/>
      <family val="2"/>
    </font>
    <font>
      <b/>
      <sz val="11"/>
      <color theme="1"/>
      <name val="Trebuchet MS"/>
      <family val="2"/>
    </font>
    <font>
      <b/>
      <sz val="8"/>
      <color rgb="FF231F20"/>
      <name val="Trebuchet MS"/>
      <family val="2"/>
    </font>
    <font>
      <b/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color theme="1"/>
      <name val="Trebuchet MS"/>
      <family val="2"/>
    </font>
    <font>
      <b/>
      <sz val="9"/>
      <name val="Trebuchet MS"/>
      <family val="2"/>
    </font>
    <font>
      <b/>
      <sz val="12"/>
      <color rgb="FF231F20"/>
      <name val="Trebuchet MS"/>
      <family val="2"/>
    </font>
    <font>
      <b/>
      <sz val="12"/>
      <name val="Trebuchet MS"/>
      <family val="2"/>
    </font>
    <font>
      <b/>
      <sz val="11"/>
      <name val="Trebuchet MS"/>
      <family val="2"/>
    </font>
    <font>
      <b/>
      <sz val="12"/>
      <color theme="1"/>
      <name val="Arial"/>
      <family val="2"/>
    </font>
    <font>
      <sz val="9"/>
      <color rgb="FF231F20"/>
      <name val="Trebuchet MS"/>
      <family val="2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CD4D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51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1" fontId="0" fillId="4" borderId="1" xfId="0" applyNumberForma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1" fontId="0" fillId="0" borderId="1" xfId="0" applyNumberFormat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1" fontId="0" fillId="3" borderId="1" xfId="0" applyNumberForma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vertical="center"/>
    </xf>
    <xf numFmtId="0" fontId="13" fillId="0" borderId="1" xfId="0" applyFont="1" applyBorder="1" applyAlignment="1">
      <alignment horizontal="center" wrapText="1"/>
    </xf>
    <xf numFmtId="0" fontId="13" fillId="0" borderId="1" xfId="0" applyFont="1" applyBorder="1" applyAlignment="1">
      <alignment horizontal="left" wrapText="1"/>
    </xf>
    <xf numFmtId="1" fontId="0" fillId="0" borderId="1" xfId="0" applyNumberFormat="1" applyBorder="1" applyAlignment="1">
      <alignment horizontal="center" vertical="top"/>
    </xf>
    <xf numFmtId="0" fontId="0" fillId="0" borderId="1" xfId="0" applyBorder="1" applyAlignment="1">
      <alignment vertical="top"/>
    </xf>
    <xf numFmtId="0" fontId="0" fillId="0" borderId="18" xfId="0" applyBorder="1" applyAlignment="1">
      <alignment horizontal="center" vertical="center"/>
    </xf>
    <xf numFmtId="0" fontId="13" fillId="0" borderId="19" xfId="0" applyFont="1" applyBorder="1" applyAlignment="1">
      <alignment horizontal="left" wrapText="1"/>
    </xf>
    <xf numFmtId="0" fontId="0" fillId="0" borderId="19" xfId="0" applyBorder="1" applyAlignment="1">
      <alignment vertical="top"/>
    </xf>
    <xf numFmtId="1" fontId="0" fillId="0" borderId="6" xfId="0" applyNumberFormat="1" applyBorder="1" applyAlignment="1">
      <alignment horizontal="center" vertical="top"/>
    </xf>
    <xf numFmtId="0" fontId="0" fillId="0" borderId="21" xfId="0" applyBorder="1" applyAlignment="1">
      <alignment vertical="top"/>
    </xf>
    <xf numFmtId="9" fontId="7" fillId="6" borderId="1" xfId="0" applyNumberFormat="1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left" vertical="center" wrapText="1"/>
    </xf>
    <xf numFmtId="0" fontId="16" fillId="0" borderId="1" xfId="0" applyFont="1" applyBorder="1" applyAlignment="1">
      <alignment horizontal="center" vertical="center" wrapText="1"/>
    </xf>
    <xf numFmtId="1" fontId="12" fillId="4" borderId="1" xfId="0" applyNumberFormat="1" applyFont="1" applyFill="1" applyBorder="1" applyAlignment="1">
      <alignment horizontal="center" vertical="center"/>
    </xf>
    <xf numFmtId="1" fontId="12" fillId="0" borderId="1" xfId="0" applyNumberFormat="1" applyFont="1" applyBorder="1" applyAlignment="1">
      <alignment horizontal="center" vertical="center"/>
    </xf>
    <xf numFmtId="0" fontId="17" fillId="3" borderId="1" xfId="0" applyFont="1" applyFill="1" applyBorder="1" applyAlignment="1">
      <alignment horizontal="left" vertical="center" wrapText="1"/>
    </xf>
    <xf numFmtId="0" fontId="18" fillId="0" borderId="1" xfId="0" applyFont="1" applyBorder="1" applyAlignment="1">
      <alignment horizontal="center" vertical="center"/>
    </xf>
    <xf numFmtId="0" fontId="16" fillId="2" borderId="1" xfId="0" applyFont="1" applyFill="1" applyBorder="1" applyAlignment="1">
      <alignment horizontal="left" vertical="center" wrapText="1"/>
    </xf>
    <xf numFmtId="0" fontId="16" fillId="3" borderId="1" xfId="0" applyFont="1" applyFill="1" applyBorder="1" applyAlignment="1">
      <alignment horizontal="left" vertical="center" wrapText="1"/>
    </xf>
    <xf numFmtId="0" fontId="18" fillId="4" borderId="1" xfId="0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center"/>
    </xf>
    <xf numFmtId="0" fontId="23" fillId="5" borderId="1" xfId="0" applyFont="1" applyFill="1" applyBorder="1" applyAlignment="1">
      <alignment horizontal="center" vertical="center" wrapText="1"/>
    </xf>
    <xf numFmtId="9" fontId="23" fillId="6" borderId="1" xfId="0" applyNumberFormat="1" applyFont="1" applyFill="1" applyBorder="1" applyAlignment="1">
      <alignment horizontal="center" vertical="center" wrapText="1"/>
    </xf>
    <xf numFmtId="0" fontId="23" fillId="0" borderId="1" xfId="0" applyFont="1" applyBorder="1" applyAlignment="1">
      <alignment horizontal="left" vertical="center" wrapText="1"/>
    </xf>
    <xf numFmtId="0" fontId="23" fillId="3" borderId="1" xfId="0" applyFont="1" applyFill="1" applyBorder="1" applyAlignment="1">
      <alignment horizontal="left" vertical="center" wrapText="1"/>
    </xf>
    <xf numFmtId="0" fontId="24" fillId="0" borderId="1" xfId="0" applyFont="1" applyBorder="1" applyAlignment="1">
      <alignment horizontal="left" vertical="center" wrapText="1"/>
    </xf>
    <xf numFmtId="0" fontId="20" fillId="3" borderId="1" xfId="0" applyFont="1" applyFill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left" vertical="center"/>
    </xf>
    <xf numFmtId="0" fontId="20" fillId="0" borderId="1" xfId="0" applyFont="1" applyBorder="1" applyAlignment="1">
      <alignment horizontal="center" vertical="center"/>
    </xf>
    <xf numFmtId="0" fontId="26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left" vertical="center"/>
    </xf>
    <xf numFmtId="1" fontId="12" fillId="3" borderId="1" xfId="0" applyNumberFormat="1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wrapText="1"/>
    </xf>
    <xf numFmtId="0" fontId="29" fillId="0" borderId="1" xfId="0" applyFont="1" applyBorder="1" applyAlignment="1">
      <alignment horizontal="center" vertical="center"/>
    </xf>
    <xf numFmtId="0" fontId="29" fillId="4" borderId="1" xfId="0" applyFont="1" applyFill="1" applyBorder="1" applyAlignment="1">
      <alignment horizontal="center" vertical="center"/>
    </xf>
    <xf numFmtId="0" fontId="30" fillId="4" borderId="1" xfId="0" applyFont="1" applyFill="1" applyBorder="1" applyAlignment="1">
      <alignment horizontal="center" vertical="center"/>
    </xf>
    <xf numFmtId="0" fontId="29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7" fillId="6" borderId="2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vertical="center" wrapText="1"/>
    </xf>
    <xf numFmtId="0" fontId="31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/>
    </xf>
    <xf numFmtId="1" fontId="12" fillId="0" borderId="1" xfId="0" applyNumberFormat="1" applyFont="1" applyBorder="1" applyAlignment="1">
      <alignment horizontal="center"/>
    </xf>
    <xf numFmtId="0" fontId="24" fillId="4" borderId="1" xfId="0" applyFont="1" applyFill="1" applyBorder="1" applyAlignment="1">
      <alignment horizontal="center" vertical="center"/>
    </xf>
    <xf numFmtId="0" fontId="32" fillId="3" borderId="1" xfId="0" applyFont="1" applyFill="1" applyBorder="1" applyAlignment="1">
      <alignment horizontal="center" vertical="center" wrapText="1"/>
    </xf>
    <xf numFmtId="0" fontId="33" fillId="4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center" vertical="center" wrapText="1"/>
    </xf>
    <xf numFmtId="0" fontId="34" fillId="0" borderId="1" xfId="0" applyFont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/>
    </xf>
    <xf numFmtId="9" fontId="23" fillId="6" borderId="1" xfId="0" applyNumberFormat="1" applyFont="1" applyFill="1" applyBorder="1" applyAlignment="1">
      <alignment vertical="center" wrapText="1"/>
    </xf>
    <xf numFmtId="0" fontId="7" fillId="6" borderId="1" xfId="0" applyFont="1" applyFill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/>
    </xf>
    <xf numFmtId="1" fontId="0" fillId="3" borderId="1" xfId="0" applyNumberFormat="1" applyFill="1" applyBorder="1" applyAlignment="1">
      <alignment vertical="center"/>
    </xf>
    <xf numFmtId="0" fontId="0" fillId="0" borderId="1" xfId="0" applyBorder="1" applyAlignment="1">
      <alignment vertical="center"/>
    </xf>
    <xf numFmtId="1" fontId="0" fillId="0" borderId="1" xfId="0" applyNumberFormat="1" applyBorder="1" applyAlignment="1">
      <alignment vertical="center"/>
    </xf>
    <xf numFmtId="1" fontId="0" fillId="4" borderId="2" xfId="0" applyNumberForma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1" fontId="0" fillId="4" borderId="1" xfId="0" applyNumberFormat="1" applyFill="1" applyBorder="1" applyAlignment="1">
      <alignment vertical="center"/>
    </xf>
    <xf numFmtId="1" fontId="0" fillId="0" borderId="1" xfId="0" applyNumberFormat="1" applyBorder="1" applyAlignment="1">
      <alignment horizontal="right" vertical="center"/>
    </xf>
    <xf numFmtId="0" fontId="0" fillId="4" borderId="1" xfId="0" applyFill="1" applyBorder="1" applyAlignment="1">
      <alignment vertical="center"/>
    </xf>
    <xf numFmtId="9" fontId="0" fillId="6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1" fontId="0" fillId="0" borderId="3" xfId="0" applyNumberFormat="1" applyBorder="1" applyAlignment="1">
      <alignment horizontal="center" vertical="center"/>
    </xf>
    <xf numFmtId="1" fontId="0" fillId="0" borderId="4" xfId="0" applyNumberFormat="1" applyBorder="1" applyAlignment="1">
      <alignment horizontal="center" vertical="center"/>
    </xf>
    <xf numFmtId="10" fontId="7" fillId="6" borderId="9" xfId="0" applyNumberFormat="1" applyFont="1" applyFill="1" applyBorder="1" applyAlignment="1">
      <alignment vertical="center" wrapText="1"/>
    </xf>
    <xf numFmtId="10" fontId="7" fillId="6" borderId="8" xfId="0" applyNumberFormat="1" applyFont="1" applyFill="1" applyBorder="1" applyAlignment="1">
      <alignment vertical="center" wrapText="1"/>
    </xf>
    <xf numFmtId="0" fontId="0" fillId="9" borderId="0" xfId="0" applyFill="1"/>
    <xf numFmtId="0" fontId="0" fillId="9" borderId="0" xfId="0" applyFill="1" applyAlignment="1">
      <alignment vertical="center"/>
    </xf>
    <xf numFmtId="0" fontId="0" fillId="0" borderId="20" xfId="0" applyBorder="1" applyAlignment="1">
      <alignment horizontal="center" vertical="center"/>
    </xf>
    <xf numFmtId="9" fontId="7" fillId="11" borderId="1" xfId="0" applyNumberFormat="1" applyFont="1" applyFill="1" applyBorder="1" applyAlignment="1">
      <alignment horizontal="center" vertical="center" wrapText="1"/>
    </xf>
    <xf numFmtId="0" fontId="14" fillId="11" borderId="2" xfId="0" applyFont="1" applyFill="1" applyBorder="1" applyAlignment="1">
      <alignment vertical="center" wrapText="1"/>
    </xf>
    <xf numFmtId="0" fontId="37" fillId="10" borderId="1" xfId="0" applyFont="1" applyFill="1" applyBorder="1"/>
    <xf numFmtId="0" fontId="36" fillId="10" borderId="27" xfId="0" applyFont="1" applyFill="1" applyBorder="1"/>
    <xf numFmtId="0" fontId="36" fillId="10" borderId="22" xfId="0" applyFont="1" applyFill="1" applyBorder="1"/>
    <xf numFmtId="0" fontId="36" fillId="10" borderId="17" xfId="0" applyFont="1" applyFill="1" applyBorder="1"/>
    <xf numFmtId="0" fontId="0" fillId="10" borderId="1" xfId="0" applyFill="1" applyBorder="1" applyAlignment="1">
      <alignment vertical="center"/>
    </xf>
    <xf numFmtId="0" fontId="0" fillId="3" borderId="0" xfId="0" applyFill="1"/>
    <xf numFmtId="0" fontId="0" fillId="0" borderId="1" xfId="0" applyBorder="1"/>
    <xf numFmtId="9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9" fontId="0" fillId="0" borderId="1" xfId="0" applyNumberFormat="1" applyBorder="1"/>
    <xf numFmtId="1" fontId="6" fillId="3" borderId="1" xfId="0" applyNumberFormat="1" applyFont="1" applyFill="1" applyBorder="1" applyAlignment="1">
      <alignment horizontal="center" vertical="top"/>
    </xf>
    <xf numFmtId="0" fontId="0" fillId="0" borderId="1" xfId="0" applyBorder="1" applyAlignment="1">
      <alignment wrapText="1"/>
    </xf>
    <xf numFmtId="10" fontId="0" fillId="3" borderId="1" xfId="0" applyNumberFormat="1" applyFill="1" applyBorder="1"/>
    <xf numFmtId="0" fontId="7" fillId="6" borderId="2" xfId="0" applyFont="1" applyFill="1" applyBorder="1" applyAlignment="1">
      <alignment vertical="center" wrapText="1"/>
    </xf>
    <xf numFmtId="0" fontId="7" fillId="6" borderId="1" xfId="0" applyFont="1" applyFill="1" applyBorder="1" applyAlignment="1">
      <alignment vertical="center" wrapText="1"/>
    </xf>
    <xf numFmtId="1" fontId="0" fillId="3" borderId="5" xfId="0" applyNumberFormat="1" applyFill="1" applyBorder="1" applyAlignment="1">
      <alignment horizontal="center" vertical="center"/>
    </xf>
    <xf numFmtId="1" fontId="0" fillId="3" borderId="1" xfId="0" applyNumberFormat="1" applyFill="1" applyBorder="1" applyAlignment="1">
      <alignment horizontal="center" vertical="center"/>
    </xf>
    <xf numFmtId="1" fontId="0" fillId="3" borderId="6" xfId="0" applyNumberFormat="1" applyFill="1" applyBorder="1" applyAlignment="1">
      <alignment horizontal="center" vertical="center"/>
    </xf>
    <xf numFmtId="1" fontId="0" fillId="3" borderId="7" xfId="0" applyNumberFormat="1" applyFill="1" applyBorder="1" applyAlignment="1">
      <alignment horizontal="center" vertical="center"/>
    </xf>
    <xf numFmtId="1" fontId="0" fillId="3" borderId="8" xfId="0" applyNumberFormat="1" applyFill="1" applyBorder="1" applyAlignment="1">
      <alignment horizontal="center" vertical="center"/>
    </xf>
    <xf numFmtId="0" fontId="0" fillId="3" borderId="0" xfId="0" applyFill="1" applyAlignment="1">
      <alignment vertical="center"/>
    </xf>
    <xf numFmtId="0" fontId="0" fillId="3" borderId="0" xfId="0" applyFill="1" applyAlignment="1">
      <alignment horizontal="center"/>
    </xf>
    <xf numFmtId="0" fontId="0" fillId="0" borderId="8" xfId="0" applyBorder="1" applyAlignment="1">
      <alignment horizontal="center"/>
    </xf>
    <xf numFmtId="0" fontId="13" fillId="0" borderId="8" xfId="0" applyFont="1" applyBorder="1" applyAlignment="1">
      <alignment horizontal="center" wrapText="1"/>
    </xf>
    <xf numFmtId="0" fontId="13" fillId="0" borderId="8" xfId="0" applyFont="1" applyBorder="1" applyAlignment="1">
      <alignment horizontal="left" wrapText="1"/>
    </xf>
    <xf numFmtId="0" fontId="0" fillId="0" borderId="8" xfId="0" applyBorder="1"/>
    <xf numFmtId="0" fontId="43" fillId="14" borderId="28" xfId="0" applyFont="1" applyFill="1" applyBorder="1"/>
    <xf numFmtId="0" fontId="12" fillId="15" borderId="28" xfId="0" applyFont="1" applyFill="1" applyBorder="1" applyAlignment="1">
      <alignment horizontal="center"/>
    </xf>
    <xf numFmtId="0" fontId="12" fillId="15" borderId="41" xfId="0" applyFont="1" applyFill="1" applyBorder="1" applyAlignment="1">
      <alignment horizontal="center"/>
    </xf>
    <xf numFmtId="9" fontId="23" fillId="11" borderId="1" xfId="0" applyNumberFormat="1" applyFont="1" applyFill="1" applyBorder="1" applyAlignment="1">
      <alignment horizontal="center" vertical="center" wrapText="1"/>
    </xf>
    <xf numFmtId="1" fontId="12" fillId="14" borderId="1" xfId="0" applyNumberFormat="1" applyFont="1" applyFill="1" applyBorder="1" applyAlignment="1">
      <alignment horizontal="center" vertical="center"/>
    </xf>
    <xf numFmtId="1" fontId="0" fillId="14" borderId="1" xfId="0" applyNumberFormat="1" applyFill="1" applyBorder="1" applyAlignment="1">
      <alignment horizontal="center" vertical="center"/>
    </xf>
    <xf numFmtId="1" fontId="0" fillId="14" borderId="1" xfId="0" applyNumberFormat="1" applyFill="1" applyBorder="1" applyAlignment="1">
      <alignment vertical="center"/>
    </xf>
    <xf numFmtId="1" fontId="0" fillId="14" borderId="2" xfId="0" applyNumberFormat="1" applyFill="1" applyBorder="1" applyAlignment="1">
      <alignment horizontal="center" vertical="center"/>
    </xf>
    <xf numFmtId="0" fontId="15" fillId="17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42" fillId="10" borderId="27" xfId="0" applyFont="1" applyFill="1" applyBorder="1" applyAlignment="1">
      <alignment horizontal="center" vertical="center" wrapText="1"/>
    </xf>
    <xf numFmtId="0" fontId="42" fillId="10" borderId="29" xfId="0" applyFont="1" applyFill="1" applyBorder="1" applyAlignment="1">
      <alignment horizontal="center" vertical="center" wrapText="1"/>
    </xf>
    <xf numFmtId="0" fontId="42" fillId="10" borderId="30" xfId="0" applyFont="1" applyFill="1" applyBorder="1" applyAlignment="1">
      <alignment horizontal="center" vertical="center" wrapText="1"/>
    </xf>
    <xf numFmtId="0" fontId="42" fillId="10" borderId="31" xfId="0" applyFont="1" applyFill="1" applyBorder="1" applyAlignment="1">
      <alignment horizontal="center" vertical="center" wrapText="1"/>
    </xf>
    <xf numFmtId="0" fontId="42" fillId="10" borderId="32" xfId="0" applyFont="1" applyFill="1" applyBorder="1" applyAlignment="1">
      <alignment horizontal="center" vertical="center" wrapText="1"/>
    </xf>
    <xf numFmtId="0" fontId="42" fillId="10" borderId="33" xfId="0" applyFont="1" applyFill="1" applyBorder="1" applyAlignment="1">
      <alignment horizontal="center" vertical="center" wrapText="1"/>
    </xf>
    <xf numFmtId="0" fontId="42" fillId="10" borderId="31" xfId="0" applyFont="1" applyFill="1" applyBorder="1" applyAlignment="1">
      <alignment horizontal="center" vertical="center"/>
    </xf>
    <xf numFmtId="0" fontId="42" fillId="10" borderId="32" xfId="0" applyFont="1" applyFill="1" applyBorder="1" applyAlignment="1">
      <alignment horizontal="center" vertical="center"/>
    </xf>
    <xf numFmtId="0" fontId="42" fillId="10" borderId="33" xfId="0" applyFont="1" applyFill="1" applyBorder="1" applyAlignment="1">
      <alignment horizontal="center" vertical="center"/>
    </xf>
    <xf numFmtId="0" fontId="12" fillId="10" borderId="43" xfId="0" applyFont="1" applyFill="1" applyBorder="1" applyAlignment="1">
      <alignment horizontal="center"/>
    </xf>
    <xf numFmtId="0" fontId="12" fillId="10" borderId="42" xfId="0" applyFont="1" applyFill="1" applyBorder="1" applyAlignment="1">
      <alignment horizontal="center"/>
    </xf>
    <xf numFmtId="0" fontId="12" fillId="10" borderId="44" xfId="0" applyFont="1" applyFill="1" applyBorder="1" applyAlignment="1">
      <alignment horizontal="center"/>
    </xf>
    <xf numFmtId="0" fontId="12" fillId="14" borderId="34" xfId="0" applyFont="1" applyFill="1" applyBorder="1" applyAlignment="1">
      <alignment horizontal="center" vertical="center"/>
    </xf>
    <xf numFmtId="0" fontId="12" fillId="14" borderId="7" xfId="0" applyFont="1" applyFill="1" applyBorder="1" applyAlignment="1">
      <alignment horizontal="center" vertical="center"/>
    </xf>
    <xf numFmtId="0" fontId="12" fillId="14" borderId="35" xfId="0" applyFont="1" applyFill="1" applyBorder="1" applyAlignment="1">
      <alignment horizontal="center" vertical="center"/>
    </xf>
    <xf numFmtId="0" fontId="12" fillId="14" borderId="20" xfId="0" applyFont="1" applyFill="1" applyBorder="1" applyAlignment="1">
      <alignment horizontal="center" vertical="center"/>
    </xf>
    <xf numFmtId="0" fontId="12" fillId="14" borderId="6" xfId="0" applyFont="1" applyFill="1" applyBorder="1" applyAlignment="1">
      <alignment horizontal="center" vertical="center"/>
    </xf>
    <xf numFmtId="0" fontId="12" fillId="14" borderId="21" xfId="0" applyFont="1" applyFill="1" applyBorder="1" applyAlignment="1">
      <alignment horizontal="center" vertical="center"/>
    </xf>
    <xf numFmtId="0" fontId="12" fillId="14" borderId="31" xfId="0" applyFont="1" applyFill="1" applyBorder="1" applyAlignment="1">
      <alignment horizontal="center" vertical="center"/>
    </xf>
    <xf numFmtId="0" fontId="12" fillId="14" borderId="32" xfId="0" applyFont="1" applyFill="1" applyBorder="1" applyAlignment="1">
      <alignment horizontal="center" vertical="center"/>
    </xf>
    <xf numFmtId="0" fontId="12" fillId="14" borderId="33" xfId="0" applyFont="1" applyFill="1" applyBorder="1" applyAlignment="1">
      <alignment horizontal="center" vertical="center"/>
    </xf>
    <xf numFmtId="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43" fillId="14" borderId="31" xfId="0" applyFont="1" applyFill="1" applyBorder="1" applyAlignment="1">
      <alignment horizontal="center" vertical="center" wrapText="1"/>
    </xf>
    <xf numFmtId="0" fontId="43" fillId="14" borderId="33" xfId="0" applyFont="1" applyFill="1" applyBorder="1" applyAlignment="1">
      <alignment horizontal="center" vertical="center" wrapText="1"/>
    </xf>
    <xf numFmtId="0" fontId="43" fillId="14" borderId="31" xfId="0" applyFont="1" applyFill="1" applyBorder="1" applyAlignment="1">
      <alignment horizontal="center" vertical="center"/>
    </xf>
    <xf numFmtId="0" fontId="43" fillId="14" borderId="33" xfId="0" applyFont="1" applyFill="1" applyBorder="1" applyAlignment="1">
      <alignment horizontal="center" vertical="center"/>
    </xf>
    <xf numFmtId="0" fontId="0" fillId="0" borderId="8" xfId="0" applyBorder="1" applyAlignment="1">
      <alignment horizontal="center"/>
    </xf>
    <xf numFmtId="9" fontId="0" fillId="0" borderId="2" xfId="0" applyNumberFormat="1" applyBorder="1" applyAlignment="1">
      <alignment horizontal="center"/>
    </xf>
    <xf numFmtId="9" fontId="0" fillId="0" borderId="3" xfId="0" applyNumberFormat="1" applyBorder="1" applyAlignment="1">
      <alignment horizontal="center"/>
    </xf>
    <xf numFmtId="9" fontId="0" fillId="0" borderId="4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41" fillId="13" borderId="23" xfId="0" applyFont="1" applyFill="1" applyBorder="1" applyAlignment="1">
      <alignment horizontal="center"/>
    </xf>
    <xf numFmtId="0" fontId="41" fillId="13" borderId="24" xfId="0" applyFont="1" applyFill="1" applyBorder="1" applyAlignment="1">
      <alignment horizontal="center"/>
    </xf>
    <xf numFmtId="0" fontId="41" fillId="13" borderId="25" xfId="0" applyFont="1" applyFill="1" applyBorder="1" applyAlignment="1">
      <alignment horizontal="center"/>
    </xf>
    <xf numFmtId="9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16" borderId="36" xfId="0" applyFont="1" applyFill="1" applyBorder="1" applyAlignment="1">
      <alignment horizontal="center"/>
    </xf>
    <xf numFmtId="0" fontId="12" fillId="16" borderId="37" xfId="0" applyFont="1" applyFill="1" applyBorder="1" applyAlignment="1">
      <alignment horizontal="center"/>
    </xf>
    <xf numFmtId="0" fontId="12" fillId="16" borderId="17" xfId="0" applyFont="1" applyFill="1" applyBorder="1" applyAlignment="1">
      <alignment horizontal="center"/>
    </xf>
    <xf numFmtId="0" fontId="12" fillId="14" borderId="38" xfId="0" applyFont="1" applyFill="1" applyBorder="1" applyAlignment="1">
      <alignment horizontal="center" vertical="center"/>
    </xf>
    <xf numFmtId="0" fontId="12" fillId="14" borderId="39" xfId="0" applyFont="1" applyFill="1" applyBorder="1" applyAlignment="1">
      <alignment horizontal="center" vertical="center"/>
    </xf>
    <xf numFmtId="0" fontId="12" fillId="14" borderId="27" xfId="0" applyFont="1" applyFill="1" applyBorder="1" applyAlignment="1">
      <alignment horizontal="center" vertical="center"/>
    </xf>
    <xf numFmtId="0" fontId="12" fillId="14" borderId="30" xfId="0" applyFont="1" applyFill="1" applyBorder="1" applyAlignment="1">
      <alignment horizontal="center" vertical="center"/>
    </xf>
    <xf numFmtId="0" fontId="12" fillId="14" borderId="40" xfId="0" applyFont="1" applyFill="1" applyBorder="1" applyAlignment="1">
      <alignment horizontal="center" vertical="center"/>
    </xf>
    <xf numFmtId="0" fontId="12" fillId="14" borderId="41" xfId="0" applyFont="1" applyFill="1" applyBorder="1" applyAlignment="1">
      <alignment horizontal="center" vertical="center"/>
    </xf>
    <xf numFmtId="10" fontId="0" fillId="0" borderId="2" xfId="0" applyNumberFormat="1" applyBorder="1" applyAlignment="1">
      <alignment horizontal="center"/>
    </xf>
    <xf numFmtId="10" fontId="0" fillId="0" borderId="3" xfId="0" applyNumberFormat="1" applyBorder="1" applyAlignment="1">
      <alignment horizontal="center"/>
    </xf>
    <xf numFmtId="10" fontId="0" fillId="0" borderId="4" xfId="0" applyNumberFormat="1" applyBorder="1" applyAlignment="1">
      <alignment horizontal="center"/>
    </xf>
    <xf numFmtId="0" fontId="11" fillId="7" borderId="15" xfId="0" applyFont="1" applyFill="1" applyBorder="1" applyAlignment="1">
      <alignment horizontal="center" vertical="center" wrapText="1"/>
    </xf>
    <xf numFmtId="0" fontId="11" fillId="7" borderId="0" xfId="0" applyFont="1" applyFill="1" applyAlignment="1">
      <alignment horizontal="center" vertical="center" wrapText="1"/>
    </xf>
    <xf numFmtId="0" fontId="11" fillId="8" borderId="15" xfId="0" applyFont="1" applyFill="1" applyBorder="1" applyAlignment="1">
      <alignment horizontal="center" vertical="center" wrapText="1"/>
    </xf>
    <xf numFmtId="0" fontId="11" fillId="8" borderId="0" xfId="0" applyFont="1" applyFill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 wrapText="1"/>
    </xf>
    <xf numFmtId="0" fontId="7" fillId="5" borderId="8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14" fillId="5" borderId="9" xfId="0" applyFont="1" applyFill="1" applyBorder="1" applyAlignment="1">
      <alignment horizontal="center" vertical="center" wrapText="1"/>
    </xf>
    <xf numFmtId="0" fontId="14" fillId="5" borderId="8" xfId="0" applyFont="1" applyFill="1" applyBorder="1" applyAlignment="1">
      <alignment horizontal="center" vertical="center" wrapText="1"/>
    </xf>
    <xf numFmtId="0" fontId="21" fillId="4" borderId="2" xfId="0" applyFont="1" applyFill="1" applyBorder="1" applyAlignment="1">
      <alignment horizontal="center" vertical="center"/>
    </xf>
    <xf numFmtId="0" fontId="21" fillId="4" borderId="3" xfId="0" applyFont="1" applyFill="1" applyBorder="1" applyAlignment="1">
      <alignment horizontal="center" vertical="center"/>
    </xf>
    <xf numFmtId="0" fontId="21" fillId="4" borderId="4" xfId="0" applyFont="1" applyFill="1" applyBorder="1" applyAlignment="1">
      <alignment horizontal="center" vertical="center"/>
    </xf>
    <xf numFmtId="0" fontId="22" fillId="5" borderId="9" xfId="0" applyFont="1" applyFill="1" applyBorder="1" applyAlignment="1">
      <alignment horizontal="center" vertical="center" wrapText="1"/>
    </xf>
    <xf numFmtId="0" fontId="22" fillId="5" borderId="10" xfId="0" applyFont="1" applyFill="1" applyBorder="1" applyAlignment="1">
      <alignment horizontal="center" vertical="center" wrapText="1"/>
    </xf>
    <xf numFmtId="0" fontId="22" fillId="5" borderId="8" xfId="0" applyFont="1" applyFill="1" applyBorder="1" applyAlignment="1">
      <alignment horizontal="center" vertical="center" wrapText="1"/>
    </xf>
    <xf numFmtId="0" fontId="23" fillId="11" borderId="11" xfId="0" applyFont="1" applyFill="1" applyBorder="1" applyAlignment="1">
      <alignment horizontal="center" vertical="center" wrapText="1"/>
    </xf>
    <xf numFmtId="0" fontId="23" fillId="11" borderId="13" xfId="0" applyFont="1" applyFill="1" applyBorder="1" applyAlignment="1">
      <alignment horizontal="center" vertical="center" wrapText="1"/>
    </xf>
    <xf numFmtId="0" fontId="23" fillId="5" borderId="9" xfId="0" applyFont="1" applyFill="1" applyBorder="1" applyAlignment="1">
      <alignment horizontal="center" vertical="center" wrapText="1"/>
    </xf>
    <xf numFmtId="0" fontId="23" fillId="5" borderId="8" xfId="0" applyFont="1" applyFill="1" applyBorder="1" applyAlignment="1">
      <alignment horizontal="center" vertical="center" wrapText="1"/>
    </xf>
    <xf numFmtId="0" fontId="23" fillId="5" borderId="9" xfId="0" applyFont="1" applyFill="1" applyBorder="1" applyAlignment="1">
      <alignment horizontal="left" vertical="center" wrapText="1"/>
    </xf>
    <xf numFmtId="0" fontId="23" fillId="5" borderId="8" xfId="0" applyFont="1" applyFill="1" applyBorder="1" applyAlignment="1">
      <alignment horizontal="left" vertical="center" wrapText="1"/>
    </xf>
    <xf numFmtId="0" fontId="23" fillId="5" borderId="2" xfId="0" applyFont="1" applyFill="1" applyBorder="1" applyAlignment="1">
      <alignment horizontal="center" vertical="center" wrapText="1"/>
    </xf>
    <xf numFmtId="0" fontId="23" fillId="5" borderId="4" xfId="0" applyFont="1" applyFill="1" applyBorder="1" applyAlignment="1">
      <alignment horizontal="center" vertical="center" wrapText="1"/>
    </xf>
    <xf numFmtId="0" fontId="16" fillId="3" borderId="9" xfId="0" applyFont="1" applyFill="1" applyBorder="1" applyAlignment="1">
      <alignment horizontal="center" vertical="center" wrapText="1"/>
    </xf>
    <xf numFmtId="0" fontId="16" fillId="3" borderId="8" xfId="0" applyFont="1" applyFill="1" applyBorder="1" applyAlignment="1">
      <alignment horizontal="center" vertical="center" wrapText="1"/>
    </xf>
    <xf numFmtId="0" fontId="20" fillId="3" borderId="9" xfId="0" applyFont="1" applyFill="1" applyBorder="1" applyAlignment="1">
      <alignment horizontal="center" vertical="center" wrapText="1"/>
    </xf>
    <xf numFmtId="0" fontId="20" fillId="3" borderId="10" xfId="0" applyFont="1" applyFill="1" applyBorder="1" applyAlignment="1">
      <alignment horizontal="center" vertical="center" wrapText="1"/>
    </xf>
    <xf numFmtId="0" fontId="20" fillId="3" borderId="8" xfId="0" applyFont="1" applyFill="1" applyBorder="1" applyAlignment="1">
      <alignment horizontal="center" vertical="center" wrapText="1"/>
    </xf>
    <xf numFmtId="1" fontId="23" fillId="11" borderId="9" xfId="0" applyNumberFormat="1" applyFont="1" applyFill="1" applyBorder="1" applyAlignment="1">
      <alignment horizontal="center" vertical="center" wrapText="1"/>
    </xf>
    <xf numFmtId="1" fontId="23" fillId="11" borderId="10" xfId="0" applyNumberFormat="1" applyFont="1" applyFill="1" applyBorder="1" applyAlignment="1">
      <alignment horizontal="center" vertical="center" wrapText="1"/>
    </xf>
    <xf numFmtId="1" fontId="23" fillId="11" borderId="8" xfId="0" applyNumberFormat="1" applyFont="1" applyFill="1" applyBorder="1" applyAlignment="1">
      <alignment horizontal="center" vertical="center" wrapText="1"/>
    </xf>
    <xf numFmtId="0" fontId="25" fillId="5" borderId="9" xfId="0" applyFont="1" applyFill="1" applyBorder="1" applyAlignment="1">
      <alignment horizontal="center" vertical="center" wrapText="1"/>
    </xf>
    <xf numFmtId="0" fontId="25" fillId="5" borderId="10" xfId="0" applyFont="1" applyFill="1" applyBorder="1" applyAlignment="1">
      <alignment horizontal="center" vertical="center" wrapText="1"/>
    </xf>
    <xf numFmtId="0" fontId="25" fillId="5" borderId="8" xfId="0" applyFont="1" applyFill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23" fillId="5" borderId="11" xfId="0" applyFont="1" applyFill="1" applyBorder="1" applyAlignment="1">
      <alignment horizontal="center" vertical="center" wrapText="1"/>
    </xf>
    <xf numFmtId="0" fontId="23" fillId="5" borderId="12" xfId="0" applyFont="1" applyFill="1" applyBorder="1" applyAlignment="1">
      <alignment horizontal="center" vertical="center" wrapText="1"/>
    </xf>
    <xf numFmtId="0" fontId="23" fillId="5" borderId="13" xfId="0" applyFont="1" applyFill="1" applyBorder="1" applyAlignment="1">
      <alignment horizontal="center" vertical="center" wrapText="1"/>
    </xf>
    <xf numFmtId="0" fontId="23" fillId="5" borderId="14" xfId="0" applyFont="1" applyFill="1" applyBorder="1" applyAlignment="1">
      <alignment horizontal="center" vertical="center" wrapText="1"/>
    </xf>
    <xf numFmtId="0" fontId="23" fillId="11" borderId="9" xfId="0" applyFont="1" applyFill="1" applyBorder="1" applyAlignment="1">
      <alignment horizontal="center" vertical="center" wrapText="1"/>
    </xf>
    <xf numFmtId="0" fontId="23" fillId="11" borderId="10" xfId="0" applyFont="1" applyFill="1" applyBorder="1" applyAlignment="1">
      <alignment horizontal="center" vertical="center" wrapText="1"/>
    </xf>
    <xf numFmtId="0" fontId="23" fillId="11" borderId="8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/>
    </xf>
    <xf numFmtId="0" fontId="12" fillId="3" borderId="4" xfId="0" applyFont="1" applyFill="1" applyBorder="1" applyAlignment="1">
      <alignment horizontal="center" vertical="center"/>
    </xf>
    <xf numFmtId="0" fontId="40" fillId="0" borderId="23" xfId="0" applyFont="1" applyBorder="1" applyAlignment="1">
      <alignment horizontal="center"/>
    </xf>
    <xf numFmtId="0" fontId="40" fillId="0" borderId="24" xfId="0" applyFont="1" applyBorder="1" applyAlignment="1">
      <alignment horizontal="center"/>
    </xf>
    <xf numFmtId="0" fontId="40" fillId="0" borderId="25" xfId="0" applyFon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7" fillId="12" borderId="9" xfId="0" applyFont="1" applyFill="1" applyBorder="1" applyAlignment="1">
      <alignment horizontal="center" vertical="center" wrapText="1"/>
    </xf>
    <xf numFmtId="0" fontId="7" fillId="12" borderId="10" xfId="0" applyFont="1" applyFill="1" applyBorder="1" applyAlignment="1">
      <alignment horizontal="center" vertical="center" wrapText="1"/>
    </xf>
    <xf numFmtId="0" fontId="7" fillId="12" borderId="8" xfId="0" applyFont="1" applyFill="1" applyBorder="1" applyAlignment="1">
      <alignment horizontal="center" vertical="center" wrapText="1"/>
    </xf>
    <xf numFmtId="0" fontId="7" fillId="5" borderId="10" xfId="0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left" vertical="center" wrapText="1"/>
    </xf>
    <xf numFmtId="0" fontId="7" fillId="5" borderId="8" xfId="0" applyFont="1" applyFill="1" applyBorder="1" applyAlignment="1">
      <alignment horizontal="left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0" fillId="12" borderId="15" xfId="0" applyFill="1" applyBorder="1" applyAlignment="1">
      <alignment horizontal="center" vertical="center"/>
    </xf>
    <xf numFmtId="0" fontId="0" fillId="12" borderId="16" xfId="0" applyFill="1" applyBorder="1" applyAlignment="1">
      <alignment horizontal="center" vertical="center"/>
    </xf>
    <xf numFmtId="0" fontId="7" fillId="5" borderId="11" xfId="0" applyFont="1" applyFill="1" applyBorder="1" applyAlignment="1">
      <alignment horizontal="center" vertical="center" wrapText="1"/>
    </xf>
    <xf numFmtId="0" fontId="7" fillId="5" borderId="12" xfId="0" applyFont="1" applyFill="1" applyBorder="1" applyAlignment="1">
      <alignment horizontal="center" vertical="center" wrapText="1"/>
    </xf>
    <xf numFmtId="0" fontId="7" fillId="5" borderId="13" xfId="0" applyFont="1" applyFill="1" applyBorder="1" applyAlignment="1">
      <alignment horizontal="center" vertical="center" wrapText="1"/>
    </xf>
    <xf numFmtId="0" fontId="7" fillId="5" borderId="14" xfId="0" applyFont="1" applyFill="1" applyBorder="1" applyAlignment="1">
      <alignment horizontal="center" vertical="center" wrapText="1"/>
    </xf>
    <xf numFmtId="0" fontId="39" fillId="0" borderId="23" xfId="0" applyFont="1" applyBorder="1" applyAlignment="1">
      <alignment horizontal="center"/>
    </xf>
    <xf numFmtId="0" fontId="39" fillId="0" borderId="24" xfId="0" applyFont="1" applyBorder="1" applyAlignment="1">
      <alignment horizontal="center"/>
    </xf>
    <xf numFmtId="0" fontId="39" fillId="0" borderId="25" xfId="0" applyFont="1" applyBorder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23" fillId="5" borderId="1" xfId="0" applyFont="1" applyFill="1" applyBorder="1" applyAlignment="1">
      <alignment horizontal="center" vertical="center" wrapText="1"/>
    </xf>
    <xf numFmtId="0" fontId="23" fillId="12" borderId="1" xfId="0" applyFont="1" applyFill="1" applyBorder="1" applyAlignment="1">
      <alignment horizontal="center" vertical="center" wrapText="1"/>
    </xf>
    <xf numFmtId="0" fontId="23" fillId="5" borderId="1" xfId="0" applyFont="1" applyFill="1" applyBorder="1" applyAlignment="1">
      <alignment horizontal="left" vertical="center" wrapText="1"/>
    </xf>
    <xf numFmtId="0" fontId="21" fillId="4" borderId="1" xfId="0" applyFont="1" applyFill="1" applyBorder="1" applyAlignment="1">
      <alignment horizontal="center" vertical="center"/>
    </xf>
    <xf numFmtId="0" fontId="20" fillId="3" borderId="1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11" borderId="11" xfId="0" applyFont="1" applyFill="1" applyBorder="1" applyAlignment="1">
      <alignment horizontal="center" vertical="center" wrapText="1"/>
    </xf>
    <xf numFmtId="0" fontId="7" fillId="11" borderId="13" xfId="0" applyFont="1" applyFill="1" applyBorder="1" applyAlignment="1">
      <alignment horizontal="center" vertical="center" wrapText="1"/>
    </xf>
    <xf numFmtId="0" fontId="38" fillId="0" borderId="0" xfId="0" applyFont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6" borderId="13" xfId="0" applyFont="1" applyFill="1" applyBorder="1" applyAlignment="1">
      <alignment horizontal="center" vertical="center" wrapText="1"/>
    </xf>
    <xf numFmtId="0" fontId="7" fillId="6" borderId="26" xfId="0" applyFont="1" applyFill="1" applyBorder="1" applyAlignment="1">
      <alignment horizontal="center" vertical="center" wrapText="1"/>
    </xf>
    <xf numFmtId="1" fontId="0" fillId="0" borderId="2" xfId="0" applyNumberFormat="1" applyBorder="1" applyAlignment="1">
      <alignment horizontal="center" vertical="center"/>
    </xf>
    <xf numFmtId="1" fontId="0" fillId="0" borderId="4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7" fillId="5" borderId="1" xfId="0" applyFont="1" applyFill="1" applyBorder="1" applyAlignment="1">
      <alignment horizontal="left" vertical="center" wrapText="1"/>
    </xf>
    <xf numFmtId="1" fontId="7" fillId="6" borderId="1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1" fontId="12" fillId="14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35" fillId="5" borderId="1" xfId="0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center" vertical="center" wrapText="1"/>
    </xf>
    <xf numFmtId="0" fontId="16" fillId="5" borderId="1" xfId="0" applyFont="1" applyFill="1" applyBorder="1" applyAlignment="1">
      <alignment horizontal="center" vertical="center" wrapText="1"/>
    </xf>
    <xf numFmtId="0" fontId="23" fillId="6" borderId="1" xfId="0" applyFont="1" applyFill="1" applyBorder="1" applyAlignment="1">
      <alignment horizontal="center" vertical="center" wrapText="1"/>
    </xf>
    <xf numFmtId="1" fontId="12" fillId="0" borderId="1" xfId="0" applyNumberFormat="1" applyFont="1" applyBorder="1" applyAlignment="1">
      <alignment horizontal="center" vertical="center"/>
    </xf>
    <xf numFmtId="0" fontId="23" fillId="6" borderId="1" xfId="0" applyFont="1" applyFill="1" applyBorder="1" applyAlignment="1">
      <alignment vertical="center" wrapText="1"/>
    </xf>
    <xf numFmtId="1" fontId="12" fillId="0" borderId="2" xfId="0" applyNumberFormat="1" applyFont="1" applyBorder="1" applyAlignment="1">
      <alignment horizontal="center"/>
    </xf>
    <xf numFmtId="1" fontId="12" fillId="0" borderId="4" xfId="0" applyNumberFormat="1" applyFont="1" applyBorder="1" applyAlignment="1">
      <alignment horizontal="center"/>
    </xf>
    <xf numFmtId="0" fontId="11" fillId="8" borderId="13" xfId="0" applyFont="1" applyFill="1" applyBorder="1" applyAlignment="1">
      <alignment horizontal="center" vertical="center" wrapText="1"/>
    </xf>
    <xf numFmtId="0" fontId="11" fillId="8" borderId="26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7" fillId="6" borderId="11" xfId="0" applyFont="1" applyFill="1" applyBorder="1" applyAlignment="1">
      <alignment horizontal="center" vertical="center" wrapText="1"/>
    </xf>
    <xf numFmtId="0" fontId="7" fillId="5" borderId="15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center" vertical="center" wrapText="1"/>
    </xf>
    <xf numFmtId="1" fontId="0" fillId="14" borderId="1" xfId="0" applyNumberFormat="1" applyFill="1" applyBorder="1" applyAlignment="1">
      <alignment horizontal="center" vertical="center"/>
    </xf>
    <xf numFmtId="0" fontId="7" fillId="6" borderId="15" xfId="0" applyFont="1" applyFill="1" applyBorder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9" fontId="7" fillId="6" borderId="9" xfId="0" applyNumberFormat="1" applyFont="1" applyFill="1" applyBorder="1" applyAlignment="1">
      <alignment horizontal="center" vertical="center" wrapText="1"/>
    </xf>
    <xf numFmtId="9" fontId="7" fillId="6" borderId="8" xfId="0" applyNumberFormat="1" applyFont="1" applyFill="1" applyBorder="1" applyAlignment="1">
      <alignment horizontal="center" vertical="center" wrapText="1"/>
    </xf>
    <xf numFmtId="1" fontId="0" fillId="0" borderId="3" xfId="0" applyNumberFormat="1" applyBorder="1" applyAlignment="1">
      <alignment horizontal="center" vertical="center"/>
    </xf>
    <xf numFmtId="0" fontId="11" fillId="7" borderId="13" xfId="0" applyFont="1" applyFill="1" applyBorder="1" applyAlignment="1">
      <alignment horizontal="center" vertical="center" wrapText="1"/>
    </xf>
    <xf numFmtId="0" fontId="11" fillId="7" borderId="26" xfId="0" applyFont="1" applyFill="1" applyBorder="1" applyAlignment="1">
      <alignment horizontal="center" vertical="center" wrapText="1"/>
    </xf>
    <xf numFmtId="9" fontId="0" fillId="6" borderId="9" xfId="0" applyNumberFormat="1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9" fontId="23" fillId="6" borderId="9" xfId="0" applyNumberFormat="1" applyFont="1" applyFill="1" applyBorder="1" applyAlignment="1">
      <alignment horizontal="center" vertical="center" wrapText="1"/>
    </xf>
    <xf numFmtId="9" fontId="23" fillId="6" borderId="8" xfId="0" applyNumberFormat="1" applyFont="1" applyFill="1" applyBorder="1" applyAlignment="1">
      <alignment horizontal="center" vertical="center" wrapText="1"/>
    </xf>
    <xf numFmtId="1" fontId="12" fillId="0" borderId="2" xfId="0" applyNumberFormat="1" applyFont="1" applyBorder="1" applyAlignment="1">
      <alignment horizontal="center" vertical="center"/>
    </xf>
    <xf numFmtId="1" fontId="12" fillId="0" borderId="4" xfId="0" applyNumberFormat="1" applyFont="1" applyBorder="1" applyAlignment="1">
      <alignment horizontal="center" vertical="center"/>
    </xf>
    <xf numFmtId="1" fontId="12" fillId="14" borderId="2" xfId="0" applyNumberFormat="1" applyFont="1" applyFill="1" applyBorder="1" applyAlignment="1">
      <alignment horizontal="center" vertical="center"/>
    </xf>
    <xf numFmtId="1" fontId="12" fillId="14" borderId="4" xfId="0" applyNumberFormat="1" applyFont="1" applyFill="1" applyBorder="1" applyAlignment="1">
      <alignment horizontal="center" vertical="center"/>
    </xf>
    <xf numFmtId="1" fontId="0" fillId="14" borderId="2" xfId="0" applyNumberFormat="1" applyFill="1" applyBorder="1" applyAlignment="1">
      <alignment horizontal="center" vertical="center"/>
    </xf>
    <xf numFmtId="1" fontId="0" fillId="14" borderId="3" xfId="0" applyNumberForma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9" fontId="7" fillId="6" borderId="1" xfId="0" applyNumberFormat="1" applyFont="1" applyFill="1" applyBorder="1" applyAlignment="1">
      <alignment horizontal="center" vertical="center" wrapText="1"/>
    </xf>
    <xf numFmtId="10" fontId="7" fillId="6" borderId="9" xfId="0" applyNumberFormat="1" applyFont="1" applyFill="1" applyBorder="1" applyAlignment="1">
      <alignment horizontal="center" vertical="center" wrapText="1"/>
    </xf>
    <xf numFmtId="0" fontId="7" fillId="6" borderId="8" xfId="0" applyFont="1" applyFill="1" applyBorder="1" applyAlignment="1">
      <alignment horizontal="center" vertical="center" wrapText="1"/>
    </xf>
    <xf numFmtId="1" fontId="0" fillId="14" borderId="4" xfId="0" applyNumberFormat="1" applyFill="1" applyBorder="1" applyAlignment="1">
      <alignment horizontal="center" vertical="center"/>
    </xf>
    <xf numFmtId="0" fontId="35" fillId="5" borderId="9" xfId="0" applyFont="1" applyFill="1" applyBorder="1" applyAlignment="1">
      <alignment horizontal="center" vertical="center" wrapText="1"/>
    </xf>
    <xf numFmtId="0" fontId="35" fillId="5" borderId="10" xfId="0" applyFont="1" applyFill="1" applyBorder="1" applyAlignment="1">
      <alignment horizontal="center" vertical="center" wrapText="1"/>
    </xf>
    <xf numFmtId="0" fontId="35" fillId="5" borderId="8" xfId="0" applyFont="1" applyFill="1" applyBorder="1" applyAlignment="1">
      <alignment horizontal="center" vertical="center" wrapText="1"/>
    </xf>
    <xf numFmtId="0" fontId="4" fillId="5" borderId="9" xfId="0" applyFont="1" applyFill="1" applyBorder="1" applyAlignment="1">
      <alignment horizontal="center" vertical="center" wrapText="1"/>
    </xf>
    <xf numFmtId="0" fontId="4" fillId="5" borderId="10" xfId="0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4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.xml"/><Relationship Id="rId1" Type="http://schemas.openxmlformats.org/officeDocument/2006/relationships/vmlDrawing" Target="../drawings/vmlDrawing21.v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.xml"/><Relationship Id="rId1" Type="http://schemas.openxmlformats.org/officeDocument/2006/relationships/vmlDrawing" Target="../drawings/vmlDrawing22.v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3.xml"/><Relationship Id="rId1" Type="http://schemas.openxmlformats.org/officeDocument/2006/relationships/vmlDrawing" Target="../drawings/vmlDrawing23.vm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4.xml"/><Relationship Id="rId1" Type="http://schemas.openxmlformats.org/officeDocument/2006/relationships/vmlDrawing" Target="../drawings/vmlDrawing24.vm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5.xml"/><Relationship Id="rId1" Type="http://schemas.openxmlformats.org/officeDocument/2006/relationships/vmlDrawing" Target="../drawings/vmlDrawing25.v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6.xml"/><Relationship Id="rId1" Type="http://schemas.openxmlformats.org/officeDocument/2006/relationships/vmlDrawing" Target="../drawings/vmlDrawing26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/>
  </sheetPr>
  <dimension ref="A1:Q206"/>
  <sheetViews>
    <sheetView tabSelected="1" topLeftCell="A2" workbookViewId="0">
      <selection activeCell="F226" sqref="F226"/>
    </sheetView>
  </sheetViews>
  <sheetFormatPr defaultRowHeight="18.75" customHeight="1" x14ac:dyDescent="0.35"/>
  <cols>
    <col min="1" max="1" width="4.453125" customWidth="1"/>
    <col min="2" max="2" width="12.26953125" customWidth="1"/>
    <col min="3" max="3" width="30.26953125" customWidth="1"/>
    <col min="6" max="6" width="10.1796875" customWidth="1"/>
    <col min="13" max="13" width="19.453125" customWidth="1"/>
    <col min="14" max="14" width="18.81640625" customWidth="1"/>
    <col min="16" max="16" width="13.26953125" customWidth="1"/>
  </cols>
  <sheetData>
    <row r="1" spans="1:16" ht="18.75" customHeight="1" thickBot="1" x14ac:dyDescent="0.4"/>
    <row r="2" spans="1:16" ht="18.75" customHeight="1" thickBot="1" x14ac:dyDescent="0.6">
      <c r="A2" s="186" t="s">
        <v>549</v>
      </c>
      <c r="B2" s="187"/>
      <c r="C2" s="187"/>
      <c r="D2" s="187"/>
      <c r="E2" s="187"/>
      <c r="F2" s="187"/>
      <c r="G2" s="187"/>
      <c r="H2" s="187"/>
      <c r="I2" s="187"/>
      <c r="J2" s="187"/>
      <c r="K2" s="187"/>
      <c r="L2" s="187"/>
      <c r="M2" s="187"/>
      <c r="N2" s="187"/>
      <c r="O2" s="187"/>
      <c r="P2" s="188"/>
    </row>
    <row r="3" spans="1:16" ht="18.75" customHeight="1" thickBot="1" x14ac:dyDescent="0.4">
      <c r="A3" s="154" t="s">
        <v>320</v>
      </c>
      <c r="B3" s="157" t="s">
        <v>550</v>
      </c>
      <c r="C3" s="160" t="s">
        <v>551</v>
      </c>
      <c r="D3" s="163" t="s">
        <v>552</v>
      </c>
      <c r="E3" s="164"/>
      <c r="F3" s="165"/>
      <c r="G3" s="166" t="s">
        <v>553</v>
      </c>
      <c r="H3" s="167"/>
      <c r="I3" s="167"/>
      <c r="J3" s="168"/>
      <c r="K3" s="172" t="s">
        <v>554</v>
      </c>
      <c r="L3" s="172" t="s">
        <v>555</v>
      </c>
      <c r="M3" s="172" t="s">
        <v>556</v>
      </c>
      <c r="N3" s="191" t="s">
        <v>614</v>
      </c>
      <c r="O3" s="192"/>
      <c r="P3" s="193"/>
    </row>
    <row r="4" spans="1:16" ht="18.75" customHeight="1" thickBot="1" x14ac:dyDescent="0.4">
      <c r="A4" s="155"/>
      <c r="B4" s="158"/>
      <c r="C4" s="161"/>
      <c r="D4" s="177" t="s">
        <v>557</v>
      </c>
      <c r="E4" s="179" t="s">
        <v>558</v>
      </c>
      <c r="F4" s="143" t="s">
        <v>559</v>
      </c>
      <c r="G4" s="169"/>
      <c r="H4" s="170"/>
      <c r="I4" s="170"/>
      <c r="J4" s="171"/>
      <c r="K4" s="173"/>
      <c r="L4" s="173"/>
      <c r="M4" s="173"/>
      <c r="N4" s="194" t="s">
        <v>617</v>
      </c>
      <c r="O4" s="196" t="s">
        <v>615</v>
      </c>
      <c r="P4" s="198" t="s">
        <v>616</v>
      </c>
    </row>
    <row r="5" spans="1:16" ht="18.75" customHeight="1" thickBot="1" x14ac:dyDescent="0.4">
      <c r="A5" s="156"/>
      <c r="B5" s="159"/>
      <c r="C5" s="162"/>
      <c r="D5" s="178"/>
      <c r="E5" s="180"/>
      <c r="F5" s="143" t="s">
        <v>560</v>
      </c>
      <c r="G5" s="144" t="s">
        <v>561</v>
      </c>
      <c r="H5" s="144" t="s">
        <v>562</v>
      </c>
      <c r="I5" s="144" t="s">
        <v>563</v>
      </c>
      <c r="J5" s="145" t="s">
        <v>564</v>
      </c>
      <c r="K5" s="174"/>
      <c r="L5" s="174"/>
      <c r="M5" s="174"/>
      <c r="N5" s="195"/>
      <c r="O5" s="197"/>
      <c r="P5" s="199"/>
    </row>
    <row r="6" spans="1:16" ht="18.75" customHeight="1" x14ac:dyDescent="0.35">
      <c r="A6" s="139">
        <v>1</v>
      </c>
      <c r="B6" s="140" t="s">
        <v>317</v>
      </c>
      <c r="C6" s="141" t="s">
        <v>1</v>
      </c>
      <c r="D6" s="181" t="s">
        <v>316</v>
      </c>
      <c r="E6" s="181"/>
      <c r="F6" s="181"/>
      <c r="G6" s="139"/>
      <c r="H6" s="139"/>
      <c r="I6" s="139"/>
      <c r="J6" s="139"/>
      <c r="K6" s="139" t="s">
        <v>565</v>
      </c>
      <c r="L6" s="142"/>
      <c r="M6" s="142"/>
      <c r="N6" s="142"/>
      <c r="O6" s="142"/>
      <c r="P6" s="142"/>
    </row>
    <row r="7" spans="1:16" ht="18.75" customHeight="1" x14ac:dyDescent="0.35">
      <c r="A7" s="107">
        <v>2</v>
      </c>
      <c r="B7" s="32" t="s">
        <v>566</v>
      </c>
      <c r="C7" s="33" t="s">
        <v>567</v>
      </c>
      <c r="D7" s="124">
        <v>0.39</v>
      </c>
      <c r="E7" s="124">
        <v>0.39</v>
      </c>
      <c r="F7" s="124">
        <v>0.4</v>
      </c>
      <c r="G7" s="107"/>
      <c r="H7" s="107"/>
      <c r="I7" s="107"/>
      <c r="J7" s="107"/>
      <c r="K7" s="107" t="s">
        <v>565</v>
      </c>
      <c r="L7" s="123"/>
      <c r="M7" s="123"/>
      <c r="N7" s="123"/>
      <c r="O7" s="123"/>
      <c r="P7" s="123"/>
    </row>
    <row r="8" spans="1:16" ht="18.75" customHeight="1" x14ac:dyDescent="0.35">
      <c r="A8" s="107">
        <v>3</v>
      </c>
      <c r="B8" s="32" t="s">
        <v>568</v>
      </c>
      <c r="C8" s="33" t="s">
        <v>569</v>
      </c>
      <c r="D8" s="175">
        <v>0.3</v>
      </c>
      <c r="E8" s="176"/>
      <c r="F8" s="176"/>
      <c r="G8" s="107">
        <v>4</v>
      </c>
      <c r="H8" s="107">
        <v>1</v>
      </c>
      <c r="I8" s="107"/>
      <c r="J8" s="107">
        <v>3</v>
      </c>
      <c r="K8" s="153" t="s">
        <v>565</v>
      </c>
      <c r="L8" s="123"/>
      <c r="M8" s="123"/>
      <c r="N8" s="123"/>
      <c r="O8" s="123"/>
      <c r="P8" s="123"/>
    </row>
    <row r="9" spans="1:16" ht="18.75" customHeight="1" x14ac:dyDescent="0.35">
      <c r="A9" s="107">
        <v>4</v>
      </c>
      <c r="B9" s="32" t="s">
        <v>570</v>
      </c>
      <c r="C9" s="33" t="s">
        <v>571</v>
      </c>
      <c r="D9" s="175">
        <v>0.3</v>
      </c>
      <c r="E9" s="175"/>
      <c r="F9" s="175"/>
      <c r="G9" s="107">
        <v>4</v>
      </c>
      <c r="H9" s="107">
        <v>1</v>
      </c>
      <c r="I9" s="107"/>
      <c r="J9" s="107">
        <v>3</v>
      </c>
      <c r="K9" s="153" t="s">
        <v>565</v>
      </c>
      <c r="L9" s="123"/>
      <c r="M9" s="123"/>
      <c r="N9" s="123"/>
      <c r="O9" s="123"/>
      <c r="P9" s="123"/>
    </row>
    <row r="10" spans="1:16" ht="18.75" customHeight="1" x14ac:dyDescent="0.35">
      <c r="A10" s="107">
        <v>5</v>
      </c>
      <c r="B10" s="32" t="s">
        <v>572</v>
      </c>
      <c r="C10" s="33" t="s">
        <v>573</v>
      </c>
      <c r="D10" s="124">
        <v>0.39</v>
      </c>
      <c r="E10" s="124">
        <v>0.39</v>
      </c>
      <c r="F10" s="124">
        <v>0.37</v>
      </c>
      <c r="G10" s="107"/>
      <c r="H10" s="107"/>
      <c r="I10" s="107"/>
      <c r="J10" s="107"/>
      <c r="K10" s="107"/>
      <c r="L10" s="123"/>
      <c r="M10" s="123"/>
      <c r="N10" s="123"/>
      <c r="O10" s="123"/>
      <c r="P10" s="123"/>
    </row>
    <row r="11" spans="1:16" ht="18.75" customHeight="1" x14ac:dyDescent="0.35">
      <c r="A11" s="107">
        <v>6</v>
      </c>
      <c r="B11" s="32">
        <v>2000515</v>
      </c>
      <c r="C11" s="33" t="s">
        <v>340</v>
      </c>
      <c r="D11" s="175">
        <v>0.37</v>
      </c>
      <c r="E11" s="176"/>
      <c r="F11" s="176"/>
      <c r="G11" s="107"/>
      <c r="H11" s="107"/>
      <c r="I11" s="124">
        <v>0.03</v>
      </c>
      <c r="J11" s="107"/>
      <c r="K11" s="107"/>
      <c r="L11" s="123"/>
      <c r="M11" s="123"/>
      <c r="N11" s="123"/>
      <c r="O11" s="123"/>
      <c r="P11" s="123"/>
    </row>
    <row r="12" spans="1:16" ht="18.75" customHeight="1" x14ac:dyDescent="0.35">
      <c r="A12" s="107">
        <v>7</v>
      </c>
      <c r="B12" s="72">
        <v>2000717</v>
      </c>
      <c r="C12" s="33" t="s">
        <v>341</v>
      </c>
      <c r="D12" s="175">
        <v>0.37</v>
      </c>
      <c r="E12" s="175"/>
      <c r="F12" s="175"/>
      <c r="G12" s="107"/>
      <c r="H12" s="107"/>
      <c r="I12" s="107"/>
      <c r="J12" s="107"/>
      <c r="K12" s="107"/>
      <c r="L12" s="123"/>
      <c r="M12" s="123"/>
      <c r="N12" s="123"/>
      <c r="O12" s="123"/>
      <c r="P12" s="123"/>
    </row>
    <row r="13" spans="1:16" ht="18.75" customHeight="1" x14ac:dyDescent="0.35">
      <c r="A13" s="107">
        <v>8</v>
      </c>
      <c r="B13" s="32" t="s">
        <v>342</v>
      </c>
      <c r="C13" s="33" t="s">
        <v>343</v>
      </c>
      <c r="D13" s="175">
        <v>0.37</v>
      </c>
      <c r="E13" s="175"/>
      <c r="F13" s="175"/>
      <c r="G13" s="107"/>
      <c r="H13" s="107"/>
      <c r="I13" s="107"/>
      <c r="J13" s="107"/>
      <c r="K13" s="107"/>
      <c r="L13" s="123"/>
      <c r="M13" s="123"/>
      <c r="N13" s="123"/>
      <c r="O13" s="123"/>
      <c r="P13" s="123"/>
    </row>
    <row r="14" spans="1:16" ht="18.75" customHeight="1" x14ac:dyDescent="0.35">
      <c r="A14" s="107">
        <v>9</v>
      </c>
      <c r="B14" s="32" t="s">
        <v>344</v>
      </c>
      <c r="C14" s="33" t="s">
        <v>345</v>
      </c>
      <c r="D14" s="175">
        <v>0.37</v>
      </c>
      <c r="E14" s="176"/>
      <c r="F14" s="176"/>
      <c r="G14" s="107"/>
      <c r="H14" s="107"/>
      <c r="I14" s="107"/>
      <c r="J14" s="107"/>
      <c r="K14" s="107"/>
      <c r="L14" s="123"/>
      <c r="M14" s="123"/>
      <c r="N14" s="123"/>
      <c r="O14" s="123"/>
      <c r="P14" s="123"/>
    </row>
    <row r="15" spans="1:16" ht="18.75" customHeight="1" x14ac:dyDescent="0.35">
      <c r="A15" s="107">
        <v>10</v>
      </c>
      <c r="B15" s="32" t="s">
        <v>321</v>
      </c>
      <c r="C15" s="33" t="s">
        <v>322</v>
      </c>
      <c r="D15" s="176" t="s">
        <v>316</v>
      </c>
      <c r="E15" s="176"/>
      <c r="F15" s="176"/>
      <c r="G15" s="107"/>
      <c r="H15" s="107"/>
      <c r="I15" s="107"/>
      <c r="J15" s="107"/>
      <c r="K15" s="107"/>
      <c r="L15" s="123"/>
      <c r="M15" s="123"/>
      <c r="N15" s="123" t="s">
        <v>625</v>
      </c>
      <c r="O15" s="123">
        <v>1</v>
      </c>
      <c r="P15" s="123" t="s">
        <v>619</v>
      </c>
    </row>
    <row r="16" spans="1:16" ht="18.75" customHeight="1" x14ac:dyDescent="0.35">
      <c r="A16" s="107">
        <v>11</v>
      </c>
      <c r="B16" s="32" t="s">
        <v>574</v>
      </c>
      <c r="C16" s="33" t="s">
        <v>575</v>
      </c>
      <c r="D16" s="124">
        <v>0.4</v>
      </c>
      <c r="E16" s="124">
        <v>0.4</v>
      </c>
      <c r="F16" s="124">
        <v>0.37</v>
      </c>
      <c r="G16" s="107"/>
      <c r="H16" s="107"/>
      <c r="I16" s="107"/>
      <c r="J16" s="107"/>
      <c r="K16" s="107"/>
      <c r="L16" s="123"/>
      <c r="M16" s="123"/>
      <c r="N16" s="123"/>
      <c r="O16" s="123"/>
      <c r="P16" s="123"/>
    </row>
    <row r="17" spans="1:17" ht="18.75" customHeight="1" x14ac:dyDescent="0.35">
      <c r="A17" s="107">
        <v>12</v>
      </c>
      <c r="B17" s="32" t="s">
        <v>518</v>
      </c>
      <c r="C17" s="33" t="s">
        <v>506</v>
      </c>
      <c r="D17" s="175">
        <v>0.33</v>
      </c>
      <c r="E17" s="176"/>
      <c r="F17" s="176"/>
      <c r="G17" s="107"/>
      <c r="H17" s="107"/>
      <c r="I17" s="107"/>
      <c r="J17" s="107">
        <v>3</v>
      </c>
      <c r="K17" s="153" t="s">
        <v>565</v>
      </c>
      <c r="L17" s="123"/>
      <c r="M17" s="123"/>
      <c r="N17" s="123"/>
      <c r="O17" s="123"/>
      <c r="P17" s="123"/>
    </row>
    <row r="18" spans="1:17" ht="18.75" customHeight="1" x14ac:dyDescent="0.35">
      <c r="A18" s="107">
        <v>13</v>
      </c>
      <c r="B18" s="32" t="s">
        <v>576</v>
      </c>
      <c r="C18" s="33" t="s">
        <v>577</v>
      </c>
      <c r="D18" s="124">
        <v>0.38</v>
      </c>
      <c r="E18" s="124">
        <v>0.38</v>
      </c>
      <c r="F18" s="124">
        <v>0.37</v>
      </c>
      <c r="G18" s="107"/>
      <c r="H18" s="107"/>
      <c r="I18" s="107"/>
      <c r="J18" s="107">
        <v>3</v>
      </c>
      <c r="K18" s="107"/>
      <c r="L18" s="123"/>
      <c r="M18" s="123"/>
      <c r="N18" s="123"/>
      <c r="O18" s="123"/>
      <c r="P18" s="123"/>
    </row>
    <row r="19" spans="1:17" ht="18.75" customHeight="1" x14ac:dyDescent="0.35">
      <c r="A19" s="107">
        <v>14</v>
      </c>
      <c r="B19" s="32" t="s">
        <v>578</v>
      </c>
      <c r="C19" s="33" t="s">
        <v>579</v>
      </c>
      <c r="D19" s="124">
        <v>0.4</v>
      </c>
      <c r="E19" s="124">
        <v>0.4</v>
      </c>
      <c r="F19" s="124">
        <v>0.37</v>
      </c>
      <c r="G19" s="107"/>
      <c r="H19" s="107"/>
      <c r="I19" s="107"/>
      <c r="J19" s="107"/>
      <c r="K19" s="107"/>
      <c r="L19" s="123"/>
      <c r="M19" s="123"/>
      <c r="N19" s="123" t="s">
        <v>625</v>
      </c>
      <c r="O19" s="123">
        <v>5</v>
      </c>
      <c r="P19" s="123" t="s">
        <v>619</v>
      </c>
    </row>
    <row r="20" spans="1:17" ht="18.75" customHeight="1" x14ac:dyDescent="0.35">
      <c r="A20" s="107">
        <v>15</v>
      </c>
      <c r="B20" s="32" t="s">
        <v>346</v>
      </c>
      <c r="C20" s="33" t="s">
        <v>347</v>
      </c>
      <c r="D20" s="175">
        <v>0.37</v>
      </c>
      <c r="E20" s="175"/>
      <c r="F20" s="175"/>
      <c r="G20" s="107"/>
      <c r="H20" s="107"/>
      <c r="I20" s="107"/>
      <c r="J20" s="107"/>
      <c r="K20" s="107"/>
      <c r="L20" s="123"/>
      <c r="M20" s="123"/>
      <c r="N20" s="123" t="s">
        <v>626</v>
      </c>
      <c r="O20" s="123">
        <v>2</v>
      </c>
      <c r="P20" s="123" t="s">
        <v>619</v>
      </c>
      <c r="Q20" t="s">
        <v>637</v>
      </c>
    </row>
    <row r="21" spans="1:17" ht="18.75" customHeight="1" x14ac:dyDescent="0.35">
      <c r="A21" s="107">
        <v>16</v>
      </c>
      <c r="B21" s="32">
        <v>2000010</v>
      </c>
      <c r="C21" s="33" t="s">
        <v>580</v>
      </c>
      <c r="D21" s="175">
        <v>0.25</v>
      </c>
      <c r="E21" s="176"/>
      <c r="F21" s="176"/>
      <c r="G21" s="107"/>
      <c r="H21" s="107"/>
      <c r="I21" s="107"/>
      <c r="J21" s="107"/>
      <c r="K21" s="107"/>
      <c r="L21" s="123"/>
      <c r="M21" s="123"/>
      <c r="N21" s="123"/>
      <c r="O21" s="123"/>
      <c r="P21" s="123"/>
    </row>
    <row r="22" spans="1:17" ht="18.75" customHeight="1" x14ac:dyDescent="0.35">
      <c r="A22" s="107">
        <v>17</v>
      </c>
      <c r="B22" s="32" t="s">
        <v>581</v>
      </c>
      <c r="C22" s="33" t="s">
        <v>582</v>
      </c>
      <c r="D22" s="124">
        <v>0.4</v>
      </c>
      <c r="E22" s="124">
        <v>0.4</v>
      </c>
      <c r="F22" s="124">
        <v>0.37</v>
      </c>
      <c r="G22" s="107"/>
      <c r="H22" s="107"/>
      <c r="I22" s="107"/>
      <c r="J22" s="107"/>
      <c r="K22" s="107" t="s">
        <v>565</v>
      </c>
      <c r="L22" s="123"/>
      <c r="M22" s="123"/>
      <c r="N22" s="123"/>
      <c r="O22" s="123"/>
      <c r="P22" s="123"/>
    </row>
    <row r="23" spans="1:17" ht="18.75" customHeight="1" x14ac:dyDescent="0.35">
      <c r="A23" s="107">
        <v>18</v>
      </c>
      <c r="B23" s="32">
        <v>2000566</v>
      </c>
      <c r="C23" s="33" t="s">
        <v>583</v>
      </c>
      <c r="D23" s="125">
        <v>0.38500000000000001</v>
      </c>
      <c r="E23" s="125">
        <v>0.38500000000000001</v>
      </c>
      <c r="F23" s="124">
        <v>0.37</v>
      </c>
      <c r="G23" s="107"/>
      <c r="H23" s="107"/>
      <c r="I23" s="107"/>
      <c r="J23" s="107"/>
      <c r="K23" s="107" t="s">
        <v>565</v>
      </c>
      <c r="L23" s="123"/>
      <c r="M23" s="123"/>
      <c r="N23" s="123"/>
      <c r="O23" s="123"/>
      <c r="P23" s="123"/>
    </row>
    <row r="24" spans="1:17" ht="18.75" customHeight="1" x14ac:dyDescent="0.35">
      <c r="A24" s="107">
        <v>19</v>
      </c>
      <c r="B24" s="32" t="s">
        <v>584</v>
      </c>
      <c r="C24" s="33" t="s">
        <v>585</v>
      </c>
      <c r="D24" s="107"/>
      <c r="E24" s="107"/>
      <c r="F24" s="107"/>
      <c r="G24" s="107"/>
      <c r="H24" s="107"/>
      <c r="I24" s="107"/>
      <c r="J24" s="107"/>
      <c r="K24" s="107"/>
      <c r="L24" s="123"/>
      <c r="M24" s="123"/>
      <c r="N24" s="123"/>
      <c r="O24" s="123"/>
      <c r="P24" s="123"/>
    </row>
    <row r="25" spans="1:17" ht="18.75" customHeight="1" x14ac:dyDescent="0.35">
      <c r="A25" s="107">
        <v>20</v>
      </c>
      <c r="B25" s="32" t="s">
        <v>348</v>
      </c>
      <c r="C25" s="33" t="s">
        <v>349</v>
      </c>
      <c r="D25" s="175">
        <v>0.37</v>
      </c>
      <c r="E25" s="175"/>
      <c r="F25" s="175"/>
      <c r="G25" s="107"/>
      <c r="H25" s="107"/>
      <c r="I25" s="107"/>
      <c r="J25" s="107"/>
      <c r="K25" s="107" t="s">
        <v>565</v>
      </c>
      <c r="L25" s="123"/>
      <c r="M25" s="123"/>
      <c r="N25" s="123" t="s">
        <v>631</v>
      </c>
      <c r="O25" s="123">
        <v>2</v>
      </c>
      <c r="P25" s="123" t="s">
        <v>619</v>
      </c>
    </row>
    <row r="26" spans="1:17" ht="18.75" customHeight="1" x14ac:dyDescent="0.35">
      <c r="A26" s="107">
        <v>21</v>
      </c>
      <c r="B26" s="32" t="s">
        <v>350</v>
      </c>
      <c r="C26" s="33" t="s">
        <v>351</v>
      </c>
      <c r="D26" s="175">
        <v>0.37</v>
      </c>
      <c r="E26" s="176"/>
      <c r="F26" s="176"/>
      <c r="G26" s="107"/>
      <c r="H26" s="107"/>
      <c r="I26" s="107"/>
      <c r="J26" s="107"/>
      <c r="K26" s="107" t="s">
        <v>565</v>
      </c>
      <c r="L26" s="123"/>
      <c r="M26" s="123"/>
      <c r="N26" s="123"/>
      <c r="O26" s="123"/>
      <c r="P26" s="123"/>
    </row>
    <row r="27" spans="1:17" ht="18.75" customHeight="1" x14ac:dyDescent="0.35">
      <c r="A27" s="107">
        <v>22</v>
      </c>
      <c r="B27" s="32" t="s">
        <v>323</v>
      </c>
      <c r="C27" s="33" t="s">
        <v>324</v>
      </c>
      <c r="D27" s="176" t="s">
        <v>316</v>
      </c>
      <c r="E27" s="176"/>
      <c r="F27" s="176"/>
      <c r="G27" s="107"/>
      <c r="H27" s="107"/>
      <c r="I27" s="107"/>
      <c r="J27" s="107"/>
      <c r="K27" s="107" t="s">
        <v>565</v>
      </c>
      <c r="L27" s="123"/>
      <c r="M27" s="123"/>
      <c r="N27" s="123"/>
      <c r="O27" s="123"/>
      <c r="P27" s="123"/>
    </row>
    <row r="28" spans="1:17" ht="18.75" customHeight="1" x14ac:dyDescent="0.35">
      <c r="A28" s="107">
        <v>23</v>
      </c>
      <c r="B28" s="32" t="s">
        <v>586</v>
      </c>
      <c r="C28" s="33" t="s">
        <v>352</v>
      </c>
      <c r="D28" s="175">
        <v>0.37</v>
      </c>
      <c r="E28" s="176"/>
      <c r="F28" s="176"/>
      <c r="G28" s="107"/>
      <c r="H28" s="107"/>
      <c r="I28" s="107"/>
      <c r="J28" s="107"/>
      <c r="K28" s="107"/>
      <c r="L28" s="123"/>
      <c r="M28" s="123"/>
      <c r="N28" s="123"/>
      <c r="O28" s="123"/>
      <c r="P28" s="123"/>
    </row>
    <row r="29" spans="1:17" ht="18.75" customHeight="1" x14ac:dyDescent="0.35">
      <c r="A29" s="107">
        <v>24</v>
      </c>
      <c r="B29" s="32" t="s">
        <v>353</v>
      </c>
      <c r="C29" s="33" t="s">
        <v>354</v>
      </c>
      <c r="D29" s="175">
        <v>0.37</v>
      </c>
      <c r="E29" s="176"/>
      <c r="F29" s="176"/>
      <c r="G29" s="107"/>
      <c r="H29" s="107"/>
      <c r="I29" s="107"/>
      <c r="J29" s="107"/>
      <c r="K29" s="107"/>
      <c r="L29" s="123"/>
      <c r="M29" s="123"/>
      <c r="N29" s="123"/>
      <c r="O29" s="123"/>
      <c r="P29" s="123"/>
    </row>
    <row r="30" spans="1:17" ht="18.75" customHeight="1" x14ac:dyDescent="0.35">
      <c r="A30" s="107">
        <v>25</v>
      </c>
      <c r="B30" s="32" t="s">
        <v>355</v>
      </c>
      <c r="C30" s="33" t="s">
        <v>356</v>
      </c>
      <c r="D30" s="175">
        <v>0.37</v>
      </c>
      <c r="E30" s="175"/>
      <c r="F30" s="175"/>
      <c r="G30" s="107"/>
      <c r="H30" s="107"/>
      <c r="I30" s="107"/>
      <c r="J30" s="107"/>
      <c r="K30" s="107"/>
      <c r="L30" s="123"/>
      <c r="M30" s="123"/>
      <c r="N30" s="123"/>
      <c r="O30" s="123"/>
      <c r="P30" s="123"/>
    </row>
    <row r="31" spans="1:17" ht="18.75" customHeight="1" x14ac:dyDescent="0.35">
      <c r="A31" s="107">
        <v>26</v>
      </c>
      <c r="B31" s="32" t="s">
        <v>357</v>
      </c>
      <c r="C31" s="33" t="s">
        <v>358</v>
      </c>
      <c r="D31" s="175">
        <v>0.37</v>
      </c>
      <c r="E31" s="176"/>
      <c r="F31" s="176"/>
      <c r="G31" s="107"/>
      <c r="H31" s="107"/>
      <c r="I31" s="107"/>
      <c r="J31" s="107"/>
      <c r="K31" s="107"/>
      <c r="L31" s="123"/>
      <c r="M31" s="123"/>
      <c r="N31" s="123" t="s">
        <v>623</v>
      </c>
      <c r="O31" s="123">
        <v>2</v>
      </c>
      <c r="P31" s="123" t="s">
        <v>619</v>
      </c>
    </row>
    <row r="32" spans="1:17" ht="18.75" customHeight="1" x14ac:dyDescent="0.35">
      <c r="A32" s="107">
        <v>27</v>
      </c>
      <c r="B32" s="32" t="s">
        <v>359</v>
      </c>
      <c r="C32" s="33" t="s">
        <v>360</v>
      </c>
      <c r="D32" s="175">
        <v>0.37</v>
      </c>
      <c r="E32" s="176"/>
      <c r="F32" s="176"/>
      <c r="G32" s="107"/>
      <c r="H32" s="107"/>
      <c r="I32" s="107"/>
      <c r="J32" s="107"/>
      <c r="K32" s="107"/>
      <c r="L32" s="123"/>
      <c r="M32" s="123"/>
      <c r="N32" s="123"/>
      <c r="O32" s="123"/>
      <c r="P32" s="123"/>
    </row>
    <row r="33" spans="1:16" ht="30" customHeight="1" x14ac:dyDescent="0.35">
      <c r="A33" s="107">
        <v>28</v>
      </c>
      <c r="B33" s="32">
        <v>2000666</v>
      </c>
      <c r="C33" s="33" t="s">
        <v>587</v>
      </c>
      <c r="D33" s="125">
        <v>0.34350000000000003</v>
      </c>
      <c r="E33" s="125">
        <v>0.34350000000000003</v>
      </c>
      <c r="F33" s="129">
        <v>0.34350000000000003</v>
      </c>
      <c r="G33" s="107"/>
      <c r="H33" s="107"/>
      <c r="I33" s="107"/>
      <c r="J33" s="107"/>
      <c r="K33" s="107" t="s">
        <v>565</v>
      </c>
      <c r="L33" s="123"/>
      <c r="M33" s="128" t="s">
        <v>588</v>
      </c>
      <c r="N33" s="123"/>
      <c r="O33" s="123"/>
      <c r="P33" s="123"/>
    </row>
    <row r="34" spans="1:16" ht="32.25" customHeight="1" x14ac:dyDescent="0.35">
      <c r="A34" s="107">
        <v>29</v>
      </c>
      <c r="B34" s="32">
        <v>2000462</v>
      </c>
      <c r="C34" s="33" t="s">
        <v>589</v>
      </c>
      <c r="D34" s="124">
        <v>0.4</v>
      </c>
      <c r="E34" s="124">
        <v>0.4</v>
      </c>
      <c r="F34" s="124">
        <v>0.37</v>
      </c>
      <c r="G34" s="107"/>
      <c r="H34" s="107"/>
      <c r="I34" s="107"/>
      <c r="J34" s="107"/>
      <c r="K34" s="107"/>
      <c r="L34" s="123"/>
      <c r="M34" s="128" t="s">
        <v>590</v>
      </c>
      <c r="N34" s="123"/>
      <c r="O34" s="123"/>
      <c r="P34" s="123"/>
    </row>
    <row r="35" spans="1:16" ht="18.75" customHeight="1" x14ac:dyDescent="0.35">
      <c r="A35" s="107">
        <v>30</v>
      </c>
      <c r="B35" s="32" t="s">
        <v>361</v>
      </c>
      <c r="C35" s="33" t="s">
        <v>362</v>
      </c>
      <c r="D35" s="175">
        <v>0.37</v>
      </c>
      <c r="E35" s="175"/>
      <c r="F35" s="175"/>
      <c r="G35" s="107"/>
      <c r="H35" s="107"/>
      <c r="I35" s="107"/>
      <c r="J35" s="107"/>
      <c r="K35" s="107"/>
      <c r="L35" s="123"/>
      <c r="M35" s="123"/>
      <c r="N35" s="123"/>
      <c r="O35" s="123"/>
      <c r="P35" s="123"/>
    </row>
    <row r="36" spans="1:16" ht="18.75" customHeight="1" x14ac:dyDescent="0.35">
      <c r="A36" s="107">
        <v>31</v>
      </c>
      <c r="B36" s="32" t="s">
        <v>363</v>
      </c>
      <c r="C36" s="33" t="s">
        <v>364</v>
      </c>
      <c r="D36" s="175">
        <v>0.37</v>
      </c>
      <c r="E36" s="175"/>
      <c r="F36" s="175"/>
      <c r="G36" s="107"/>
      <c r="H36" s="107"/>
      <c r="I36" s="107"/>
      <c r="J36" s="107"/>
      <c r="K36" s="107"/>
      <c r="L36" s="123"/>
      <c r="M36" s="123"/>
      <c r="N36" s="123" t="s">
        <v>634</v>
      </c>
      <c r="O36" s="123">
        <v>3</v>
      </c>
      <c r="P36" s="123" t="s">
        <v>619</v>
      </c>
    </row>
    <row r="37" spans="1:16" ht="18.75" customHeight="1" x14ac:dyDescent="0.35">
      <c r="A37" s="107">
        <v>32</v>
      </c>
      <c r="B37" s="32" t="s">
        <v>365</v>
      </c>
      <c r="C37" s="33" t="s">
        <v>366</v>
      </c>
      <c r="D37" s="175">
        <v>0.37</v>
      </c>
      <c r="E37" s="175"/>
      <c r="F37" s="175"/>
      <c r="G37" s="107"/>
      <c r="H37" s="107"/>
      <c r="I37" s="107"/>
      <c r="J37" s="107"/>
      <c r="K37" s="107"/>
      <c r="L37" s="123"/>
      <c r="M37" s="123"/>
      <c r="N37" s="123"/>
      <c r="O37" s="123"/>
      <c r="P37" s="123"/>
    </row>
    <row r="38" spans="1:16" ht="18.75" customHeight="1" x14ac:dyDescent="0.35">
      <c r="A38" s="107">
        <v>33</v>
      </c>
      <c r="B38" s="32" t="s">
        <v>367</v>
      </c>
      <c r="C38" s="33" t="s">
        <v>368</v>
      </c>
      <c r="D38" s="175">
        <v>0.37</v>
      </c>
      <c r="E38" s="175"/>
      <c r="F38" s="175"/>
      <c r="G38" s="107"/>
      <c r="H38" s="107"/>
      <c r="I38" s="107"/>
      <c r="J38" s="107"/>
      <c r="K38" s="107"/>
      <c r="L38" s="123"/>
      <c r="M38" s="123"/>
      <c r="N38" s="123" t="s">
        <v>620</v>
      </c>
      <c r="O38" s="123">
        <v>1</v>
      </c>
      <c r="P38" s="123" t="s">
        <v>619</v>
      </c>
    </row>
    <row r="39" spans="1:16" ht="18.75" customHeight="1" x14ac:dyDescent="0.35">
      <c r="A39" s="107">
        <v>34</v>
      </c>
      <c r="B39" s="32" t="s">
        <v>369</v>
      </c>
      <c r="C39" s="33" t="s">
        <v>370</v>
      </c>
      <c r="D39" s="175">
        <v>0.37</v>
      </c>
      <c r="E39" s="175"/>
      <c r="F39" s="175"/>
      <c r="G39" s="107"/>
      <c r="H39" s="107"/>
      <c r="I39" s="107"/>
      <c r="J39" s="107"/>
      <c r="K39" s="107"/>
      <c r="L39" s="123"/>
      <c r="M39" s="123"/>
      <c r="N39" s="123" t="s">
        <v>618</v>
      </c>
      <c r="O39" s="123">
        <v>4</v>
      </c>
      <c r="P39" s="123" t="s">
        <v>632</v>
      </c>
    </row>
    <row r="40" spans="1:16" ht="18.75" customHeight="1" x14ac:dyDescent="0.35">
      <c r="A40" s="107">
        <v>35</v>
      </c>
      <c r="B40" s="32" t="s">
        <v>371</v>
      </c>
      <c r="C40" s="33" t="s">
        <v>372</v>
      </c>
      <c r="D40" s="175">
        <v>0.37</v>
      </c>
      <c r="E40" s="175"/>
      <c r="F40" s="175"/>
      <c r="G40" s="107"/>
      <c r="H40" s="107"/>
      <c r="I40" s="107"/>
      <c r="J40" s="107"/>
      <c r="K40" s="107"/>
      <c r="L40" s="123"/>
      <c r="M40" s="123"/>
      <c r="N40" s="123"/>
      <c r="O40" s="123"/>
      <c r="P40" s="123"/>
    </row>
    <row r="41" spans="1:16" ht="18.75" customHeight="1" x14ac:dyDescent="0.35">
      <c r="A41" s="107">
        <v>36</v>
      </c>
      <c r="B41" s="32" t="s">
        <v>373</v>
      </c>
      <c r="C41" s="33" t="s">
        <v>374</v>
      </c>
      <c r="D41" s="175">
        <v>0.37</v>
      </c>
      <c r="E41" s="175"/>
      <c r="F41" s="175"/>
      <c r="G41" s="107"/>
      <c r="H41" s="107"/>
      <c r="I41" s="107"/>
      <c r="J41" s="107"/>
      <c r="K41" s="107"/>
      <c r="L41" s="123"/>
      <c r="M41" s="123"/>
      <c r="N41" s="123" t="s">
        <v>633</v>
      </c>
      <c r="O41" s="123">
        <v>1</v>
      </c>
      <c r="P41" s="123" t="s">
        <v>619</v>
      </c>
    </row>
    <row r="42" spans="1:16" ht="18.75" customHeight="1" x14ac:dyDescent="0.35">
      <c r="A42" s="107">
        <v>37</v>
      </c>
      <c r="B42" s="32" t="s">
        <v>591</v>
      </c>
      <c r="C42" s="33" t="s">
        <v>330</v>
      </c>
      <c r="D42" s="175">
        <v>0.3</v>
      </c>
      <c r="E42" s="176"/>
      <c r="F42" s="176"/>
      <c r="G42" s="107">
        <v>2</v>
      </c>
      <c r="H42" s="107"/>
      <c r="I42" s="107">
        <v>3</v>
      </c>
      <c r="J42" s="107">
        <v>3</v>
      </c>
      <c r="K42" s="107" t="s">
        <v>565</v>
      </c>
      <c r="L42" s="123"/>
      <c r="M42" s="123"/>
      <c r="N42" s="123"/>
      <c r="O42" s="123"/>
      <c r="P42" s="123"/>
    </row>
    <row r="43" spans="1:16" ht="18.75" customHeight="1" x14ac:dyDescent="0.35">
      <c r="A43" s="107">
        <v>38</v>
      </c>
      <c r="B43" s="72" t="s">
        <v>519</v>
      </c>
      <c r="C43" s="33" t="s">
        <v>515</v>
      </c>
      <c r="D43" s="126">
        <v>0.33</v>
      </c>
      <c r="E43" s="126">
        <v>0.33</v>
      </c>
      <c r="F43" s="126">
        <v>0.33</v>
      </c>
      <c r="G43" s="107"/>
      <c r="H43" s="107"/>
      <c r="I43" s="107"/>
      <c r="J43" s="107">
        <v>3</v>
      </c>
      <c r="K43" s="107"/>
      <c r="L43" s="123"/>
      <c r="M43" s="123"/>
      <c r="N43" s="123"/>
      <c r="O43" s="123"/>
      <c r="P43" s="123"/>
    </row>
    <row r="44" spans="1:16" ht="18.75" customHeight="1" x14ac:dyDescent="0.35">
      <c r="A44" s="107">
        <v>39</v>
      </c>
      <c r="B44" s="32" t="s">
        <v>325</v>
      </c>
      <c r="C44" s="33" t="s">
        <v>326</v>
      </c>
      <c r="D44" s="176" t="s">
        <v>316</v>
      </c>
      <c r="E44" s="176"/>
      <c r="F44" s="176"/>
      <c r="G44" s="107"/>
      <c r="H44" s="107"/>
      <c r="I44" s="107">
        <v>1.5</v>
      </c>
      <c r="J44" s="107">
        <v>2</v>
      </c>
      <c r="K44" s="107" t="s">
        <v>565</v>
      </c>
      <c r="L44" s="123"/>
      <c r="M44" s="123"/>
      <c r="N44" s="123"/>
      <c r="O44" s="123"/>
      <c r="P44" s="123"/>
    </row>
    <row r="45" spans="1:16" ht="18.75" customHeight="1" x14ac:dyDescent="0.35">
      <c r="A45" s="107">
        <v>40</v>
      </c>
      <c r="B45" s="34">
        <v>2000422</v>
      </c>
      <c r="C45" s="35" t="s">
        <v>496</v>
      </c>
      <c r="D45" s="175">
        <v>0.37</v>
      </c>
      <c r="E45" s="175"/>
      <c r="F45" s="175"/>
      <c r="G45" s="107"/>
      <c r="H45" s="107"/>
      <c r="I45" s="107"/>
      <c r="J45" s="107"/>
      <c r="K45" s="107"/>
      <c r="L45" s="123"/>
      <c r="M45" s="123"/>
      <c r="N45" s="123" t="s">
        <v>636</v>
      </c>
      <c r="O45" s="123">
        <v>1</v>
      </c>
      <c r="P45" s="123">
        <v>500000</v>
      </c>
    </row>
    <row r="46" spans="1:16" ht="18.75" customHeight="1" x14ac:dyDescent="0.35">
      <c r="A46" s="107">
        <v>41</v>
      </c>
      <c r="B46" s="34">
        <v>2000561</v>
      </c>
      <c r="C46" s="35" t="s">
        <v>585</v>
      </c>
      <c r="D46" s="123"/>
      <c r="E46" s="123"/>
      <c r="F46" s="123"/>
      <c r="G46" s="107"/>
      <c r="H46" s="107"/>
      <c r="I46" s="107"/>
      <c r="J46" s="107"/>
      <c r="K46" s="107"/>
      <c r="L46" s="123"/>
      <c r="M46" s="123"/>
      <c r="N46" s="123"/>
      <c r="O46" s="123"/>
      <c r="P46" s="123"/>
    </row>
    <row r="47" spans="1:16" ht="18.75" customHeight="1" x14ac:dyDescent="0.35">
      <c r="A47" s="107">
        <v>42</v>
      </c>
      <c r="B47" s="34">
        <v>2000466</v>
      </c>
      <c r="C47" s="35" t="s">
        <v>375</v>
      </c>
      <c r="D47" s="175">
        <v>0.37</v>
      </c>
      <c r="E47" s="175"/>
      <c r="F47" s="175"/>
      <c r="G47" s="107"/>
      <c r="H47" s="107"/>
      <c r="I47" s="107"/>
      <c r="J47" s="107"/>
      <c r="K47" s="107"/>
      <c r="L47" s="123"/>
      <c r="M47" s="123"/>
      <c r="N47" s="123" t="s">
        <v>634</v>
      </c>
      <c r="O47" s="123">
        <v>1</v>
      </c>
      <c r="P47" s="123" t="s">
        <v>619</v>
      </c>
    </row>
    <row r="48" spans="1:16" ht="18.75" customHeight="1" x14ac:dyDescent="0.35">
      <c r="A48" s="107">
        <v>43</v>
      </c>
      <c r="B48" s="34">
        <v>2000107</v>
      </c>
      <c r="C48" s="35" t="s">
        <v>376</v>
      </c>
      <c r="D48" s="175">
        <v>0.37</v>
      </c>
      <c r="E48" s="175"/>
      <c r="F48" s="175"/>
      <c r="G48" s="107"/>
      <c r="H48" s="107"/>
      <c r="I48" s="107"/>
      <c r="J48" s="107"/>
      <c r="K48" s="107"/>
      <c r="L48" s="123"/>
      <c r="M48" s="123"/>
      <c r="N48" s="123"/>
      <c r="O48" s="123"/>
      <c r="P48" s="123"/>
    </row>
    <row r="49" spans="1:16" ht="18.75" customHeight="1" x14ac:dyDescent="0.35">
      <c r="A49" s="107">
        <v>44</v>
      </c>
      <c r="B49" s="34">
        <v>2000182</v>
      </c>
      <c r="C49" s="35" t="s">
        <v>377</v>
      </c>
      <c r="D49" s="175">
        <v>0.37</v>
      </c>
      <c r="E49" s="175"/>
      <c r="F49" s="175"/>
      <c r="G49" s="107"/>
      <c r="H49" s="107"/>
      <c r="I49" s="107"/>
      <c r="J49" s="107"/>
      <c r="K49" s="107" t="s">
        <v>565</v>
      </c>
      <c r="L49" s="123"/>
      <c r="M49" s="123"/>
      <c r="N49" s="123"/>
      <c r="O49" s="123"/>
      <c r="P49" s="123"/>
    </row>
    <row r="50" spans="1:16" ht="18.75" customHeight="1" x14ac:dyDescent="0.35">
      <c r="A50" s="107">
        <v>46</v>
      </c>
      <c r="B50" s="34">
        <v>2000634</v>
      </c>
      <c r="C50" s="35" t="s">
        <v>327</v>
      </c>
      <c r="D50" s="176" t="s">
        <v>316</v>
      </c>
      <c r="E50" s="176"/>
      <c r="F50" s="176"/>
      <c r="G50" s="107"/>
      <c r="H50" s="107"/>
      <c r="I50" s="107"/>
      <c r="J50" s="107"/>
      <c r="K50" s="107" t="s">
        <v>565</v>
      </c>
      <c r="L50" s="123"/>
      <c r="M50" s="123"/>
      <c r="N50" s="123"/>
      <c r="O50" s="123"/>
      <c r="P50" s="123"/>
    </row>
    <row r="51" spans="1:16" ht="18.75" customHeight="1" x14ac:dyDescent="0.35">
      <c r="A51" s="107">
        <v>48</v>
      </c>
      <c r="B51" s="34">
        <v>2000304</v>
      </c>
      <c r="C51" s="35" t="s">
        <v>378</v>
      </c>
      <c r="D51" s="175">
        <v>0.37</v>
      </c>
      <c r="E51" s="175"/>
      <c r="F51" s="175"/>
      <c r="G51" s="107"/>
      <c r="H51" s="107"/>
      <c r="I51" s="107"/>
      <c r="J51" s="107"/>
      <c r="K51" s="107"/>
      <c r="L51" s="123"/>
      <c r="M51" s="123"/>
      <c r="N51" s="123"/>
      <c r="O51" s="123"/>
      <c r="P51" s="123"/>
    </row>
    <row r="52" spans="1:16" ht="18.75" customHeight="1" x14ac:dyDescent="0.35">
      <c r="A52" s="107">
        <v>49</v>
      </c>
      <c r="B52" s="34">
        <v>2000703</v>
      </c>
      <c r="C52" s="35" t="s">
        <v>328</v>
      </c>
      <c r="D52" s="176" t="s">
        <v>316</v>
      </c>
      <c r="E52" s="176"/>
      <c r="F52" s="176"/>
      <c r="G52" s="107"/>
      <c r="H52" s="107"/>
      <c r="I52" s="107"/>
      <c r="J52" s="107"/>
      <c r="K52" s="107" t="s">
        <v>565</v>
      </c>
      <c r="L52" s="123"/>
      <c r="M52" s="123"/>
      <c r="N52" s="123"/>
      <c r="O52" s="123"/>
      <c r="P52" s="123"/>
    </row>
    <row r="53" spans="1:16" ht="29.25" customHeight="1" x14ac:dyDescent="0.35">
      <c r="A53" s="107">
        <v>50</v>
      </c>
      <c r="B53" s="34">
        <v>2000122</v>
      </c>
      <c r="C53" s="35" t="s">
        <v>592</v>
      </c>
      <c r="D53" s="124">
        <v>0.4</v>
      </c>
      <c r="E53" s="124">
        <v>0.37</v>
      </c>
      <c r="F53" s="124">
        <v>0.37</v>
      </c>
      <c r="G53" s="107"/>
      <c r="H53" s="107"/>
      <c r="I53" s="107"/>
      <c r="J53" s="107"/>
      <c r="K53" s="107"/>
      <c r="L53" s="123"/>
      <c r="M53" s="128" t="s">
        <v>593</v>
      </c>
      <c r="N53" s="123"/>
      <c r="O53" s="123"/>
      <c r="P53" s="123"/>
    </row>
    <row r="54" spans="1:16" ht="18.75" customHeight="1" x14ac:dyDescent="0.35">
      <c r="A54" s="107">
        <v>51</v>
      </c>
      <c r="B54" s="34">
        <v>2000457</v>
      </c>
      <c r="C54" s="35" t="s">
        <v>379</v>
      </c>
      <c r="D54" s="175">
        <v>0.37</v>
      </c>
      <c r="E54" s="175"/>
      <c r="F54" s="175"/>
      <c r="G54" s="107"/>
      <c r="H54" s="107"/>
      <c r="I54" s="107"/>
      <c r="J54" s="107"/>
      <c r="K54" s="107"/>
      <c r="L54" s="123"/>
      <c r="M54" s="123"/>
      <c r="N54" s="123"/>
      <c r="O54" s="123"/>
      <c r="P54" s="123"/>
    </row>
    <row r="55" spans="1:16" ht="18.75" customHeight="1" x14ac:dyDescent="0.35">
      <c r="A55" s="107">
        <v>52</v>
      </c>
      <c r="B55" s="34">
        <v>2000689</v>
      </c>
      <c r="C55" s="35" t="s">
        <v>380</v>
      </c>
      <c r="D55" s="175">
        <v>0.37</v>
      </c>
      <c r="E55" s="175"/>
      <c r="F55" s="175"/>
      <c r="G55" s="107"/>
      <c r="H55" s="107"/>
      <c r="I55" s="107"/>
      <c r="J55" s="107"/>
      <c r="K55" s="107"/>
      <c r="L55" s="123"/>
      <c r="M55" s="123"/>
      <c r="N55" s="123" t="s">
        <v>626</v>
      </c>
      <c r="O55" s="123">
        <v>1</v>
      </c>
      <c r="P55" s="123">
        <v>200000</v>
      </c>
    </row>
    <row r="56" spans="1:16" ht="18.75" customHeight="1" x14ac:dyDescent="0.35">
      <c r="A56" s="107">
        <v>53</v>
      </c>
      <c r="B56" s="34">
        <v>2000546</v>
      </c>
      <c r="C56" s="35" t="s">
        <v>381</v>
      </c>
      <c r="D56" s="175">
        <v>0.37</v>
      </c>
      <c r="E56" s="175"/>
      <c r="F56" s="175"/>
      <c r="G56" s="107"/>
      <c r="H56" s="107"/>
      <c r="I56" s="107"/>
      <c r="J56" s="107"/>
      <c r="K56" s="107" t="s">
        <v>565</v>
      </c>
      <c r="L56" s="123"/>
      <c r="M56" s="123"/>
      <c r="N56" s="123"/>
      <c r="O56" s="123"/>
      <c r="P56" s="123"/>
    </row>
    <row r="57" spans="1:16" ht="18.75" customHeight="1" x14ac:dyDescent="0.35">
      <c r="A57" s="107">
        <v>54</v>
      </c>
      <c r="B57" s="34">
        <v>2000523</v>
      </c>
      <c r="C57" s="35" t="s">
        <v>362</v>
      </c>
      <c r="D57" s="175">
        <v>0.37</v>
      </c>
      <c r="E57" s="175"/>
      <c r="F57" s="175"/>
      <c r="G57" s="107"/>
      <c r="H57" s="107"/>
      <c r="I57" s="107"/>
      <c r="J57" s="107"/>
      <c r="K57" s="107"/>
      <c r="L57" s="123"/>
      <c r="M57" s="123"/>
      <c r="N57" s="123"/>
      <c r="O57" s="123"/>
      <c r="P57" s="123"/>
    </row>
    <row r="58" spans="1:16" ht="18.75" customHeight="1" x14ac:dyDescent="0.35">
      <c r="A58" s="107">
        <v>55</v>
      </c>
      <c r="B58" s="34">
        <v>2000555</v>
      </c>
      <c r="C58" s="35" t="s">
        <v>372</v>
      </c>
      <c r="D58" s="175">
        <v>0.37</v>
      </c>
      <c r="E58" s="175"/>
      <c r="F58" s="175"/>
      <c r="G58" s="107"/>
      <c r="H58" s="107"/>
      <c r="I58" s="107"/>
      <c r="J58" s="107"/>
      <c r="K58" s="107"/>
      <c r="L58" s="123"/>
      <c r="M58" s="123"/>
      <c r="N58" s="123"/>
      <c r="O58" s="123"/>
      <c r="P58" s="123"/>
    </row>
    <row r="59" spans="1:16" ht="18.75" customHeight="1" x14ac:dyDescent="0.35">
      <c r="A59" s="107">
        <v>56</v>
      </c>
      <c r="B59" s="34">
        <v>2000127</v>
      </c>
      <c r="C59" s="35" t="s">
        <v>382</v>
      </c>
      <c r="D59" s="175">
        <v>0.37</v>
      </c>
      <c r="E59" s="175"/>
      <c r="F59" s="175"/>
      <c r="G59" s="107"/>
      <c r="H59" s="107"/>
      <c r="I59" s="107"/>
      <c r="J59" s="107"/>
      <c r="K59" s="107"/>
      <c r="L59" s="123"/>
      <c r="M59" s="123"/>
      <c r="N59" s="123" t="s">
        <v>636</v>
      </c>
      <c r="O59" s="123">
        <v>3</v>
      </c>
      <c r="P59" s="123">
        <v>100000</v>
      </c>
    </row>
    <row r="60" spans="1:16" ht="18.75" customHeight="1" x14ac:dyDescent="0.35">
      <c r="A60" s="107">
        <v>58</v>
      </c>
      <c r="B60" s="34">
        <v>2000386</v>
      </c>
      <c r="C60" s="35" t="s">
        <v>383</v>
      </c>
      <c r="D60" s="175">
        <v>0.37</v>
      </c>
      <c r="E60" s="175"/>
      <c r="F60" s="175"/>
      <c r="G60" s="107"/>
      <c r="H60" s="107"/>
      <c r="I60" s="107"/>
      <c r="J60" s="107"/>
      <c r="K60" s="107"/>
      <c r="L60" s="123"/>
      <c r="M60" s="123"/>
      <c r="N60" s="123" t="s">
        <v>630</v>
      </c>
      <c r="O60" s="123">
        <v>2</v>
      </c>
      <c r="P60" s="123" t="s">
        <v>619</v>
      </c>
    </row>
    <row r="61" spans="1:16" ht="18.75" customHeight="1" x14ac:dyDescent="0.35">
      <c r="A61" s="107">
        <v>59</v>
      </c>
      <c r="B61" s="34">
        <v>2000646</v>
      </c>
      <c r="C61" s="35" t="s">
        <v>366</v>
      </c>
      <c r="D61" s="175">
        <v>0.37</v>
      </c>
      <c r="E61" s="175"/>
      <c r="F61" s="175"/>
      <c r="G61" s="107"/>
      <c r="H61" s="107"/>
      <c r="I61" s="107"/>
      <c r="J61" s="107"/>
      <c r="K61" s="107"/>
      <c r="L61" s="123"/>
      <c r="M61" s="123"/>
      <c r="N61" s="123"/>
      <c r="O61" s="123"/>
      <c r="P61" s="123"/>
    </row>
    <row r="62" spans="1:16" ht="18.75" customHeight="1" x14ac:dyDescent="0.35">
      <c r="A62" s="107">
        <v>60</v>
      </c>
      <c r="B62" s="34">
        <v>2000575</v>
      </c>
      <c r="C62" s="35" t="s">
        <v>384</v>
      </c>
      <c r="D62" s="175">
        <v>0.37</v>
      </c>
      <c r="E62" s="175"/>
      <c r="F62" s="175"/>
      <c r="G62" s="107"/>
      <c r="H62" s="107"/>
      <c r="I62" s="107"/>
      <c r="J62" s="107"/>
      <c r="K62" s="107"/>
      <c r="L62" s="123"/>
      <c r="M62" s="123"/>
      <c r="N62" s="123"/>
      <c r="O62" s="123"/>
      <c r="P62" s="123"/>
    </row>
    <row r="63" spans="1:16" ht="18.75" customHeight="1" x14ac:dyDescent="0.35">
      <c r="A63" s="107">
        <v>61</v>
      </c>
      <c r="B63" s="34">
        <v>2000299</v>
      </c>
      <c r="C63" s="35" t="s">
        <v>385</v>
      </c>
      <c r="D63" s="175">
        <v>0.37</v>
      </c>
      <c r="E63" s="175"/>
      <c r="F63" s="175"/>
      <c r="G63" s="107"/>
      <c r="H63" s="107"/>
      <c r="I63" s="107"/>
      <c r="J63" s="107"/>
      <c r="K63" s="107" t="s">
        <v>565</v>
      </c>
      <c r="L63" s="123"/>
      <c r="M63" s="123"/>
      <c r="N63" s="123"/>
      <c r="O63" s="123"/>
      <c r="P63" s="123"/>
    </row>
    <row r="64" spans="1:16" ht="18.75" customHeight="1" x14ac:dyDescent="0.35">
      <c r="A64" s="107">
        <v>62</v>
      </c>
      <c r="B64" s="34">
        <v>2000201</v>
      </c>
      <c r="C64" s="35" t="s">
        <v>386</v>
      </c>
      <c r="D64" s="175">
        <v>0.37</v>
      </c>
      <c r="E64" s="175"/>
      <c r="F64" s="175"/>
      <c r="G64" s="107"/>
      <c r="H64" s="107"/>
      <c r="I64" s="107"/>
      <c r="J64" s="107"/>
      <c r="K64" s="107"/>
      <c r="L64" s="123"/>
      <c r="M64" s="123"/>
      <c r="N64" s="123"/>
      <c r="O64" s="123"/>
      <c r="P64" s="123"/>
    </row>
    <row r="65" spans="1:16" ht="18.75" customHeight="1" x14ac:dyDescent="0.35">
      <c r="A65" s="107">
        <v>63</v>
      </c>
      <c r="B65" s="34">
        <v>2000324</v>
      </c>
      <c r="C65" s="35" t="s">
        <v>387</v>
      </c>
      <c r="D65" s="175">
        <v>0.37</v>
      </c>
      <c r="E65" s="175"/>
      <c r="F65" s="175"/>
      <c r="G65" s="107"/>
      <c r="H65" s="107"/>
      <c r="I65" s="107"/>
      <c r="J65" s="107"/>
      <c r="K65" s="107"/>
      <c r="L65" s="123"/>
      <c r="M65" s="123"/>
      <c r="N65" s="123"/>
      <c r="O65" s="123"/>
      <c r="P65" s="123"/>
    </row>
    <row r="66" spans="1:16" ht="18.75" customHeight="1" x14ac:dyDescent="0.35">
      <c r="A66" s="107">
        <v>64</v>
      </c>
      <c r="B66" s="34">
        <v>2000511</v>
      </c>
      <c r="C66" s="35" t="s">
        <v>388</v>
      </c>
      <c r="D66" s="175">
        <v>0.37</v>
      </c>
      <c r="E66" s="175"/>
      <c r="F66" s="175"/>
      <c r="G66" s="107"/>
      <c r="H66" s="107"/>
      <c r="I66" s="107"/>
      <c r="J66" s="107"/>
      <c r="K66" s="107"/>
      <c r="L66" s="123"/>
      <c r="M66" s="123"/>
      <c r="N66" s="123"/>
      <c r="O66" s="123"/>
      <c r="P66" s="123"/>
    </row>
    <row r="67" spans="1:16" ht="18.75" customHeight="1" x14ac:dyDescent="0.35">
      <c r="A67" s="107">
        <v>65</v>
      </c>
      <c r="B67" s="34">
        <v>2000686</v>
      </c>
      <c r="C67" s="35" t="s">
        <v>389</v>
      </c>
      <c r="D67" s="175">
        <v>0.37</v>
      </c>
      <c r="E67" s="175"/>
      <c r="F67" s="175"/>
      <c r="G67" s="107"/>
      <c r="H67" s="107"/>
      <c r="I67" s="107"/>
      <c r="J67" s="107"/>
      <c r="K67" s="107"/>
      <c r="L67" s="123"/>
      <c r="M67" s="123"/>
      <c r="N67" s="123"/>
      <c r="O67" s="123"/>
      <c r="P67" s="123"/>
    </row>
    <row r="68" spans="1:16" ht="18.75" customHeight="1" x14ac:dyDescent="0.35">
      <c r="A68" s="107">
        <v>66</v>
      </c>
      <c r="B68" s="34">
        <v>2000705</v>
      </c>
      <c r="C68" s="35" t="s">
        <v>329</v>
      </c>
      <c r="D68" s="176" t="s">
        <v>316</v>
      </c>
      <c r="E68" s="176"/>
      <c r="F68" s="176"/>
      <c r="G68" s="107"/>
      <c r="H68" s="107"/>
      <c r="I68" s="107"/>
      <c r="J68" s="107"/>
      <c r="K68" s="107" t="s">
        <v>565</v>
      </c>
      <c r="L68" s="123"/>
      <c r="M68" s="123"/>
      <c r="N68" s="123"/>
      <c r="O68" s="123"/>
      <c r="P68" s="123"/>
    </row>
    <row r="69" spans="1:16" ht="18.75" customHeight="1" x14ac:dyDescent="0.35">
      <c r="A69" s="107">
        <v>67</v>
      </c>
      <c r="B69" s="34">
        <v>2000613</v>
      </c>
      <c r="C69" s="35" t="s">
        <v>390</v>
      </c>
      <c r="D69" s="175">
        <v>0.37</v>
      </c>
      <c r="E69" s="175"/>
      <c r="F69" s="175"/>
      <c r="G69" s="107"/>
      <c r="H69" s="107"/>
      <c r="I69" s="107"/>
      <c r="J69" s="107"/>
      <c r="K69" s="107"/>
      <c r="L69" s="123"/>
      <c r="M69" s="123"/>
      <c r="N69" s="123" t="s">
        <v>626</v>
      </c>
      <c r="O69" s="123">
        <v>1</v>
      </c>
      <c r="P69" s="123" t="s">
        <v>619</v>
      </c>
    </row>
    <row r="70" spans="1:16" ht="18.75" customHeight="1" x14ac:dyDescent="0.35">
      <c r="A70" s="107">
        <v>68</v>
      </c>
      <c r="B70" s="34">
        <v>2000203</v>
      </c>
      <c r="C70" s="35" t="s">
        <v>391</v>
      </c>
      <c r="D70" s="175">
        <v>0.37</v>
      </c>
      <c r="E70" s="175"/>
      <c r="F70" s="175"/>
      <c r="G70" s="107"/>
      <c r="H70" s="107"/>
      <c r="I70" s="107"/>
      <c r="J70" s="107"/>
      <c r="K70" s="107"/>
      <c r="L70" s="123"/>
      <c r="M70" s="123"/>
      <c r="N70" s="123"/>
      <c r="O70" s="123"/>
      <c r="P70" s="123"/>
    </row>
    <row r="71" spans="1:16" ht="18.75" customHeight="1" x14ac:dyDescent="0.35">
      <c r="A71" s="107">
        <v>69</v>
      </c>
      <c r="B71" s="34">
        <v>2000702</v>
      </c>
      <c r="C71" s="35" t="s">
        <v>392</v>
      </c>
      <c r="D71" s="175">
        <v>0.37</v>
      </c>
      <c r="E71" s="175"/>
      <c r="F71" s="175"/>
      <c r="G71" s="107"/>
      <c r="H71" s="107"/>
      <c r="I71" s="107"/>
      <c r="J71" s="107"/>
      <c r="K71" s="107"/>
      <c r="L71" s="123"/>
      <c r="M71" s="123"/>
      <c r="N71" s="123"/>
      <c r="O71" s="123"/>
      <c r="P71" s="123"/>
    </row>
    <row r="72" spans="1:16" ht="18.75" customHeight="1" x14ac:dyDescent="0.35">
      <c r="A72" s="107">
        <v>70</v>
      </c>
      <c r="B72" s="34">
        <v>2000633</v>
      </c>
      <c r="C72" s="35" t="s">
        <v>534</v>
      </c>
      <c r="D72" s="176" t="s">
        <v>594</v>
      </c>
      <c r="E72" s="176"/>
      <c r="F72" s="176"/>
      <c r="G72" s="107"/>
      <c r="H72" s="107"/>
      <c r="I72" s="107"/>
      <c r="J72" s="107"/>
      <c r="K72" s="107"/>
      <c r="L72" s="123"/>
      <c r="M72" s="123"/>
      <c r="N72" s="123"/>
      <c r="O72" s="123"/>
      <c r="P72" s="123"/>
    </row>
    <row r="73" spans="1:16" ht="18.75" customHeight="1" x14ac:dyDescent="0.35">
      <c r="A73" s="107">
        <v>71</v>
      </c>
      <c r="B73" s="34">
        <v>2000682</v>
      </c>
      <c r="C73" s="35" t="s">
        <v>330</v>
      </c>
      <c r="D73" s="176" t="s">
        <v>316</v>
      </c>
      <c r="E73" s="176"/>
      <c r="F73" s="176"/>
      <c r="G73" s="107"/>
      <c r="H73" s="107"/>
      <c r="I73" s="107"/>
      <c r="J73" s="107"/>
      <c r="K73" s="107" t="s">
        <v>565</v>
      </c>
      <c r="L73" s="123"/>
      <c r="M73" s="123"/>
      <c r="N73" s="123"/>
      <c r="O73" s="123"/>
      <c r="P73" s="123"/>
    </row>
    <row r="74" spans="1:16" ht="18.75" customHeight="1" x14ac:dyDescent="0.35">
      <c r="A74" s="107">
        <v>72</v>
      </c>
      <c r="B74" s="34">
        <v>2000130</v>
      </c>
      <c r="C74" s="35" t="s">
        <v>393</v>
      </c>
      <c r="D74" s="175">
        <v>0.37</v>
      </c>
      <c r="E74" s="175"/>
      <c r="F74" s="175"/>
      <c r="G74" s="107"/>
      <c r="H74" s="107"/>
      <c r="I74" s="107"/>
      <c r="J74" s="107"/>
      <c r="K74" s="107"/>
      <c r="L74" s="123"/>
      <c r="M74" s="123"/>
      <c r="N74" s="123"/>
      <c r="O74" s="123"/>
      <c r="P74" s="123"/>
    </row>
    <row r="75" spans="1:16" ht="18.75" customHeight="1" x14ac:dyDescent="0.35">
      <c r="A75" s="107">
        <v>73</v>
      </c>
      <c r="B75" s="34">
        <v>2000499</v>
      </c>
      <c r="C75" s="35" t="s">
        <v>394</v>
      </c>
      <c r="D75" s="175">
        <v>0.37</v>
      </c>
      <c r="E75" s="175"/>
      <c r="F75" s="175"/>
      <c r="G75" s="107"/>
      <c r="H75" s="107"/>
      <c r="I75" s="107"/>
      <c r="J75" s="107"/>
      <c r="K75" s="107"/>
      <c r="L75" s="123"/>
      <c r="M75" s="123"/>
      <c r="N75" s="123"/>
      <c r="O75" s="123"/>
      <c r="P75" s="123"/>
    </row>
    <row r="76" spans="1:16" ht="18.75" customHeight="1" x14ac:dyDescent="0.35">
      <c r="A76" s="107">
        <v>74</v>
      </c>
      <c r="B76" s="34">
        <v>2000603</v>
      </c>
      <c r="C76" s="35" t="s">
        <v>395</v>
      </c>
      <c r="D76" s="175">
        <v>0.37</v>
      </c>
      <c r="E76" s="175"/>
      <c r="F76" s="175"/>
      <c r="G76" s="107"/>
      <c r="H76" s="107"/>
      <c r="I76" s="107"/>
      <c r="J76" s="107"/>
      <c r="K76" s="107"/>
      <c r="L76" s="123"/>
      <c r="M76" s="123"/>
      <c r="N76" s="123"/>
      <c r="O76" s="123"/>
      <c r="P76" s="123"/>
    </row>
    <row r="77" spans="1:16" ht="18.75" customHeight="1" x14ac:dyDescent="0.35">
      <c r="A77" s="107">
        <v>75</v>
      </c>
      <c r="B77" s="34">
        <v>2000433</v>
      </c>
      <c r="C77" s="35" t="s">
        <v>396</v>
      </c>
      <c r="D77" s="175">
        <v>0.37</v>
      </c>
      <c r="E77" s="175"/>
      <c r="F77" s="175"/>
      <c r="G77" s="107"/>
      <c r="H77" s="107"/>
      <c r="I77" s="107"/>
      <c r="J77" s="107"/>
      <c r="K77" s="107"/>
      <c r="L77" s="123"/>
      <c r="M77" s="123"/>
      <c r="N77" s="123"/>
      <c r="O77" s="123"/>
      <c r="P77" s="123"/>
    </row>
    <row r="78" spans="1:16" ht="18.75" customHeight="1" x14ac:dyDescent="0.35">
      <c r="A78" s="107">
        <v>76</v>
      </c>
      <c r="B78" s="34">
        <v>2000275</v>
      </c>
      <c r="C78" s="35" t="s">
        <v>397</v>
      </c>
      <c r="D78" s="175">
        <v>0.37</v>
      </c>
      <c r="E78" s="175"/>
      <c r="F78" s="175"/>
      <c r="G78" s="107"/>
      <c r="H78" s="107"/>
      <c r="I78" s="107"/>
      <c r="J78" s="107"/>
      <c r="K78" s="107"/>
      <c r="L78" s="123"/>
      <c r="M78" s="123"/>
      <c r="N78" s="123"/>
      <c r="O78" s="123"/>
      <c r="P78" s="123"/>
    </row>
    <row r="79" spans="1:16" ht="18.75" customHeight="1" x14ac:dyDescent="0.35">
      <c r="A79" s="107">
        <v>77</v>
      </c>
      <c r="B79" s="34">
        <v>2000389</v>
      </c>
      <c r="C79" s="35" t="s">
        <v>398</v>
      </c>
      <c r="D79" s="175">
        <v>0.37</v>
      </c>
      <c r="E79" s="175"/>
      <c r="F79" s="175"/>
      <c r="G79" s="107"/>
      <c r="H79" s="107"/>
      <c r="I79" s="107"/>
      <c r="J79" s="107"/>
      <c r="K79" s="107"/>
      <c r="L79" s="123"/>
      <c r="M79" s="123"/>
      <c r="N79" s="123"/>
      <c r="O79" s="123"/>
      <c r="P79" s="123"/>
    </row>
    <row r="80" spans="1:16" ht="18.75" customHeight="1" x14ac:dyDescent="0.35">
      <c r="A80" s="107">
        <v>78</v>
      </c>
      <c r="B80" s="34">
        <v>2000564</v>
      </c>
      <c r="C80" s="35" t="s">
        <v>399</v>
      </c>
      <c r="D80" s="175">
        <v>0.37</v>
      </c>
      <c r="E80" s="175"/>
      <c r="F80" s="175"/>
      <c r="G80" s="107"/>
      <c r="H80" s="107"/>
      <c r="I80" s="107"/>
      <c r="J80" s="107"/>
      <c r="K80" s="107"/>
      <c r="L80" s="123"/>
      <c r="M80" s="123"/>
      <c r="N80" s="123"/>
      <c r="O80" s="123"/>
      <c r="P80" s="123"/>
    </row>
    <row r="81" spans="1:16" ht="18.75" customHeight="1" x14ac:dyDescent="0.35">
      <c r="A81" s="107">
        <v>79</v>
      </c>
      <c r="B81" s="34">
        <v>2000665</v>
      </c>
      <c r="C81" s="35" t="s">
        <v>400</v>
      </c>
      <c r="D81" s="175">
        <v>0.37</v>
      </c>
      <c r="E81" s="175"/>
      <c r="F81" s="175"/>
      <c r="G81" s="107"/>
      <c r="H81" s="107"/>
      <c r="I81" s="107"/>
      <c r="J81" s="107"/>
      <c r="K81" s="107"/>
      <c r="L81" s="123"/>
      <c r="M81" s="123"/>
      <c r="N81" s="123"/>
      <c r="O81" s="123"/>
      <c r="P81" s="123"/>
    </row>
    <row r="82" spans="1:16" ht="18.75" customHeight="1" x14ac:dyDescent="0.35">
      <c r="A82" s="107">
        <v>80</v>
      </c>
      <c r="B82" s="34">
        <v>2000701</v>
      </c>
      <c r="C82" s="35" t="s">
        <v>331</v>
      </c>
      <c r="D82" s="176" t="s">
        <v>316</v>
      </c>
      <c r="E82" s="176"/>
      <c r="F82" s="176"/>
      <c r="G82" s="107"/>
      <c r="H82" s="107"/>
      <c r="I82" s="107"/>
      <c r="J82" s="107"/>
      <c r="K82" s="107" t="s">
        <v>565</v>
      </c>
      <c r="L82" s="123"/>
      <c r="M82" s="123"/>
      <c r="N82" s="123"/>
      <c r="O82" s="123"/>
      <c r="P82" s="123"/>
    </row>
    <row r="83" spans="1:16" ht="18.75" customHeight="1" x14ac:dyDescent="0.35">
      <c r="A83" s="107">
        <v>81</v>
      </c>
      <c r="B83" s="34">
        <v>2000619</v>
      </c>
      <c r="C83" s="35" t="s">
        <v>401</v>
      </c>
      <c r="D83" s="175">
        <v>0.37</v>
      </c>
      <c r="E83" s="175"/>
      <c r="F83" s="175"/>
      <c r="G83" s="107"/>
      <c r="H83" s="107"/>
      <c r="I83" s="107"/>
      <c r="J83" s="107"/>
      <c r="K83" s="107"/>
      <c r="L83" s="123"/>
      <c r="M83" s="123"/>
      <c r="N83" s="123"/>
      <c r="O83" s="123"/>
      <c r="P83" s="123"/>
    </row>
    <row r="84" spans="1:16" ht="18.75" customHeight="1" x14ac:dyDescent="0.35">
      <c r="A84" s="107">
        <v>82</v>
      </c>
      <c r="B84" s="34">
        <v>2000154</v>
      </c>
      <c r="C84" s="35" t="s">
        <v>402</v>
      </c>
      <c r="D84" s="175">
        <v>0.37</v>
      </c>
      <c r="E84" s="175"/>
      <c r="F84" s="175"/>
      <c r="G84" s="107"/>
      <c r="H84" s="107"/>
      <c r="I84" s="107"/>
      <c r="J84" s="107"/>
      <c r="K84" s="107"/>
      <c r="L84" s="123"/>
      <c r="M84" s="123"/>
      <c r="N84" s="123"/>
      <c r="O84" s="123"/>
      <c r="P84" s="123"/>
    </row>
    <row r="85" spans="1:16" ht="18.75" customHeight="1" x14ac:dyDescent="0.35">
      <c r="A85" s="107">
        <v>83</v>
      </c>
      <c r="B85" s="34">
        <v>2000213</v>
      </c>
      <c r="C85" s="35" t="s">
        <v>403</v>
      </c>
      <c r="D85" s="175">
        <v>0.37</v>
      </c>
      <c r="E85" s="175"/>
      <c r="F85" s="175"/>
      <c r="G85" s="107"/>
      <c r="H85" s="107"/>
      <c r="I85" s="107"/>
      <c r="J85" s="107"/>
      <c r="K85" s="107"/>
      <c r="L85" s="123"/>
      <c r="M85" s="123"/>
      <c r="N85" s="123"/>
      <c r="O85" s="123"/>
      <c r="P85" s="123"/>
    </row>
    <row r="86" spans="1:16" ht="18.75" customHeight="1" x14ac:dyDescent="0.35">
      <c r="A86" s="107">
        <v>84</v>
      </c>
      <c r="B86" s="34">
        <v>2000617</v>
      </c>
      <c r="C86" s="35" t="s">
        <v>595</v>
      </c>
      <c r="D86" s="175">
        <v>0.31</v>
      </c>
      <c r="E86" s="175"/>
      <c r="F86" s="175"/>
      <c r="G86" s="107"/>
      <c r="H86" s="107"/>
      <c r="I86" s="107"/>
      <c r="J86" s="107"/>
      <c r="K86" s="107" t="s">
        <v>565</v>
      </c>
      <c r="L86" s="123"/>
      <c r="M86" s="123"/>
      <c r="N86" s="123"/>
      <c r="O86" s="123"/>
      <c r="P86" s="123"/>
    </row>
    <row r="87" spans="1:16" ht="18.75" customHeight="1" x14ac:dyDescent="0.35">
      <c r="A87" s="107">
        <v>85</v>
      </c>
      <c r="B87" s="34">
        <v>2000658</v>
      </c>
      <c r="C87" s="35" t="s">
        <v>332</v>
      </c>
      <c r="D87" s="176" t="s">
        <v>316</v>
      </c>
      <c r="E87" s="176"/>
      <c r="F87" s="176"/>
      <c r="G87" s="107"/>
      <c r="H87" s="107"/>
      <c r="I87" s="107"/>
      <c r="J87" s="107"/>
      <c r="K87" s="107" t="s">
        <v>565</v>
      </c>
      <c r="L87" s="123"/>
      <c r="M87" s="123"/>
      <c r="N87" s="123"/>
      <c r="O87" s="123"/>
      <c r="P87" s="123"/>
    </row>
    <row r="88" spans="1:16" ht="18.75" customHeight="1" x14ac:dyDescent="0.35">
      <c r="A88" s="107">
        <v>86</v>
      </c>
      <c r="B88" s="34">
        <v>2000473</v>
      </c>
      <c r="C88" s="35" t="s">
        <v>404</v>
      </c>
      <c r="D88" s="175">
        <v>0.37</v>
      </c>
      <c r="E88" s="175"/>
      <c r="F88" s="175"/>
      <c r="G88" s="107"/>
      <c r="H88" s="107"/>
      <c r="I88" s="107"/>
      <c r="J88" s="107"/>
      <c r="K88" s="107"/>
      <c r="L88" s="123"/>
      <c r="M88" s="123"/>
      <c r="N88" s="123"/>
      <c r="O88" s="123"/>
      <c r="P88" s="123"/>
    </row>
    <row r="89" spans="1:16" ht="18.75" customHeight="1" x14ac:dyDescent="0.35">
      <c r="A89" s="107">
        <v>87</v>
      </c>
      <c r="B89" s="34">
        <v>2000326</v>
      </c>
      <c r="C89" s="35" t="s">
        <v>405</v>
      </c>
      <c r="D89" s="175">
        <v>0.37</v>
      </c>
      <c r="E89" s="175"/>
      <c r="F89" s="175"/>
      <c r="G89" s="107"/>
      <c r="H89" s="107"/>
      <c r="I89" s="107"/>
      <c r="J89" s="107"/>
      <c r="K89" s="107"/>
      <c r="L89" s="123"/>
      <c r="M89" s="123"/>
      <c r="N89" s="123"/>
      <c r="O89" s="123"/>
      <c r="P89" s="123"/>
    </row>
    <row r="90" spans="1:16" ht="18.75" customHeight="1" x14ac:dyDescent="0.35">
      <c r="A90" s="107">
        <v>88</v>
      </c>
      <c r="B90" s="34">
        <v>2000587</v>
      </c>
      <c r="C90" s="35" t="s">
        <v>406</v>
      </c>
      <c r="D90" s="175">
        <v>0.37</v>
      </c>
      <c r="E90" s="175"/>
      <c r="F90" s="175"/>
      <c r="G90" s="107"/>
      <c r="H90" s="107"/>
      <c r="I90" s="107"/>
      <c r="J90" s="107"/>
      <c r="K90" s="107"/>
      <c r="L90" s="123"/>
      <c r="M90" s="123"/>
      <c r="N90" s="123"/>
      <c r="O90" s="123"/>
      <c r="P90" s="123"/>
    </row>
    <row r="91" spans="1:16" ht="18.75" customHeight="1" x14ac:dyDescent="0.35">
      <c r="A91" s="107">
        <v>89</v>
      </c>
      <c r="B91" s="34">
        <v>2000464</v>
      </c>
      <c r="C91" s="35" t="s">
        <v>407</v>
      </c>
      <c r="D91" s="175">
        <v>0.37</v>
      </c>
      <c r="E91" s="175"/>
      <c r="F91" s="175"/>
      <c r="G91" s="107"/>
      <c r="H91" s="107"/>
      <c r="I91" s="107"/>
      <c r="J91" s="124">
        <v>0.03</v>
      </c>
      <c r="K91" s="107"/>
      <c r="L91" s="123"/>
      <c r="M91" s="123"/>
      <c r="N91" s="123"/>
      <c r="O91" s="123"/>
      <c r="P91" s="123"/>
    </row>
    <row r="92" spans="1:16" ht="18.75" customHeight="1" x14ac:dyDescent="0.35">
      <c r="A92" s="107">
        <v>90</v>
      </c>
      <c r="B92" s="34">
        <v>2000477</v>
      </c>
      <c r="C92" s="35" t="s">
        <v>408</v>
      </c>
      <c r="D92" s="175">
        <v>0.37</v>
      </c>
      <c r="E92" s="175"/>
      <c r="F92" s="175"/>
      <c r="G92" s="107"/>
      <c r="H92" s="107"/>
      <c r="I92" s="107"/>
      <c r="J92" s="107"/>
      <c r="K92" s="107"/>
      <c r="L92" s="123"/>
      <c r="M92" s="123"/>
      <c r="N92" s="123"/>
      <c r="O92" s="123"/>
      <c r="P92" s="123"/>
    </row>
    <row r="93" spans="1:16" ht="18.75" customHeight="1" x14ac:dyDescent="0.35">
      <c r="A93" s="107">
        <v>91</v>
      </c>
      <c r="B93" s="34">
        <v>2000434</v>
      </c>
      <c r="C93" s="35" t="s">
        <v>409</v>
      </c>
      <c r="D93" s="175">
        <v>0.37</v>
      </c>
      <c r="E93" s="175"/>
      <c r="F93" s="175"/>
      <c r="G93" s="107"/>
      <c r="H93" s="107"/>
      <c r="I93" s="107"/>
      <c r="J93" s="107"/>
      <c r="K93" s="107"/>
      <c r="L93" s="123"/>
      <c r="M93" s="123"/>
      <c r="N93" s="123"/>
      <c r="O93" s="123"/>
      <c r="P93" s="123"/>
    </row>
    <row r="94" spans="1:16" ht="18.75" customHeight="1" x14ac:dyDescent="0.35">
      <c r="A94" s="107">
        <v>92</v>
      </c>
      <c r="B94" s="34">
        <v>2000581</v>
      </c>
      <c r="C94" s="35" t="s">
        <v>410</v>
      </c>
      <c r="D94" s="175">
        <v>0.37</v>
      </c>
      <c r="E94" s="175"/>
      <c r="F94" s="175"/>
      <c r="G94" s="107"/>
      <c r="H94" s="107"/>
      <c r="I94" s="107"/>
      <c r="J94" s="107"/>
      <c r="K94" s="107"/>
      <c r="L94" s="123"/>
      <c r="M94" s="123"/>
      <c r="N94" s="123"/>
      <c r="O94" s="123"/>
      <c r="P94" s="123"/>
    </row>
    <row r="95" spans="1:16" ht="18.75" customHeight="1" x14ac:dyDescent="0.35">
      <c r="A95" s="107">
        <v>93</v>
      </c>
      <c r="B95" s="34">
        <v>2000155</v>
      </c>
      <c r="C95" s="35" t="s">
        <v>411</v>
      </c>
      <c r="D95" s="175">
        <v>0.37</v>
      </c>
      <c r="E95" s="175"/>
      <c r="F95" s="175"/>
      <c r="G95" s="107"/>
      <c r="H95" s="107"/>
      <c r="I95" s="107"/>
      <c r="J95" s="107"/>
      <c r="K95" s="107"/>
      <c r="L95" s="123"/>
      <c r="M95" s="123"/>
      <c r="N95" s="123"/>
      <c r="O95" s="123"/>
      <c r="P95" s="123"/>
    </row>
    <row r="96" spans="1:16" ht="18.75" customHeight="1" x14ac:dyDescent="0.35">
      <c r="A96" s="107">
        <v>94</v>
      </c>
      <c r="B96" s="34">
        <v>2000641</v>
      </c>
      <c r="C96" s="35" t="s">
        <v>412</v>
      </c>
      <c r="D96" s="175">
        <v>0.37</v>
      </c>
      <c r="E96" s="175"/>
      <c r="F96" s="175"/>
      <c r="G96" s="107"/>
      <c r="H96" s="107"/>
      <c r="I96" s="107"/>
      <c r="J96" s="107"/>
      <c r="K96" s="107"/>
      <c r="L96" s="123"/>
      <c r="M96" s="123"/>
      <c r="N96" s="123"/>
      <c r="O96" s="123"/>
      <c r="P96" s="123"/>
    </row>
    <row r="97" spans="1:16" ht="18.75" customHeight="1" x14ac:dyDescent="0.35">
      <c r="A97" s="107">
        <v>95</v>
      </c>
      <c r="B97" s="34">
        <v>2000699</v>
      </c>
      <c r="C97" s="35" t="s">
        <v>596</v>
      </c>
      <c r="D97" s="175">
        <v>0.31</v>
      </c>
      <c r="E97" s="176"/>
      <c r="F97" s="176"/>
      <c r="G97" s="107"/>
      <c r="H97" s="107"/>
      <c r="I97" s="107"/>
      <c r="J97" s="107"/>
      <c r="K97" s="107" t="s">
        <v>565</v>
      </c>
      <c r="L97" s="123"/>
      <c r="M97" s="123"/>
      <c r="N97" s="123"/>
      <c r="O97" s="123"/>
      <c r="P97" s="123"/>
    </row>
    <row r="98" spans="1:16" ht="18.75" customHeight="1" x14ac:dyDescent="0.35">
      <c r="A98" s="107">
        <v>96</v>
      </c>
      <c r="B98" s="34">
        <v>2000159</v>
      </c>
      <c r="C98" s="35" t="s">
        <v>413</v>
      </c>
      <c r="D98" s="175">
        <v>0.37</v>
      </c>
      <c r="E98" s="175"/>
      <c r="F98" s="175"/>
      <c r="G98" s="107"/>
      <c r="H98" s="107"/>
      <c r="I98" s="107"/>
      <c r="J98" s="107"/>
      <c r="K98" s="107"/>
      <c r="L98" s="123"/>
      <c r="M98" s="123"/>
      <c r="N98" s="123"/>
      <c r="O98" s="123"/>
      <c r="P98" s="123"/>
    </row>
    <row r="99" spans="1:16" ht="18.75" customHeight="1" x14ac:dyDescent="0.35">
      <c r="A99" s="107">
        <v>97</v>
      </c>
      <c r="B99" s="34">
        <v>2000189</v>
      </c>
      <c r="C99" s="35" t="s">
        <v>414</v>
      </c>
      <c r="D99" s="175">
        <v>0.37</v>
      </c>
      <c r="E99" s="175"/>
      <c r="F99" s="175"/>
      <c r="G99" s="107"/>
      <c r="H99" s="107"/>
      <c r="I99" s="107"/>
      <c r="J99" s="107"/>
      <c r="K99" s="107"/>
      <c r="L99" s="123"/>
      <c r="M99" s="123"/>
      <c r="N99" s="123"/>
      <c r="O99" s="123"/>
      <c r="P99" s="123"/>
    </row>
    <row r="100" spans="1:16" ht="18.75" customHeight="1" x14ac:dyDescent="0.35">
      <c r="A100" s="107">
        <v>98</v>
      </c>
      <c r="B100" s="34">
        <v>2000569</v>
      </c>
      <c r="C100" s="35" t="s">
        <v>415</v>
      </c>
      <c r="D100" s="175">
        <v>0.37</v>
      </c>
      <c r="E100" s="175"/>
      <c r="F100" s="175"/>
      <c r="G100" s="107"/>
      <c r="H100" s="107"/>
      <c r="I100" s="107"/>
      <c r="J100" s="107"/>
      <c r="K100" s="107"/>
      <c r="L100" s="123"/>
      <c r="M100" s="123"/>
      <c r="N100" s="123"/>
      <c r="O100" s="123"/>
      <c r="P100" s="123"/>
    </row>
    <row r="101" spans="1:16" ht="18.75" customHeight="1" x14ac:dyDescent="0.35">
      <c r="A101" s="107">
        <v>99</v>
      </c>
      <c r="B101" s="34">
        <v>2000502</v>
      </c>
      <c r="C101" s="35" t="s">
        <v>416</v>
      </c>
      <c r="D101" s="175">
        <v>0.37</v>
      </c>
      <c r="E101" s="175"/>
      <c r="F101" s="175"/>
      <c r="G101" s="107"/>
      <c r="H101" s="107"/>
      <c r="I101" s="107"/>
      <c r="J101" s="107"/>
      <c r="K101" s="107"/>
      <c r="L101" s="123"/>
      <c r="M101" s="123"/>
      <c r="N101" s="123"/>
      <c r="O101" s="123"/>
      <c r="P101" s="123"/>
    </row>
    <row r="102" spans="1:16" ht="18.75" customHeight="1" x14ac:dyDescent="0.35">
      <c r="A102" s="107">
        <v>100</v>
      </c>
      <c r="B102" s="34">
        <v>2000180</v>
      </c>
      <c r="C102" s="35" t="s">
        <v>417</v>
      </c>
      <c r="D102" s="175">
        <v>0.37</v>
      </c>
      <c r="E102" s="175"/>
      <c r="F102" s="175"/>
      <c r="G102" s="107"/>
      <c r="H102" s="107"/>
      <c r="I102" s="107"/>
      <c r="J102" s="107"/>
      <c r="K102" s="107"/>
      <c r="L102" s="123"/>
      <c r="M102" s="123"/>
      <c r="N102" s="123"/>
      <c r="O102" s="123"/>
      <c r="P102" s="123"/>
    </row>
    <row r="103" spans="1:16" ht="18.75" customHeight="1" x14ac:dyDescent="0.35">
      <c r="A103" s="107">
        <v>101</v>
      </c>
      <c r="B103" s="34">
        <v>2000150</v>
      </c>
      <c r="C103" s="35" t="s">
        <v>418</v>
      </c>
      <c r="D103" s="175">
        <v>0.37</v>
      </c>
      <c r="E103" s="175"/>
      <c r="F103" s="175"/>
      <c r="G103" s="107"/>
      <c r="H103" s="107"/>
      <c r="I103" s="107"/>
      <c r="J103" s="107"/>
      <c r="K103" s="107"/>
      <c r="L103" s="123"/>
      <c r="M103" s="123"/>
      <c r="N103" s="123"/>
      <c r="O103" s="123"/>
      <c r="P103" s="123"/>
    </row>
    <row r="104" spans="1:16" ht="18.75" customHeight="1" x14ac:dyDescent="0.35">
      <c r="A104" s="107">
        <v>102</v>
      </c>
      <c r="B104" s="34">
        <v>2000644</v>
      </c>
      <c r="C104" s="35" t="s">
        <v>419</v>
      </c>
      <c r="D104" s="175">
        <v>0.37</v>
      </c>
      <c r="E104" s="175"/>
      <c r="F104" s="175"/>
      <c r="G104" s="107"/>
      <c r="H104" s="107"/>
      <c r="I104" s="107"/>
      <c r="J104" s="107"/>
      <c r="K104" s="107"/>
      <c r="L104" s="123"/>
      <c r="M104" s="123"/>
      <c r="N104" s="123"/>
      <c r="O104" s="123"/>
      <c r="P104" s="123"/>
    </row>
    <row r="105" spans="1:16" ht="18.75" customHeight="1" x14ac:dyDescent="0.35">
      <c r="A105" s="107">
        <v>103</v>
      </c>
      <c r="B105" s="34">
        <v>2000416</v>
      </c>
      <c r="C105" s="35" t="s">
        <v>420</v>
      </c>
      <c r="D105" s="175">
        <v>0.37</v>
      </c>
      <c r="E105" s="175"/>
      <c r="F105" s="175"/>
      <c r="G105" s="107"/>
      <c r="H105" s="107"/>
      <c r="I105" s="107"/>
      <c r="J105" s="107"/>
      <c r="K105" s="107"/>
      <c r="L105" s="123"/>
      <c r="M105" s="123"/>
      <c r="N105" s="123"/>
      <c r="O105" s="123"/>
      <c r="P105" s="123"/>
    </row>
    <row r="106" spans="1:16" ht="18.75" customHeight="1" x14ac:dyDescent="0.35">
      <c r="A106" s="107">
        <v>104</v>
      </c>
      <c r="B106" s="34">
        <v>2000660</v>
      </c>
      <c r="C106" s="35" t="s">
        <v>520</v>
      </c>
      <c r="D106" s="182">
        <v>0.33</v>
      </c>
      <c r="E106" s="183"/>
      <c r="F106" s="184"/>
      <c r="G106" s="107"/>
      <c r="H106" s="107"/>
      <c r="I106" s="107"/>
      <c r="J106" s="124">
        <v>0.03</v>
      </c>
      <c r="K106" s="107"/>
      <c r="L106" s="123"/>
      <c r="M106" s="123"/>
      <c r="N106" s="123" t="s">
        <v>627</v>
      </c>
      <c r="O106" s="123">
        <v>1</v>
      </c>
      <c r="P106" s="123" t="s">
        <v>619</v>
      </c>
    </row>
    <row r="107" spans="1:16" ht="18.75" customHeight="1" x14ac:dyDescent="0.35">
      <c r="A107" s="107">
        <v>105</v>
      </c>
      <c r="B107" s="34">
        <v>2000539</v>
      </c>
      <c r="C107" s="35" t="s">
        <v>421</v>
      </c>
      <c r="D107" s="175">
        <v>0.37</v>
      </c>
      <c r="E107" s="175"/>
      <c r="F107" s="175"/>
      <c r="G107" s="107"/>
      <c r="H107" s="107"/>
      <c r="I107" s="107"/>
      <c r="J107" s="107"/>
      <c r="K107" s="107"/>
      <c r="L107" s="123"/>
      <c r="M107" s="123"/>
      <c r="N107" s="123"/>
      <c r="O107" s="123"/>
      <c r="P107" s="123"/>
    </row>
    <row r="108" spans="1:16" ht="18.75" customHeight="1" x14ac:dyDescent="0.35">
      <c r="A108" s="107">
        <v>106</v>
      </c>
      <c r="B108" s="34">
        <v>2000459</v>
      </c>
      <c r="C108" s="35" t="s">
        <v>422</v>
      </c>
      <c r="D108" s="175">
        <v>0.37</v>
      </c>
      <c r="E108" s="175"/>
      <c r="F108" s="175"/>
      <c r="G108" s="107"/>
      <c r="H108" s="107"/>
      <c r="I108" s="107"/>
      <c r="J108" s="107"/>
      <c r="K108" s="107"/>
      <c r="L108" s="123"/>
      <c r="M108" s="123"/>
      <c r="N108" s="123"/>
      <c r="O108" s="123"/>
      <c r="P108" s="123"/>
    </row>
    <row r="109" spans="1:16" ht="18.75" customHeight="1" x14ac:dyDescent="0.35">
      <c r="A109" s="107">
        <v>107</v>
      </c>
      <c r="B109" s="34">
        <v>2000141</v>
      </c>
      <c r="C109" s="35" t="s">
        <v>423</v>
      </c>
      <c r="D109" s="175">
        <v>0.37</v>
      </c>
      <c r="E109" s="175"/>
      <c r="F109" s="175"/>
      <c r="G109" s="107"/>
      <c r="H109" s="107"/>
      <c r="I109" s="107"/>
      <c r="J109" s="107"/>
      <c r="K109" s="107"/>
      <c r="L109" s="123"/>
      <c r="M109" s="123"/>
      <c r="N109" s="123"/>
      <c r="O109" s="123"/>
      <c r="P109" s="123"/>
    </row>
    <row r="110" spans="1:16" ht="18.75" customHeight="1" x14ac:dyDescent="0.35">
      <c r="A110" s="107">
        <v>108</v>
      </c>
      <c r="B110" s="34">
        <v>2000414</v>
      </c>
      <c r="C110" s="35" t="s">
        <v>424</v>
      </c>
      <c r="D110" s="175">
        <v>0.37</v>
      </c>
      <c r="E110" s="175"/>
      <c r="F110" s="175"/>
      <c r="G110" s="107"/>
      <c r="H110" s="107"/>
      <c r="I110" s="107"/>
      <c r="J110" s="107"/>
      <c r="K110" s="107"/>
      <c r="L110" s="123"/>
      <c r="M110" s="123"/>
      <c r="N110" s="123"/>
      <c r="O110" s="123"/>
      <c r="P110" s="123"/>
    </row>
    <row r="111" spans="1:16" ht="18.75" customHeight="1" x14ac:dyDescent="0.35">
      <c r="A111" s="107">
        <v>109</v>
      </c>
      <c r="B111" s="34">
        <v>2000662</v>
      </c>
      <c r="C111" s="35" t="s">
        <v>521</v>
      </c>
      <c r="D111" s="175">
        <v>0.33</v>
      </c>
      <c r="E111" s="176"/>
      <c r="F111" s="176"/>
      <c r="G111" s="107"/>
      <c r="H111" s="107"/>
      <c r="I111" s="107"/>
      <c r="J111" s="124">
        <v>0.03</v>
      </c>
      <c r="K111" s="107"/>
      <c r="L111" s="123"/>
      <c r="M111" s="123"/>
      <c r="N111" s="123"/>
      <c r="O111" s="123"/>
      <c r="P111" s="123"/>
    </row>
    <row r="112" spans="1:16" ht="18.75" customHeight="1" x14ac:dyDescent="0.35">
      <c r="A112" s="107">
        <v>110</v>
      </c>
      <c r="B112" s="34">
        <v>2000538</v>
      </c>
      <c r="C112" s="35" t="s">
        <v>425</v>
      </c>
      <c r="D112" s="175">
        <v>0.37</v>
      </c>
      <c r="E112" s="175"/>
      <c r="F112" s="175"/>
      <c r="G112" s="107"/>
      <c r="H112" s="107"/>
      <c r="I112" s="107"/>
      <c r="J112" s="107"/>
      <c r="K112" s="107"/>
      <c r="L112" s="123"/>
      <c r="M112" s="123"/>
      <c r="N112" s="123"/>
      <c r="O112" s="123"/>
      <c r="P112" s="123"/>
    </row>
    <row r="113" spans="1:16" ht="18.75" customHeight="1" x14ac:dyDescent="0.35">
      <c r="A113" s="107">
        <v>111</v>
      </c>
      <c r="B113" s="34">
        <v>2000200</v>
      </c>
      <c r="C113" s="35" t="s">
        <v>426</v>
      </c>
      <c r="D113" s="175">
        <v>0.37</v>
      </c>
      <c r="E113" s="175"/>
      <c r="F113" s="175"/>
      <c r="G113" s="107"/>
      <c r="H113" s="107"/>
      <c r="I113" s="107"/>
      <c r="J113" s="107"/>
      <c r="K113" s="107"/>
      <c r="L113" s="123"/>
      <c r="M113" s="123"/>
      <c r="N113" s="123"/>
      <c r="O113" s="123"/>
      <c r="P113" s="123"/>
    </row>
    <row r="114" spans="1:16" ht="18.75" customHeight="1" x14ac:dyDescent="0.35">
      <c r="A114" s="107">
        <v>112</v>
      </c>
      <c r="B114" s="34">
        <v>2000591</v>
      </c>
      <c r="C114" s="35" t="s">
        <v>427</v>
      </c>
      <c r="D114" s="175">
        <v>0.37</v>
      </c>
      <c r="E114" s="175"/>
      <c r="F114" s="175"/>
      <c r="G114" s="107"/>
      <c r="H114" s="107"/>
      <c r="I114" s="107"/>
      <c r="J114" s="107"/>
      <c r="K114" s="107"/>
      <c r="L114" s="123"/>
      <c r="M114" s="123"/>
      <c r="N114" s="123"/>
      <c r="O114" s="123"/>
      <c r="P114" s="123"/>
    </row>
    <row r="115" spans="1:16" ht="18.75" customHeight="1" x14ac:dyDescent="0.35">
      <c r="A115" s="107">
        <v>113</v>
      </c>
      <c r="B115" s="34">
        <v>2000667</v>
      </c>
      <c r="C115" s="35" t="s">
        <v>597</v>
      </c>
      <c r="D115" s="175">
        <v>0.35</v>
      </c>
      <c r="E115" s="176"/>
      <c r="F115" s="176"/>
      <c r="G115" s="107"/>
      <c r="H115" s="107"/>
      <c r="I115" s="107"/>
      <c r="J115" s="124"/>
      <c r="K115" s="107"/>
      <c r="L115" s="123"/>
      <c r="M115" s="123"/>
      <c r="N115" s="123"/>
      <c r="O115" s="123"/>
      <c r="P115" s="123"/>
    </row>
    <row r="116" spans="1:16" ht="18.75" customHeight="1" x14ac:dyDescent="0.35">
      <c r="A116" s="107">
        <v>114</v>
      </c>
      <c r="B116" s="34">
        <v>2000639</v>
      </c>
      <c r="C116" s="35" t="s">
        <v>428</v>
      </c>
      <c r="D116" s="175">
        <v>0.37</v>
      </c>
      <c r="E116" s="175"/>
      <c r="F116" s="175"/>
      <c r="G116" s="107"/>
      <c r="H116" s="107"/>
      <c r="I116" s="107"/>
      <c r="J116" s="107"/>
      <c r="K116" s="107"/>
      <c r="L116" s="123"/>
      <c r="M116" s="123"/>
      <c r="N116" s="123" t="s">
        <v>635</v>
      </c>
      <c r="O116" s="123">
        <v>1</v>
      </c>
      <c r="P116" s="123" t="s">
        <v>619</v>
      </c>
    </row>
    <row r="117" spans="1:16" ht="18.75" customHeight="1" x14ac:dyDescent="0.35">
      <c r="A117" s="107">
        <v>115</v>
      </c>
      <c r="B117" s="34">
        <v>2000645</v>
      </c>
      <c r="C117" s="35" t="s">
        <v>429</v>
      </c>
      <c r="D117" s="175">
        <v>0.37</v>
      </c>
      <c r="E117" s="175"/>
      <c r="F117" s="175"/>
      <c r="G117" s="107"/>
      <c r="H117" s="107"/>
      <c r="I117" s="107"/>
      <c r="J117" s="107"/>
      <c r="K117" s="107"/>
      <c r="L117" s="123"/>
      <c r="M117" s="123"/>
      <c r="N117" s="123"/>
      <c r="O117" s="123"/>
      <c r="P117" s="123"/>
    </row>
    <row r="118" spans="1:16" ht="18.75" customHeight="1" x14ac:dyDescent="0.35">
      <c r="A118" s="107">
        <v>116</v>
      </c>
      <c r="B118" s="34">
        <v>2000558</v>
      </c>
      <c r="C118" s="35" t="s">
        <v>430</v>
      </c>
      <c r="D118" s="175">
        <v>0.37</v>
      </c>
      <c r="E118" s="175"/>
      <c r="F118" s="175"/>
      <c r="G118" s="107"/>
      <c r="H118" s="107"/>
      <c r="I118" s="107"/>
      <c r="J118" s="107"/>
      <c r="K118" s="107"/>
      <c r="L118" s="123"/>
      <c r="M118" s="123"/>
      <c r="N118" s="123"/>
      <c r="O118" s="123"/>
      <c r="P118" s="123"/>
    </row>
    <row r="119" spans="1:16" ht="18.75" customHeight="1" x14ac:dyDescent="0.35">
      <c r="A119" s="107">
        <v>117</v>
      </c>
      <c r="B119" s="34">
        <v>2000696</v>
      </c>
      <c r="C119" s="35" t="s">
        <v>431</v>
      </c>
      <c r="D119" s="175">
        <v>0.37</v>
      </c>
      <c r="E119" s="175"/>
      <c r="F119" s="175"/>
      <c r="G119" s="107"/>
      <c r="H119" s="107"/>
      <c r="I119" s="107"/>
      <c r="J119" s="107"/>
      <c r="K119" s="107"/>
      <c r="L119" s="123"/>
      <c r="M119" s="123"/>
      <c r="N119" s="123" t="s">
        <v>626</v>
      </c>
      <c r="O119" s="123">
        <v>2</v>
      </c>
      <c r="P119" s="123" t="s">
        <v>638</v>
      </c>
    </row>
    <row r="120" spans="1:16" ht="18.75" customHeight="1" x14ac:dyDescent="0.35">
      <c r="A120" s="107">
        <v>118</v>
      </c>
      <c r="B120" s="34">
        <v>2000531</v>
      </c>
      <c r="C120" s="35" t="s">
        <v>432</v>
      </c>
      <c r="D120" s="175">
        <v>0.37</v>
      </c>
      <c r="E120" s="175"/>
      <c r="F120" s="175"/>
      <c r="G120" s="107"/>
      <c r="H120" s="107"/>
      <c r="I120" s="107"/>
      <c r="J120" s="107"/>
      <c r="K120" s="107"/>
      <c r="L120" s="123"/>
      <c r="M120" s="123"/>
      <c r="N120" s="123"/>
      <c r="O120" s="123"/>
      <c r="P120" s="123"/>
    </row>
    <row r="121" spans="1:16" ht="18.75" customHeight="1" x14ac:dyDescent="0.35">
      <c r="A121" s="107">
        <v>119</v>
      </c>
      <c r="B121" s="34">
        <v>2000425</v>
      </c>
      <c r="C121" s="35" t="s">
        <v>433</v>
      </c>
      <c r="D121" s="175">
        <v>0.37</v>
      </c>
      <c r="E121" s="175"/>
      <c r="F121" s="175"/>
      <c r="G121" s="107"/>
      <c r="H121" s="107"/>
      <c r="I121" s="107"/>
      <c r="J121" s="107"/>
      <c r="K121" s="107"/>
      <c r="L121" s="123"/>
      <c r="M121" s="123"/>
      <c r="N121" s="123" t="s">
        <v>621</v>
      </c>
      <c r="O121" s="123">
        <v>2</v>
      </c>
      <c r="P121" s="123" t="s">
        <v>619</v>
      </c>
    </row>
    <row r="122" spans="1:16" ht="18.75" customHeight="1" x14ac:dyDescent="0.35">
      <c r="A122" s="107">
        <v>120</v>
      </c>
      <c r="B122" s="34">
        <v>2000451</v>
      </c>
      <c r="C122" s="35" t="s">
        <v>434</v>
      </c>
      <c r="D122" s="175">
        <v>0.37</v>
      </c>
      <c r="E122" s="175"/>
      <c r="F122" s="175"/>
      <c r="G122" s="107"/>
      <c r="H122" s="107"/>
      <c r="I122" s="107"/>
      <c r="J122" s="107"/>
      <c r="K122" s="107"/>
      <c r="L122" s="123"/>
      <c r="M122" s="123"/>
      <c r="N122" s="123"/>
      <c r="O122" s="123"/>
      <c r="P122" s="123"/>
    </row>
    <row r="123" spans="1:16" ht="18.75" customHeight="1" x14ac:dyDescent="0.35">
      <c r="A123" s="107">
        <v>121</v>
      </c>
      <c r="B123" s="34">
        <v>2000570</v>
      </c>
      <c r="C123" s="35" t="s">
        <v>435</v>
      </c>
      <c r="D123" s="175">
        <v>0.37</v>
      </c>
      <c r="E123" s="175"/>
      <c r="F123" s="175"/>
      <c r="G123" s="107"/>
      <c r="H123" s="107"/>
      <c r="I123" s="107"/>
      <c r="J123" s="107"/>
      <c r="K123" s="107"/>
      <c r="L123" s="123"/>
      <c r="M123" s="123"/>
      <c r="N123" s="123"/>
      <c r="O123" s="123"/>
      <c r="P123" s="123"/>
    </row>
    <row r="124" spans="1:16" ht="18.75" customHeight="1" x14ac:dyDescent="0.35">
      <c r="A124" s="107">
        <v>122</v>
      </c>
      <c r="B124" s="34">
        <v>2000242</v>
      </c>
      <c r="C124" s="35" t="s">
        <v>436</v>
      </c>
      <c r="D124" s="175">
        <v>0.37</v>
      </c>
      <c r="E124" s="175"/>
      <c r="F124" s="175"/>
      <c r="G124" s="107"/>
      <c r="H124" s="107"/>
      <c r="I124" s="107"/>
      <c r="J124" s="107"/>
      <c r="K124" s="107"/>
      <c r="L124" s="123"/>
      <c r="M124" s="123"/>
      <c r="N124" s="123"/>
      <c r="O124" s="123"/>
      <c r="P124" s="123"/>
    </row>
    <row r="125" spans="1:16" ht="18.75" customHeight="1" x14ac:dyDescent="0.35">
      <c r="A125" s="107">
        <v>123</v>
      </c>
      <c r="B125" s="34">
        <v>2000458</v>
      </c>
      <c r="C125" s="35" t="s">
        <v>437</v>
      </c>
      <c r="D125" s="175">
        <v>0.37</v>
      </c>
      <c r="E125" s="175"/>
      <c r="F125" s="175"/>
      <c r="G125" s="107"/>
      <c r="H125" s="107"/>
      <c r="I125" s="107"/>
      <c r="J125" s="107"/>
      <c r="K125" s="107"/>
      <c r="L125" s="123"/>
      <c r="M125" s="123"/>
      <c r="N125" s="123"/>
      <c r="O125" s="123"/>
      <c r="P125" s="123"/>
    </row>
    <row r="126" spans="1:16" ht="18.75" customHeight="1" x14ac:dyDescent="0.35">
      <c r="A126" s="107">
        <v>124</v>
      </c>
      <c r="B126" s="34">
        <v>2000661</v>
      </c>
      <c r="C126" s="35" t="s">
        <v>522</v>
      </c>
      <c r="D126" s="175">
        <v>0.33</v>
      </c>
      <c r="E126" s="176"/>
      <c r="F126" s="176"/>
      <c r="G126" s="107"/>
      <c r="H126" s="107"/>
      <c r="I126" s="107"/>
      <c r="J126" s="124">
        <v>0.03</v>
      </c>
      <c r="K126" s="107"/>
      <c r="L126" s="123"/>
      <c r="M126" s="123"/>
      <c r="N126" s="123" t="s">
        <v>629</v>
      </c>
      <c r="O126" s="123">
        <v>1</v>
      </c>
      <c r="P126" s="123" t="s">
        <v>619</v>
      </c>
    </row>
    <row r="127" spans="1:16" ht="18.75" customHeight="1" x14ac:dyDescent="0.35">
      <c r="A127" s="107">
        <v>125</v>
      </c>
      <c r="B127" s="34">
        <v>2000607</v>
      </c>
      <c r="C127" s="35" t="s">
        <v>438</v>
      </c>
      <c r="D127" s="175">
        <v>0.37</v>
      </c>
      <c r="E127" s="175"/>
      <c r="F127" s="175"/>
      <c r="G127" s="107"/>
      <c r="H127" s="107"/>
      <c r="I127" s="107"/>
      <c r="J127" s="107"/>
      <c r="K127" s="107"/>
      <c r="L127" s="123"/>
      <c r="M127" s="123"/>
      <c r="N127" s="123"/>
      <c r="O127" s="123"/>
      <c r="P127" s="123"/>
    </row>
    <row r="128" spans="1:16" ht="18.75" customHeight="1" x14ac:dyDescent="0.35">
      <c r="A128" s="107">
        <v>126</v>
      </c>
      <c r="B128" s="34">
        <v>2000278</v>
      </c>
      <c r="C128" s="35" t="s">
        <v>439</v>
      </c>
      <c r="D128" s="175">
        <v>0.37</v>
      </c>
      <c r="E128" s="175"/>
      <c r="F128" s="175"/>
      <c r="G128" s="107"/>
      <c r="H128" s="107"/>
      <c r="I128" s="107"/>
      <c r="J128" s="107"/>
      <c r="K128" s="107"/>
      <c r="L128" s="123"/>
      <c r="M128" s="123"/>
      <c r="N128" s="123" t="s">
        <v>628</v>
      </c>
      <c r="O128" s="123">
        <v>1</v>
      </c>
      <c r="P128" s="123" t="s">
        <v>619</v>
      </c>
    </row>
    <row r="129" spans="1:16" ht="18.75" customHeight="1" x14ac:dyDescent="0.35">
      <c r="A129" s="107">
        <v>127</v>
      </c>
      <c r="B129" s="34">
        <v>2000554</v>
      </c>
      <c r="C129" s="35" t="s">
        <v>440</v>
      </c>
      <c r="D129" s="175">
        <v>0.37</v>
      </c>
      <c r="E129" s="175"/>
      <c r="F129" s="175"/>
      <c r="G129" s="107"/>
      <c r="H129" s="107"/>
      <c r="I129" s="107"/>
      <c r="J129" s="107"/>
      <c r="K129" s="107"/>
      <c r="L129" s="123"/>
      <c r="M129" s="123"/>
      <c r="N129" s="123"/>
      <c r="O129" s="123"/>
      <c r="P129" s="123"/>
    </row>
    <row r="130" spans="1:16" ht="18.75" customHeight="1" x14ac:dyDescent="0.35">
      <c r="A130" s="107">
        <v>128</v>
      </c>
      <c r="B130" s="34">
        <v>2000600</v>
      </c>
      <c r="C130" s="35" t="s">
        <v>598</v>
      </c>
      <c r="D130" s="182">
        <v>0.33</v>
      </c>
      <c r="E130" s="183"/>
      <c r="F130" s="184"/>
      <c r="G130" s="107"/>
      <c r="H130" s="107"/>
      <c r="I130" s="107"/>
      <c r="J130" s="107"/>
      <c r="K130" s="107"/>
      <c r="L130" s="123"/>
      <c r="M130" s="123"/>
      <c r="N130" s="123"/>
      <c r="O130" s="123"/>
      <c r="P130" s="123"/>
    </row>
    <row r="131" spans="1:16" ht="18.75" customHeight="1" x14ac:dyDescent="0.35">
      <c r="A131" s="107">
        <v>129</v>
      </c>
      <c r="B131" s="34">
        <v>2000454</v>
      </c>
      <c r="C131" s="35" t="s">
        <v>441</v>
      </c>
      <c r="D131" s="175">
        <v>0.37</v>
      </c>
      <c r="E131" s="175"/>
      <c r="F131" s="175"/>
      <c r="G131" s="107"/>
      <c r="H131" s="107"/>
      <c r="I131" s="107"/>
      <c r="J131" s="107"/>
      <c r="K131" s="107"/>
      <c r="L131" s="123"/>
      <c r="M131" s="123"/>
      <c r="N131" s="123"/>
      <c r="O131" s="123"/>
      <c r="P131" s="123"/>
    </row>
    <row r="132" spans="1:16" ht="18.75" customHeight="1" x14ac:dyDescent="0.35">
      <c r="A132" s="107">
        <v>130</v>
      </c>
      <c r="B132" s="34">
        <v>2000680</v>
      </c>
      <c r="C132" s="35" t="s">
        <v>523</v>
      </c>
      <c r="D132" s="175">
        <v>0.33</v>
      </c>
      <c r="E132" s="176"/>
      <c r="F132" s="176"/>
      <c r="G132" s="107"/>
      <c r="H132" s="107"/>
      <c r="I132" s="107"/>
      <c r="J132" s="124">
        <v>0.03</v>
      </c>
      <c r="K132" s="107"/>
      <c r="L132" s="123"/>
      <c r="M132" s="123"/>
      <c r="N132" s="123"/>
      <c r="O132" s="123"/>
      <c r="P132" s="123"/>
    </row>
    <row r="133" spans="1:16" ht="18.75" customHeight="1" x14ac:dyDescent="0.35">
      <c r="A133" s="107">
        <v>131</v>
      </c>
      <c r="B133" s="34">
        <v>2000430</v>
      </c>
      <c r="C133" s="35" t="s">
        <v>442</v>
      </c>
      <c r="D133" s="175">
        <v>0.37</v>
      </c>
      <c r="E133" s="175"/>
      <c r="F133" s="175"/>
      <c r="G133" s="107"/>
      <c r="H133" s="107"/>
      <c r="I133" s="107"/>
      <c r="J133" s="107"/>
      <c r="K133" s="107"/>
      <c r="L133" s="123"/>
      <c r="M133" s="123"/>
      <c r="N133" s="123"/>
      <c r="O133" s="123"/>
      <c r="P133" s="123"/>
    </row>
    <row r="134" spans="1:16" ht="18.75" customHeight="1" x14ac:dyDescent="0.35">
      <c r="A134" s="107">
        <v>132</v>
      </c>
      <c r="B134" s="34">
        <v>2000536</v>
      </c>
      <c r="C134" s="35" t="s">
        <v>443</v>
      </c>
      <c r="D134" s="175">
        <v>0.37</v>
      </c>
      <c r="E134" s="175"/>
      <c r="F134" s="175"/>
      <c r="G134" s="107"/>
      <c r="H134" s="107"/>
      <c r="I134" s="107"/>
      <c r="J134" s="107"/>
      <c r="K134" s="107"/>
      <c r="L134" s="123"/>
      <c r="M134" s="123"/>
      <c r="N134" s="123"/>
      <c r="O134" s="123"/>
      <c r="P134" s="123"/>
    </row>
    <row r="135" spans="1:16" ht="18.75" customHeight="1" x14ac:dyDescent="0.35">
      <c r="A135" s="107">
        <v>133</v>
      </c>
      <c r="B135" s="34">
        <v>2000380</v>
      </c>
      <c r="C135" s="35" t="s">
        <v>444</v>
      </c>
      <c r="D135" s="175">
        <v>0.37</v>
      </c>
      <c r="E135" s="175"/>
      <c r="F135" s="175"/>
      <c r="G135" s="107"/>
      <c r="H135" s="107"/>
      <c r="I135" s="107"/>
      <c r="J135" s="107"/>
      <c r="K135" s="107"/>
      <c r="L135" s="123"/>
      <c r="M135" s="123"/>
      <c r="N135" s="123"/>
      <c r="O135" s="123"/>
      <c r="P135" s="123"/>
    </row>
    <row r="136" spans="1:16" ht="18.75" customHeight="1" x14ac:dyDescent="0.35">
      <c r="A136" s="107">
        <v>134</v>
      </c>
      <c r="B136" s="34">
        <v>2000693</v>
      </c>
      <c r="C136" s="35" t="s">
        <v>445</v>
      </c>
      <c r="D136" s="175">
        <v>0.37</v>
      </c>
      <c r="E136" s="175"/>
      <c r="F136" s="175"/>
      <c r="G136" s="107"/>
      <c r="H136" s="107"/>
      <c r="I136" s="107"/>
      <c r="J136" s="107"/>
      <c r="K136" s="107"/>
      <c r="L136" s="123"/>
      <c r="M136" s="123"/>
      <c r="N136" s="123"/>
      <c r="O136" s="123"/>
      <c r="P136" s="123"/>
    </row>
    <row r="137" spans="1:16" ht="18.75" customHeight="1" x14ac:dyDescent="0.35">
      <c r="A137" s="107">
        <v>135</v>
      </c>
      <c r="B137" s="34">
        <v>2000417</v>
      </c>
      <c r="C137" s="35" t="s">
        <v>446</v>
      </c>
      <c r="D137" s="175">
        <v>0.37</v>
      </c>
      <c r="E137" s="175"/>
      <c r="F137" s="175"/>
      <c r="G137" s="107"/>
      <c r="H137" s="107"/>
      <c r="I137" s="107"/>
      <c r="J137" s="107"/>
      <c r="K137" s="107"/>
      <c r="L137" s="123"/>
      <c r="M137" s="123"/>
      <c r="N137" s="123"/>
      <c r="O137" s="123"/>
      <c r="P137" s="123"/>
    </row>
    <row r="138" spans="1:16" ht="18.75" customHeight="1" x14ac:dyDescent="0.35">
      <c r="A138" s="107">
        <v>136</v>
      </c>
      <c r="B138" s="34">
        <v>2000622</v>
      </c>
      <c r="C138" s="35" t="s">
        <v>447</v>
      </c>
      <c r="D138" s="175">
        <v>0.37</v>
      </c>
      <c r="E138" s="175"/>
      <c r="F138" s="175"/>
      <c r="G138" s="107"/>
      <c r="H138" s="107"/>
      <c r="I138" s="107"/>
      <c r="J138" s="107"/>
      <c r="K138" s="107"/>
      <c r="L138" s="123"/>
      <c r="M138" s="123"/>
      <c r="N138" s="123"/>
      <c r="O138" s="123"/>
      <c r="P138" s="123"/>
    </row>
    <row r="139" spans="1:16" ht="18.75" customHeight="1" x14ac:dyDescent="0.35">
      <c r="A139" s="107">
        <v>137</v>
      </c>
      <c r="B139" s="34">
        <v>2000599</v>
      </c>
      <c r="C139" s="35" t="s">
        <v>448</v>
      </c>
      <c r="D139" s="175">
        <v>0.37</v>
      </c>
      <c r="E139" s="175"/>
      <c r="F139" s="175"/>
      <c r="G139" s="107"/>
      <c r="H139" s="107"/>
      <c r="I139" s="107"/>
      <c r="J139" s="107"/>
      <c r="K139" s="107"/>
      <c r="L139" s="123"/>
      <c r="M139" s="123"/>
      <c r="N139" s="123"/>
      <c r="O139" s="123"/>
      <c r="P139" s="123"/>
    </row>
    <row r="140" spans="1:16" ht="18.75" customHeight="1" x14ac:dyDescent="0.35">
      <c r="A140" s="107">
        <v>138</v>
      </c>
      <c r="B140" s="34">
        <v>2000550</v>
      </c>
      <c r="C140" s="35" t="s">
        <v>524</v>
      </c>
      <c r="D140" s="175">
        <v>0.33</v>
      </c>
      <c r="E140" s="176"/>
      <c r="F140" s="176"/>
      <c r="G140" s="107"/>
      <c r="H140" s="107"/>
      <c r="I140" s="107"/>
      <c r="J140" s="124">
        <v>0.03</v>
      </c>
      <c r="K140" s="107"/>
      <c r="L140" s="123"/>
      <c r="M140" s="123"/>
      <c r="N140" s="123"/>
      <c r="O140" s="123"/>
      <c r="P140" s="123"/>
    </row>
    <row r="141" spans="1:16" ht="18.75" customHeight="1" x14ac:dyDescent="0.35">
      <c r="A141" s="107">
        <v>139</v>
      </c>
      <c r="B141" s="34">
        <v>2000586</v>
      </c>
      <c r="C141" s="35" t="s">
        <v>449</v>
      </c>
      <c r="D141" s="175">
        <v>0.37</v>
      </c>
      <c r="E141" s="175"/>
      <c r="F141" s="175"/>
      <c r="G141" s="107"/>
      <c r="H141" s="107"/>
      <c r="I141" s="107"/>
      <c r="J141" s="107"/>
      <c r="K141" s="107"/>
      <c r="L141" s="123"/>
      <c r="M141" s="123"/>
      <c r="N141" s="123" t="s">
        <v>622</v>
      </c>
      <c r="O141" s="123">
        <v>1</v>
      </c>
      <c r="P141" s="123" t="s">
        <v>619</v>
      </c>
    </row>
    <row r="142" spans="1:16" ht="18.75" customHeight="1" x14ac:dyDescent="0.35">
      <c r="A142" s="107">
        <v>140</v>
      </c>
      <c r="B142" s="34">
        <v>2000442</v>
      </c>
      <c r="C142" s="35" t="s">
        <v>450</v>
      </c>
      <c r="D142" s="175">
        <v>0.37</v>
      </c>
      <c r="E142" s="175"/>
      <c r="F142" s="175"/>
      <c r="G142" s="107"/>
      <c r="H142" s="107"/>
      <c r="I142" s="107"/>
      <c r="J142" s="107"/>
      <c r="K142" s="107"/>
      <c r="L142" s="123"/>
      <c r="M142" s="123"/>
      <c r="N142" s="123"/>
      <c r="O142" s="123"/>
      <c r="P142" s="123"/>
    </row>
    <row r="143" spans="1:16" ht="18.75" customHeight="1" x14ac:dyDescent="0.35">
      <c r="A143" s="107">
        <v>141</v>
      </c>
      <c r="B143" s="34">
        <v>2000149</v>
      </c>
      <c r="C143" s="35" t="s">
        <v>451</v>
      </c>
      <c r="D143" s="175">
        <v>0.37</v>
      </c>
      <c r="E143" s="175"/>
      <c r="F143" s="175"/>
      <c r="G143" s="107"/>
      <c r="H143" s="107"/>
      <c r="I143" s="107"/>
      <c r="J143" s="107"/>
      <c r="K143" s="107"/>
      <c r="L143" s="123"/>
      <c r="M143" s="123"/>
      <c r="N143" s="123"/>
      <c r="O143" s="123"/>
      <c r="P143" s="123"/>
    </row>
    <row r="144" spans="1:16" ht="18.75" customHeight="1" x14ac:dyDescent="0.35">
      <c r="A144" s="107">
        <v>142</v>
      </c>
      <c r="B144" s="34">
        <v>2000560</v>
      </c>
      <c r="C144" s="35" t="s">
        <v>452</v>
      </c>
      <c r="D144" s="175">
        <v>0.37</v>
      </c>
      <c r="E144" s="175"/>
      <c r="F144" s="175"/>
      <c r="G144" s="107"/>
      <c r="H144" s="107"/>
      <c r="I144" s="107"/>
      <c r="J144" s="107"/>
      <c r="K144" s="107"/>
      <c r="L144" s="123"/>
      <c r="M144" s="123"/>
      <c r="N144" s="123"/>
      <c r="O144" s="123"/>
      <c r="P144" s="123"/>
    </row>
    <row r="145" spans="1:16" ht="18.75" customHeight="1" x14ac:dyDescent="0.35">
      <c r="A145" s="107">
        <v>143</v>
      </c>
      <c r="B145" s="34">
        <v>2000630</v>
      </c>
      <c r="C145" s="35" t="s">
        <v>599</v>
      </c>
      <c r="D145" s="175">
        <v>0.33</v>
      </c>
      <c r="E145" s="176"/>
      <c r="F145" s="124">
        <v>0.37</v>
      </c>
      <c r="G145" s="107"/>
      <c r="H145" s="107"/>
      <c r="I145" s="107"/>
      <c r="J145" s="124">
        <v>0.03</v>
      </c>
      <c r="K145" s="107"/>
      <c r="L145" s="123"/>
      <c r="M145" s="123"/>
      <c r="N145" s="123"/>
      <c r="O145" s="123"/>
      <c r="P145" s="123"/>
    </row>
    <row r="146" spans="1:16" ht="18.75" customHeight="1" x14ac:dyDescent="0.35">
      <c r="A146" s="107">
        <v>144</v>
      </c>
      <c r="B146" s="34">
        <v>2000371</v>
      </c>
      <c r="C146" s="35" t="s">
        <v>453</v>
      </c>
      <c r="D146" s="175">
        <v>0.37</v>
      </c>
      <c r="E146" s="175"/>
      <c r="F146" s="175"/>
      <c r="G146" s="107"/>
      <c r="H146" s="107"/>
      <c r="I146" s="107"/>
      <c r="J146" s="107"/>
      <c r="K146" s="107"/>
      <c r="L146" s="123"/>
      <c r="M146" s="123"/>
      <c r="N146" s="123"/>
      <c r="O146" s="123"/>
      <c r="P146" s="123"/>
    </row>
    <row r="147" spans="1:16" ht="18.75" customHeight="1" x14ac:dyDescent="0.35">
      <c r="A147" s="107">
        <v>145</v>
      </c>
      <c r="B147" s="34">
        <v>2000471</v>
      </c>
      <c r="C147" s="35" t="s">
        <v>454</v>
      </c>
      <c r="D147" s="175">
        <v>0.37</v>
      </c>
      <c r="E147" s="175"/>
      <c r="F147" s="175"/>
      <c r="G147" s="107"/>
      <c r="H147" s="107"/>
      <c r="I147" s="107"/>
      <c r="J147" s="107"/>
      <c r="K147" s="107"/>
      <c r="L147" s="123"/>
      <c r="M147" s="123"/>
      <c r="N147" s="123" t="s">
        <v>618</v>
      </c>
      <c r="O147" s="123">
        <v>2</v>
      </c>
      <c r="P147" s="123" t="s">
        <v>619</v>
      </c>
    </row>
    <row r="148" spans="1:16" ht="18.75" customHeight="1" x14ac:dyDescent="0.35">
      <c r="A148" s="107">
        <v>146</v>
      </c>
      <c r="B148" s="34">
        <v>2000488</v>
      </c>
      <c r="C148" s="35" t="s">
        <v>455</v>
      </c>
      <c r="D148" s="175">
        <v>0.37</v>
      </c>
      <c r="E148" s="175"/>
      <c r="F148" s="175"/>
      <c r="G148" s="107"/>
      <c r="H148" s="107"/>
      <c r="I148" s="107"/>
      <c r="J148" s="107"/>
      <c r="K148" s="107"/>
      <c r="L148" s="123"/>
      <c r="M148" s="123"/>
      <c r="N148" s="123"/>
      <c r="O148" s="123"/>
      <c r="P148" s="123"/>
    </row>
    <row r="149" spans="1:16" ht="18.75" customHeight="1" x14ac:dyDescent="0.35">
      <c r="A149" s="107">
        <v>147</v>
      </c>
      <c r="B149" s="34">
        <v>2000245</v>
      </c>
      <c r="C149" s="35" t="s">
        <v>456</v>
      </c>
      <c r="D149" s="175">
        <v>0.37</v>
      </c>
      <c r="E149" s="175"/>
      <c r="F149" s="175"/>
      <c r="G149" s="107"/>
      <c r="H149" s="107"/>
      <c r="I149" s="107"/>
      <c r="J149" s="107"/>
      <c r="K149" s="107"/>
      <c r="L149" s="123"/>
      <c r="M149" s="123"/>
      <c r="N149" s="123"/>
      <c r="O149" s="123"/>
      <c r="P149" s="123"/>
    </row>
    <row r="150" spans="1:16" ht="18.75" customHeight="1" x14ac:dyDescent="0.35">
      <c r="A150" s="107">
        <v>148</v>
      </c>
      <c r="B150" s="34">
        <v>2000573</v>
      </c>
      <c r="C150" s="35" t="s">
        <v>457</v>
      </c>
      <c r="D150" s="175">
        <v>0.37</v>
      </c>
      <c r="E150" s="175"/>
      <c r="F150" s="175"/>
      <c r="G150" s="107"/>
      <c r="H150" s="107"/>
      <c r="I150" s="107"/>
      <c r="J150" s="107"/>
      <c r="K150" s="107"/>
      <c r="L150" s="123"/>
      <c r="M150" s="123"/>
      <c r="N150" s="123"/>
      <c r="O150" s="123"/>
      <c r="P150" s="123"/>
    </row>
    <row r="151" spans="1:16" ht="18.75" customHeight="1" x14ac:dyDescent="0.35">
      <c r="A151" s="107">
        <v>149</v>
      </c>
      <c r="B151" s="34">
        <v>2000532</v>
      </c>
      <c r="C151" s="35" t="s">
        <v>458</v>
      </c>
      <c r="D151" s="175">
        <v>0.37</v>
      </c>
      <c r="E151" s="175"/>
      <c r="F151" s="175"/>
      <c r="G151" s="107"/>
      <c r="H151" s="107"/>
      <c r="I151" s="107"/>
      <c r="J151" s="107"/>
      <c r="K151" s="107"/>
      <c r="L151" s="123"/>
      <c r="M151" s="123"/>
      <c r="N151" s="123"/>
      <c r="O151" s="123"/>
      <c r="P151" s="123"/>
    </row>
    <row r="152" spans="1:16" ht="18.75" customHeight="1" x14ac:dyDescent="0.35">
      <c r="A152" s="107">
        <v>150</v>
      </c>
      <c r="B152" s="34">
        <v>2000659</v>
      </c>
      <c r="C152" s="35" t="s">
        <v>600</v>
      </c>
      <c r="D152" s="123"/>
      <c r="E152" s="123"/>
      <c r="F152" s="123"/>
      <c r="G152" s="107"/>
      <c r="H152" s="107"/>
      <c r="I152" s="107"/>
      <c r="J152" s="107"/>
      <c r="K152" s="107"/>
      <c r="L152" s="123"/>
      <c r="M152" s="123"/>
      <c r="N152" s="123"/>
      <c r="O152" s="123"/>
      <c r="P152" s="123"/>
    </row>
    <row r="153" spans="1:16" ht="18.75" customHeight="1" x14ac:dyDescent="0.35">
      <c r="A153" s="107">
        <v>151</v>
      </c>
      <c r="B153" s="34">
        <v>2000663</v>
      </c>
      <c r="C153" s="35" t="s">
        <v>525</v>
      </c>
      <c r="D153" s="175">
        <v>0.33</v>
      </c>
      <c r="E153" s="176"/>
      <c r="F153" s="176"/>
      <c r="G153" s="107"/>
      <c r="H153" s="107"/>
      <c r="I153" s="107"/>
      <c r="J153" s="124">
        <v>0.03</v>
      </c>
      <c r="K153" s="107"/>
      <c r="L153" s="123"/>
      <c r="M153" s="123"/>
      <c r="N153" s="123"/>
      <c r="O153" s="123"/>
      <c r="P153" s="123"/>
    </row>
    <row r="154" spans="1:16" ht="18.75" customHeight="1" x14ac:dyDescent="0.35">
      <c r="A154" s="107">
        <v>152</v>
      </c>
      <c r="B154" s="34">
        <v>2000673</v>
      </c>
      <c r="C154" s="35" t="s">
        <v>459</v>
      </c>
      <c r="D154" s="175">
        <v>0.37</v>
      </c>
      <c r="E154" s="175"/>
      <c r="F154" s="175"/>
      <c r="G154" s="107"/>
      <c r="H154" s="107"/>
      <c r="I154" s="107"/>
      <c r="J154" s="107"/>
      <c r="K154" s="107"/>
      <c r="L154" s="123"/>
      <c r="M154" s="123"/>
      <c r="N154" s="123"/>
      <c r="O154" s="123"/>
      <c r="P154" s="123"/>
    </row>
    <row r="155" spans="1:16" ht="18.75" customHeight="1" x14ac:dyDescent="0.35">
      <c r="A155" s="107">
        <v>153</v>
      </c>
      <c r="B155" s="34">
        <v>2000697</v>
      </c>
      <c r="C155" s="35" t="s">
        <v>460</v>
      </c>
      <c r="D155" s="175">
        <v>0.37</v>
      </c>
      <c r="E155" s="175"/>
      <c r="F155" s="175"/>
      <c r="G155" s="107"/>
      <c r="H155" s="107"/>
      <c r="I155" s="107"/>
      <c r="J155" s="107"/>
      <c r="K155" s="107"/>
      <c r="L155" s="123"/>
      <c r="M155" s="123"/>
      <c r="N155" s="123"/>
      <c r="O155" s="123"/>
      <c r="P155" s="123"/>
    </row>
    <row r="156" spans="1:16" ht="18.75" customHeight="1" x14ac:dyDescent="0.35">
      <c r="A156" s="107">
        <v>154</v>
      </c>
      <c r="B156" s="34">
        <v>2000520</v>
      </c>
      <c r="C156" s="35" t="s">
        <v>461</v>
      </c>
      <c r="D156" s="175">
        <v>0.37</v>
      </c>
      <c r="E156" s="175"/>
      <c r="F156" s="175"/>
      <c r="G156" s="107"/>
      <c r="H156" s="107"/>
      <c r="I156" s="107"/>
      <c r="J156" s="107"/>
      <c r="K156" s="107"/>
      <c r="L156" s="123"/>
      <c r="M156" s="123"/>
      <c r="N156" s="123"/>
      <c r="O156" s="123"/>
      <c r="P156" s="123"/>
    </row>
    <row r="157" spans="1:16" ht="18.75" customHeight="1" x14ac:dyDescent="0.35">
      <c r="A157" s="107">
        <v>155</v>
      </c>
      <c r="B157" s="34">
        <v>2000516</v>
      </c>
      <c r="C157" s="35" t="s">
        <v>462</v>
      </c>
      <c r="D157" s="175">
        <v>0.37</v>
      </c>
      <c r="E157" s="175"/>
      <c r="F157" s="175"/>
      <c r="G157" s="107"/>
      <c r="H157" s="107"/>
      <c r="I157" s="107"/>
      <c r="J157" s="107"/>
      <c r="K157" s="107"/>
      <c r="L157" s="123"/>
      <c r="M157" s="123"/>
      <c r="N157" s="123"/>
      <c r="O157" s="123"/>
      <c r="P157" s="123"/>
    </row>
    <row r="158" spans="1:16" ht="18.75" customHeight="1" x14ac:dyDescent="0.35">
      <c r="A158" s="107">
        <v>156</v>
      </c>
      <c r="B158" s="34">
        <v>2000279</v>
      </c>
      <c r="C158" s="35" t="s">
        <v>463</v>
      </c>
      <c r="D158" s="175">
        <v>0.37</v>
      </c>
      <c r="E158" s="175"/>
      <c r="F158" s="175"/>
      <c r="G158" s="107"/>
      <c r="H158" s="107"/>
      <c r="I158" s="107"/>
      <c r="J158" s="107"/>
      <c r="K158" s="107"/>
      <c r="L158" s="123"/>
      <c r="M158" s="123"/>
      <c r="N158" s="123"/>
      <c r="O158" s="123"/>
      <c r="P158" s="123"/>
    </row>
    <row r="159" spans="1:16" ht="18.75" customHeight="1" x14ac:dyDescent="0.35">
      <c r="A159" s="107">
        <v>157</v>
      </c>
      <c r="B159" s="34">
        <v>2000594</v>
      </c>
      <c r="C159" s="35" t="s">
        <v>464</v>
      </c>
      <c r="D159" s="175">
        <v>0.37</v>
      </c>
      <c r="E159" s="175"/>
      <c r="F159" s="175"/>
      <c r="G159" s="107"/>
      <c r="H159" s="107"/>
      <c r="I159" s="107"/>
      <c r="J159" s="107"/>
      <c r="K159" s="107"/>
      <c r="L159" s="123"/>
      <c r="M159" s="123"/>
      <c r="N159" s="123"/>
      <c r="O159" s="123"/>
      <c r="P159" s="123"/>
    </row>
    <row r="160" spans="1:16" ht="18.75" customHeight="1" x14ac:dyDescent="0.35">
      <c r="A160" s="107">
        <v>158</v>
      </c>
      <c r="B160" s="34">
        <v>2000720</v>
      </c>
      <c r="C160" s="35" t="s">
        <v>333</v>
      </c>
      <c r="D160" s="176" t="s">
        <v>316</v>
      </c>
      <c r="E160" s="176"/>
      <c r="F160" s="176"/>
      <c r="G160" s="107"/>
      <c r="H160" s="107"/>
      <c r="I160" s="107"/>
      <c r="J160" s="107"/>
      <c r="K160" s="107" t="s">
        <v>565</v>
      </c>
      <c r="L160" s="123"/>
      <c r="M160" s="123"/>
      <c r="N160" s="123"/>
      <c r="O160" s="123"/>
      <c r="P160" s="123"/>
    </row>
    <row r="161" spans="1:16" ht="18.75" customHeight="1" x14ac:dyDescent="0.35">
      <c r="A161" s="107">
        <v>159</v>
      </c>
      <c r="B161" s="34">
        <v>2000559</v>
      </c>
      <c r="C161" s="35" t="s">
        <v>601</v>
      </c>
      <c r="D161" s="175">
        <v>0.34</v>
      </c>
      <c r="E161" s="176"/>
      <c r="F161" s="176"/>
      <c r="G161" s="107"/>
      <c r="H161" s="107"/>
      <c r="I161" s="107"/>
      <c r="J161" s="124">
        <v>0.03</v>
      </c>
      <c r="K161" s="107"/>
      <c r="L161" s="123"/>
      <c r="M161" s="123"/>
      <c r="N161" s="123"/>
      <c r="O161" s="123"/>
      <c r="P161" s="123"/>
    </row>
    <row r="162" spans="1:16" ht="18.75" customHeight="1" x14ac:dyDescent="0.35">
      <c r="A162" s="107">
        <v>160</v>
      </c>
      <c r="B162" s="34">
        <v>2000340</v>
      </c>
      <c r="C162" s="35" t="s">
        <v>465</v>
      </c>
      <c r="D162" s="175">
        <v>0.37</v>
      </c>
      <c r="E162" s="175"/>
      <c r="F162" s="175"/>
      <c r="G162" s="107"/>
      <c r="H162" s="107"/>
      <c r="I162" s="107"/>
      <c r="J162" s="107"/>
      <c r="K162" s="107"/>
      <c r="L162" s="123"/>
      <c r="M162" s="123"/>
      <c r="N162" s="123"/>
      <c r="O162" s="123"/>
      <c r="P162" s="123"/>
    </row>
    <row r="163" spans="1:16" ht="18.75" customHeight="1" x14ac:dyDescent="0.35">
      <c r="A163" s="107">
        <v>161</v>
      </c>
      <c r="B163" s="34">
        <v>2000654</v>
      </c>
      <c r="C163" s="35" t="s">
        <v>466</v>
      </c>
      <c r="D163" s="175">
        <v>0.37</v>
      </c>
      <c r="E163" s="175"/>
      <c r="F163" s="175"/>
      <c r="G163" s="107"/>
      <c r="H163" s="107"/>
      <c r="I163" s="107"/>
      <c r="J163" s="107"/>
      <c r="K163" s="107"/>
      <c r="L163" s="123"/>
      <c r="M163" s="123"/>
      <c r="N163" s="123"/>
      <c r="O163" s="123"/>
      <c r="P163" s="123"/>
    </row>
    <row r="164" spans="1:16" ht="18.75" customHeight="1" x14ac:dyDescent="0.35">
      <c r="A164" s="107">
        <v>162</v>
      </c>
      <c r="B164" s="34">
        <v>2000657</v>
      </c>
      <c r="C164" s="35" t="s">
        <v>467</v>
      </c>
      <c r="D164" s="175">
        <v>0.37</v>
      </c>
      <c r="E164" s="175"/>
      <c r="F164" s="175"/>
      <c r="G164" s="107"/>
      <c r="H164" s="107"/>
      <c r="I164" s="107"/>
      <c r="J164" s="107"/>
      <c r="K164" s="107"/>
      <c r="L164" s="123"/>
      <c r="M164" s="123"/>
      <c r="N164" s="123"/>
      <c r="O164" s="123"/>
      <c r="P164" s="123"/>
    </row>
    <row r="165" spans="1:16" ht="18.75" customHeight="1" x14ac:dyDescent="0.35">
      <c r="A165" s="107">
        <v>163</v>
      </c>
      <c r="B165" s="34">
        <v>2000671</v>
      </c>
      <c r="C165" s="35" t="s">
        <v>468</v>
      </c>
      <c r="D165" s="175">
        <v>0.37</v>
      </c>
      <c r="E165" s="175"/>
      <c r="F165" s="175"/>
      <c r="G165" s="107"/>
      <c r="H165" s="107"/>
      <c r="I165" s="107"/>
      <c r="J165" s="107"/>
      <c r="K165" s="107"/>
      <c r="L165" s="123"/>
      <c r="M165" s="123"/>
      <c r="N165" s="123"/>
      <c r="O165" s="123"/>
      <c r="P165" s="123"/>
    </row>
    <row r="166" spans="1:16" ht="18.75" customHeight="1" x14ac:dyDescent="0.35">
      <c r="A166" s="107">
        <v>164</v>
      </c>
      <c r="B166" s="34">
        <v>2000704</v>
      </c>
      <c r="C166" s="35" t="s">
        <v>469</v>
      </c>
      <c r="D166" s="175">
        <v>0.37</v>
      </c>
      <c r="E166" s="175"/>
      <c r="F166" s="175"/>
      <c r="G166" s="107"/>
      <c r="H166" s="107"/>
      <c r="I166" s="107"/>
      <c r="J166" s="107"/>
      <c r="K166" s="107"/>
      <c r="L166" s="123"/>
      <c r="M166" s="123"/>
      <c r="N166" s="123" t="s">
        <v>634</v>
      </c>
      <c r="O166" s="123">
        <v>1</v>
      </c>
      <c r="P166" s="123">
        <v>58272</v>
      </c>
    </row>
    <row r="167" spans="1:16" ht="18.75" customHeight="1" x14ac:dyDescent="0.35">
      <c r="A167" s="107">
        <v>165</v>
      </c>
      <c r="B167" s="34">
        <v>2000372</v>
      </c>
      <c r="C167" s="35" t="s">
        <v>470</v>
      </c>
      <c r="D167" s="175">
        <v>0.37</v>
      </c>
      <c r="E167" s="175"/>
      <c r="F167" s="175"/>
      <c r="G167" s="107"/>
      <c r="H167" s="107"/>
      <c r="I167" s="107"/>
      <c r="J167" s="107"/>
      <c r="K167" s="107"/>
      <c r="L167" s="123"/>
      <c r="M167" s="123"/>
      <c r="N167" s="123"/>
      <c r="O167" s="123"/>
      <c r="P167" s="123"/>
    </row>
    <row r="168" spans="1:16" ht="18.75" customHeight="1" x14ac:dyDescent="0.35">
      <c r="A168" s="107">
        <v>166</v>
      </c>
      <c r="B168" s="34">
        <v>2000472</v>
      </c>
      <c r="C168" s="35" t="s">
        <v>471</v>
      </c>
      <c r="D168" s="175">
        <v>0.37</v>
      </c>
      <c r="E168" s="175"/>
      <c r="F168" s="175"/>
      <c r="G168" s="107"/>
      <c r="H168" s="107"/>
      <c r="I168" s="107"/>
      <c r="J168" s="107"/>
      <c r="K168" s="107"/>
      <c r="L168" s="123"/>
      <c r="M168" s="123"/>
      <c r="N168" s="123"/>
      <c r="O168" s="123"/>
      <c r="P168" s="123"/>
    </row>
    <row r="169" spans="1:16" ht="18.75" customHeight="1" x14ac:dyDescent="0.35">
      <c r="A169" s="107">
        <v>167</v>
      </c>
      <c r="B169" s="34">
        <v>2000503</v>
      </c>
      <c r="C169" s="35" t="s">
        <v>472</v>
      </c>
      <c r="D169" s="175">
        <v>0.37</v>
      </c>
      <c r="E169" s="175"/>
      <c r="F169" s="175"/>
      <c r="G169" s="107"/>
      <c r="H169" s="107"/>
      <c r="I169" s="107"/>
      <c r="J169" s="107"/>
      <c r="K169" s="107"/>
      <c r="L169" s="123"/>
      <c r="M169" s="123"/>
      <c r="N169" s="123"/>
      <c r="O169" s="123"/>
      <c r="P169" s="123"/>
    </row>
    <row r="170" spans="1:16" ht="18.75" customHeight="1" x14ac:dyDescent="0.35">
      <c r="A170" s="107">
        <v>168</v>
      </c>
      <c r="B170" s="127">
        <v>2000672</v>
      </c>
      <c r="C170" s="35" t="s">
        <v>602</v>
      </c>
      <c r="D170" s="175">
        <v>0.3</v>
      </c>
      <c r="E170" s="185"/>
      <c r="F170" s="185"/>
      <c r="G170" s="107"/>
      <c r="H170" s="107"/>
      <c r="I170" s="107"/>
      <c r="J170" s="124">
        <v>0.03</v>
      </c>
      <c r="K170" s="107"/>
      <c r="L170" s="123"/>
      <c r="M170" s="123"/>
      <c r="N170" s="123"/>
      <c r="O170" s="123"/>
      <c r="P170" s="123"/>
    </row>
    <row r="171" spans="1:16" ht="18.75" customHeight="1" x14ac:dyDescent="0.35">
      <c r="A171" s="107">
        <v>169</v>
      </c>
      <c r="B171" s="34">
        <v>2000638</v>
      </c>
      <c r="C171" s="35" t="s">
        <v>473</v>
      </c>
      <c r="D171" s="175">
        <v>0.37</v>
      </c>
      <c r="E171" s="175"/>
      <c r="F171" s="175"/>
      <c r="G171" s="107"/>
      <c r="H171" s="107"/>
      <c r="I171" s="107"/>
      <c r="J171" s="107"/>
      <c r="K171" s="107"/>
      <c r="L171" s="123"/>
      <c r="M171" s="123"/>
      <c r="N171" s="123"/>
      <c r="O171" s="123"/>
      <c r="P171" s="123"/>
    </row>
    <row r="172" spans="1:16" ht="18.75" customHeight="1" x14ac:dyDescent="0.35">
      <c r="A172" s="107">
        <v>170</v>
      </c>
      <c r="B172" s="34">
        <v>2000692</v>
      </c>
      <c r="C172" s="35" t="s">
        <v>474</v>
      </c>
      <c r="D172" s="175">
        <v>0.37</v>
      </c>
      <c r="E172" s="175"/>
      <c r="F172" s="175"/>
      <c r="G172" s="107"/>
      <c r="H172" s="107"/>
      <c r="I172" s="107"/>
      <c r="J172" s="107"/>
      <c r="K172" s="107"/>
      <c r="L172" s="123"/>
      <c r="M172" s="123"/>
      <c r="N172" s="123"/>
      <c r="O172" s="123"/>
      <c r="P172" s="123"/>
    </row>
    <row r="173" spans="1:16" ht="18.75" customHeight="1" x14ac:dyDescent="0.35">
      <c r="A173" s="107">
        <v>171</v>
      </c>
      <c r="B173" s="34">
        <v>2000517</v>
      </c>
      <c r="C173" s="35" t="s">
        <v>475</v>
      </c>
      <c r="D173" s="175">
        <v>0.37</v>
      </c>
      <c r="E173" s="175"/>
      <c r="F173" s="175"/>
      <c r="G173" s="107"/>
      <c r="H173" s="107"/>
      <c r="I173" s="107"/>
      <c r="J173" s="107"/>
      <c r="K173" s="107"/>
      <c r="L173" s="123"/>
      <c r="M173" s="123"/>
      <c r="N173" s="123"/>
      <c r="O173" s="123"/>
      <c r="P173" s="123"/>
    </row>
    <row r="174" spans="1:16" ht="18.75" customHeight="1" x14ac:dyDescent="0.35">
      <c r="A174" s="107">
        <v>172</v>
      </c>
      <c r="B174" s="34">
        <v>2000551</v>
      </c>
      <c r="C174" s="35" t="s">
        <v>476</v>
      </c>
      <c r="D174" s="175">
        <v>0.37</v>
      </c>
      <c r="E174" s="175"/>
      <c r="F174" s="175"/>
      <c r="G174" s="107"/>
      <c r="H174" s="107"/>
      <c r="I174" s="107"/>
      <c r="J174" s="107"/>
      <c r="K174" s="107"/>
      <c r="L174" s="123"/>
      <c r="M174" s="123"/>
      <c r="N174" s="123"/>
      <c r="O174" s="123"/>
      <c r="P174" s="123"/>
    </row>
    <row r="175" spans="1:16" ht="18.75" customHeight="1" x14ac:dyDescent="0.35">
      <c r="A175" s="107">
        <v>173</v>
      </c>
      <c r="B175" s="34">
        <v>2000608</v>
      </c>
      <c r="C175" s="35" t="s">
        <v>603</v>
      </c>
      <c r="D175" s="175">
        <v>0.35</v>
      </c>
      <c r="E175" s="176"/>
      <c r="F175" s="176"/>
      <c r="G175" s="107"/>
      <c r="H175" s="107"/>
      <c r="I175" s="107"/>
      <c r="J175" s="107"/>
      <c r="K175" s="107"/>
      <c r="L175" s="123"/>
      <c r="M175" s="123"/>
      <c r="N175" s="123" t="s">
        <v>623</v>
      </c>
      <c r="O175" s="123">
        <v>2</v>
      </c>
      <c r="P175" s="123" t="s">
        <v>624</v>
      </c>
    </row>
    <row r="176" spans="1:16" ht="18.75" customHeight="1" x14ac:dyDescent="0.35">
      <c r="A176" s="107">
        <v>174</v>
      </c>
      <c r="B176" s="34">
        <v>2000690</v>
      </c>
      <c r="C176" s="35" t="s">
        <v>477</v>
      </c>
      <c r="D176" s="175">
        <v>0.37</v>
      </c>
      <c r="E176" s="175"/>
      <c r="F176" s="175"/>
      <c r="G176" s="107"/>
      <c r="H176" s="107"/>
      <c r="I176" s="107"/>
      <c r="J176" s="107"/>
      <c r="K176" s="107"/>
      <c r="L176" s="123"/>
      <c r="M176" s="123"/>
      <c r="N176" s="123"/>
      <c r="O176" s="123"/>
      <c r="P176" s="123"/>
    </row>
    <row r="177" spans="1:16" ht="18.75" customHeight="1" x14ac:dyDescent="0.35">
      <c r="A177" s="107">
        <v>175</v>
      </c>
      <c r="B177" s="34">
        <v>2000642</v>
      </c>
      <c r="C177" s="35" t="s">
        <v>478</v>
      </c>
      <c r="D177" s="175">
        <v>0.37</v>
      </c>
      <c r="E177" s="175"/>
      <c r="F177" s="175"/>
      <c r="G177" s="107"/>
      <c r="H177" s="107"/>
      <c r="I177" s="107"/>
      <c r="J177" s="107"/>
      <c r="K177" s="107"/>
      <c r="L177" s="123"/>
      <c r="M177" s="123"/>
      <c r="N177" s="123"/>
      <c r="O177" s="123"/>
      <c r="P177" s="123"/>
    </row>
    <row r="178" spans="1:16" ht="18.75" customHeight="1" x14ac:dyDescent="0.35">
      <c r="A178" s="107">
        <v>176</v>
      </c>
      <c r="B178" s="34">
        <v>2000535</v>
      </c>
      <c r="C178" s="35" t="s">
        <v>479</v>
      </c>
      <c r="D178" s="175">
        <v>0.37</v>
      </c>
      <c r="E178" s="175"/>
      <c r="F178" s="175"/>
      <c r="G178" s="107"/>
      <c r="H178" s="107"/>
      <c r="I178" s="107"/>
      <c r="J178" s="107"/>
      <c r="K178" s="107"/>
      <c r="L178" s="123"/>
      <c r="M178" s="123"/>
      <c r="N178" s="123"/>
      <c r="O178" s="123"/>
      <c r="P178" s="123"/>
    </row>
    <row r="179" spans="1:16" ht="18.75" customHeight="1" x14ac:dyDescent="0.35">
      <c r="A179" s="107">
        <v>177</v>
      </c>
      <c r="B179" s="34">
        <v>2000718</v>
      </c>
      <c r="C179" s="35" t="s">
        <v>604</v>
      </c>
      <c r="D179" s="175">
        <v>0.31</v>
      </c>
      <c r="E179" s="175"/>
      <c r="F179" s="175"/>
      <c r="G179" s="124">
        <v>0.02</v>
      </c>
      <c r="H179" s="124">
        <v>0.01</v>
      </c>
      <c r="I179" s="107"/>
      <c r="J179" s="124">
        <v>0.03</v>
      </c>
      <c r="K179" s="107" t="s">
        <v>565</v>
      </c>
      <c r="L179" s="123"/>
      <c r="M179" s="123"/>
      <c r="N179" s="123"/>
      <c r="O179" s="123"/>
      <c r="P179" s="123"/>
    </row>
    <row r="180" spans="1:16" ht="18.75" customHeight="1" x14ac:dyDescent="0.35">
      <c r="A180" s="107">
        <v>178</v>
      </c>
      <c r="B180" s="34">
        <v>2000368</v>
      </c>
      <c r="C180" s="35" t="s">
        <v>480</v>
      </c>
      <c r="D180" s="175">
        <v>0.37</v>
      </c>
      <c r="E180" s="175"/>
      <c r="F180" s="175"/>
      <c r="G180" s="107"/>
      <c r="H180" s="107"/>
      <c r="I180" s="107"/>
      <c r="J180" s="107"/>
      <c r="K180" s="107"/>
      <c r="L180" s="123"/>
      <c r="M180" s="123"/>
      <c r="N180" s="123"/>
      <c r="O180" s="123"/>
      <c r="P180" s="123"/>
    </row>
    <row r="181" spans="1:16" ht="18.75" customHeight="1" x14ac:dyDescent="0.35">
      <c r="A181" s="107">
        <v>179</v>
      </c>
      <c r="B181" s="34">
        <v>2000481</v>
      </c>
      <c r="C181" s="35" t="s">
        <v>481</v>
      </c>
      <c r="D181" s="175">
        <v>0.37</v>
      </c>
      <c r="E181" s="175"/>
      <c r="F181" s="175"/>
      <c r="G181" s="107"/>
      <c r="H181" s="107"/>
      <c r="I181" s="107"/>
      <c r="J181" s="107"/>
      <c r="K181" s="107"/>
      <c r="L181" s="123"/>
      <c r="M181" s="123"/>
      <c r="N181" s="123"/>
      <c r="O181" s="123"/>
      <c r="P181" s="123"/>
    </row>
    <row r="182" spans="1:16" ht="18.75" customHeight="1" x14ac:dyDescent="0.35">
      <c r="A182" s="107">
        <v>180</v>
      </c>
      <c r="B182" s="34">
        <v>2000652</v>
      </c>
      <c r="C182" s="35" t="s">
        <v>482</v>
      </c>
      <c r="D182" s="175">
        <v>0.37</v>
      </c>
      <c r="E182" s="175"/>
      <c r="F182" s="175"/>
      <c r="G182" s="107"/>
      <c r="H182" s="107"/>
      <c r="I182" s="107"/>
      <c r="J182" s="107"/>
      <c r="K182" s="107"/>
      <c r="L182" s="123"/>
      <c r="M182" s="123"/>
      <c r="N182" s="123"/>
      <c r="O182" s="123"/>
      <c r="P182" s="123"/>
    </row>
    <row r="183" spans="1:16" ht="18.75" customHeight="1" x14ac:dyDescent="0.35">
      <c r="A183" s="107">
        <v>181</v>
      </c>
      <c r="B183" s="34">
        <v>2000636</v>
      </c>
      <c r="C183" s="35" t="s">
        <v>483</v>
      </c>
      <c r="D183" s="175">
        <v>0.37</v>
      </c>
      <c r="E183" s="175"/>
      <c r="F183" s="175"/>
      <c r="G183" s="107"/>
      <c r="H183" s="107"/>
      <c r="I183" s="107"/>
      <c r="J183" s="107"/>
      <c r="K183" s="107"/>
      <c r="L183" s="123"/>
      <c r="M183" s="123"/>
      <c r="N183" s="123" t="s">
        <v>618</v>
      </c>
      <c r="O183" s="123">
        <v>1</v>
      </c>
      <c r="P183" s="123" t="s">
        <v>619</v>
      </c>
    </row>
    <row r="184" spans="1:16" ht="18.75" customHeight="1" x14ac:dyDescent="0.35">
      <c r="A184" s="107">
        <v>182</v>
      </c>
      <c r="B184" s="34">
        <v>2000656</v>
      </c>
      <c r="C184" s="35" t="s">
        <v>484</v>
      </c>
      <c r="D184" s="175">
        <v>0.37</v>
      </c>
      <c r="E184" s="175"/>
      <c r="F184" s="175"/>
      <c r="G184" s="107"/>
      <c r="H184" s="107"/>
      <c r="I184" s="107"/>
      <c r="J184" s="107"/>
      <c r="K184" s="107"/>
      <c r="L184" s="123"/>
      <c r="M184" s="123"/>
      <c r="N184" s="123"/>
      <c r="O184" s="123"/>
      <c r="P184" s="123"/>
    </row>
    <row r="185" spans="1:16" ht="18.75" customHeight="1" x14ac:dyDescent="0.35">
      <c r="A185" s="107">
        <v>183</v>
      </c>
      <c r="B185" s="34">
        <v>2000684</v>
      </c>
      <c r="C185" s="35" t="s">
        <v>485</v>
      </c>
      <c r="D185" s="175">
        <v>0.37</v>
      </c>
      <c r="E185" s="175"/>
      <c r="F185" s="175"/>
      <c r="G185" s="107"/>
      <c r="H185" s="107"/>
      <c r="I185" s="107"/>
      <c r="J185" s="107"/>
      <c r="K185" s="107"/>
      <c r="L185" s="123"/>
      <c r="M185" s="123"/>
      <c r="N185" s="123"/>
      <c r="O185" s="123"/>
      <c r="P185" s="123"/>
    </row>
    <row r="186" spans="1:16" ht="18.75" customHeight="1" x14ac:dyDescent="0.35">
      <c r="A186" s="107">
        <v>184</v>
      </c>
      <c r="B186" s="34">
        <v>2000609</v>
      </c>
      <c r="C186" s="35" t="s">
        <v>605</v>
      </c>
      <c r="D186" s="123"/>
      <c r="E186" s="123"/>
      <c r="F186" s="123"/>
      <c r="G186" s="107"/>
      <c r="H186" s="107"/>
      <c r="I186" s="107"/>
      <c r="J186" s="107"/>
      <c r="K186" s="107"/>
      <c r="L186" s="123"/>
      <c r="M186" s="123"/>
      <c r="N186" s="123"/>
      <c r="O186" s="123"/>
      <c r="P186" s="123"/>
    </row>
    <row r="187" spans="1:16" ht="18.75" customHeight="1" x14ac:dyDescent="0.35">
      <c r="A187" s="107">
        <v>185</v>
      </c>
      <c r="B187" s="34">
        <v>2000620</v>
      </c>
      <c r="C187" s="35" t="s">
        <v>526</v>
      </c>
      <c r="D187" s="175">
        <v>0.33</v>
      </c>
      <c r="E187" s="176"/>
      <c r="F187" s="176"/>
      <c r="G187" s="107"/>
      <c r="H187" s="107"/>
      <c r="I187" s="107"/>
      <c r="J187" s="124">
        <v>0.03</v>
      </c>
      <c r="K187" s="107"/>
      <c r="L187" s="123"/>
      <c r="M187" s="123"/>
      <c r="N187" s="123"/>
      <c r="O187" s="123"/>
      <c r="P187" s="123"/>
    </row>
    <row r="188" spans="1:16" ht="18.75" customHeight="1" x14ac:dyDescent="0.35">
      <c r="A188" s="107">
        <v>186</v>
      </c>
      <c r="B188" s="34">
        <v>2000712</v>
      </c>
      <c r="C188" s="35" t="s">
        <v>606</v>
      </c>
      <c r="D188" s="126">
        <v>0.33</v>
      </c>
      <c r="E188" s="126">
        <v>0.37</v>
      </c>
      <c r="F188" s="126">
        <v>0.37</v>
      </c>
      <c r="G188" s="107"/>
      <c r="H188" s="107"/>
      <c r="I188" s="107"/>
      <c r="J188" s="124">
        <v>0.03</v>
      </c>
      <c r="K188" s="107"/>
      <c r="L188" s="123"/>
      <c r="M188" s="123"/>
      <c r="N188" s="123" t="s">
        <v>627</v>
      </c>
      <c r="O188" s="123">
        <v>1</v>
      </c>
      <c r="P188" s="123">
        <v>100000</v>
      </c>
    </row>
    <row r="189" spans="1:16" ht="18.75" customHeight="1" x14ac:dyDescent="0.35">
      <c r="A189" s="107">
        <v>187</v>
      </c>
      <c r="B189" s="34">
        <v>2000715</v>
      </c>
      <c r="C189" s="35" t="s">
        <v>607</v>
      </c>
      <c r="D189" s="126">
        <v>0.33</v>
      </c>
      <c r="E189" s="126">
        <v>0.33</v>
      </c>
      <c r="F189" s="126">
        <v>0.33</v>
      </c>
      <c r="G189" s="107"/>
      <c r="H189" s="107"/>
      <c r="I189" s="107"/>
      <c r="J189" s="124">
        <v>0.02</v>
      </c>
      <c r="K189" s="107"/>
      <c r="L189" s="123"/>
      <c r="M189" s="123"/>
      <c r="N189" s="123"/>
      <c r="O189" s="123"/>
      <c r="P189" s="123"/>
    </row>
    <row r="190" spans="1:16" ht="18.75" customHeight="1" x14ac:dyDescent="0.35">
      <c r="A190" s="107">
        <v>188</v>
      </c>
      <c r="B190" s="34">
        <v>2000257</v>
      </c>
      <c r="C190" s="35" t="s">
        <v>608</v>
      </c>
      <c r="D190" s="175">
        <v>0.35</v>
      </c>
      <c r="E190" s="176"/>
      <c r="F190" s="176"/>
      <c r="G190" s="107"/>
      <c r="H190" s="107"/>
      <c r="I190" s="107"/>
      <c r="J190" s="107"/>
      <c r="K190" s="107"/>
      <c r="L190" s="123"/>
      <c r="M190" s="123"/>
      <c r="N190" s="123"/>
      <c r="O190" s="123"/>
      <c r="P190" s="123"/>
    </row>
    <row r="191" spans="1:16" ht="18.75" customHeight="1" x14ac:dyDescent="0.35">
      <c r="A191" s="107">
        <v>189</v>
      </c>
      <c r="B191" s="34">
        <v>2000713</v>
      </c>
      <c r="C191" s="35" t="s">
        <v>486</v>
      </c>
      <c r="D191" s="175">
        <v>0.37</v>
      </c>
      <c r="E191" s="175"/>
      <c r="F191" s="175"/>
      <c r="G191" s="107"/>
      <c r="H191" s="107"/>
      <c r="I191" s="107"/>
      <c r="J191" s="107"/>
      <c r="K191" s="107"/>
      <c r="L191" s="123"/>
      <c r="M191" s="123"/>
      <c r="N191" s="123"/>
      <c r="O191" s="123"/>
      <c r="P191" s="123"/>
    </row>
    <row r="192" spans="1:16" ht="18.75" customHeight="1" x14ac:dyDescent="0.35">
      <c r="A192" s="107">
        <v>190</v>
      </c>
      <c r="B192" s="34">
        <v>2000707</v>
      </c>
      <c r="C192" s="35" t="s">
        <v>609</v>
      </c>
      <c r="D192" s="200">
        <v>0.34350000000000003</v>
      </c>
      <c r="E192" s="201"/>
      <c r="F192" s="202"/>
      <c r="G192" s="107"/>
      <c r="H192" s="107"/>
      <c r="I192" s="107"/>
      <c r="J192" s="107"/>
      <c r="K192" s="107" t="s">
        <v>565</v>
      </c>
      <c r="L192" s="123"/>
      <c r="M192" s="123"/>
      <c r="N192" s="123"/>
      <c r="O192" s="123"/>
      <c r="P192" s="123"/>
    </row>
    <row r="193" spans="1:16" ht="18.75" customHeight="1" x14ac:dyDescent="0.35">
      <c r="A193" s="107">
        <v>191</v>
      </c>
      <c r="B193" s="34">
        <v>2000505</v>
      </c>
      <c r="C193" s="35" t="s">
        <v>487</v>
      </c>
      <c r="D193" s="175">
        <v>0.37</v>
      </c>
      <c r="E193" s="175"/>
      <c r="F193" s="175"/>
      <c r="G193" s="107"/>
      <c r="H193" s="107"/>
      <c r="I193" s="107"/>
      <c r="J193" s="107"/>
      <c r="K193" s="107"/>
      <c r="L193" s="123"/>
      <c r="M193" s="123"/>
      <c r="N193" s="123"/>
      <c r="O193" s="123"/>
      <c r="P193" s="123"/>
    </row>
    <row r="194" spans="1:16" ht="18.75" customHeight="1" x14ac:dyDescent="0.35">
      <c r="A194" s="107">
        <v>192</v>
      </c>
      <c r="B194" s="34">
        <v>2000510</v>
      </c>
      <c r="C194" s="35" t="s">
        <v>488</v>
      </c>
      <c r="D194" s="175">
        <v>0.37</v>
      </c>
      <c r="E194" s="175"/>
      <c r="F194" s="175"/>
      <c r="G194" s="107"/>
      <c r="H194" s="107"/>
      <c r="I194" s="107"/>
      <c r="J194" s="107"/>
      <c r="K194" s="107"/>
      <c r="L194" s="123"/>
      <c r="M194" s="123"/>
      <c r="N194" s="123"/>
      <c r="O194" s="123"/>
      <c r="P194" s="123"/>
    </row>
    <row r="195" spans="1:16" ht="18.75" customHeight="1" x14ac:dyDescent="0.35">
      <c r="A195" s="107">
        <v>193</v>
      </c>
      <c r="B195" s="34">
        <v>2000553</v>
      </c>
      <c r="C195" s="35" t="s">
        <v>610</v>
      </c>
      <c r="D195" s="175">
        <v>0.35</v>
      </c>
      <c r="E195" s="176"/>
      <c r="F195" s="176"/>
      <c r="G195" s="107"/>
      <c r="H195" s="107"/>
      <c r="I195" s="107"/>
      <c r="J195" s="107"/>
      <c r="K195" s="107"/>
      <c r="L195" s="123"/>
      <c r="M195" s="123"/>
      <c r="N195" s="123"/>
      <c r="O195" s="123"/>
      <c r="P195" s="123"/>
    </row>
    <row r="196" spans="1:16" ht="18.75" customHeight="1" x14ac:dyDescent="0.35">
      <c r="A196" s="107">
        <v>194</v>
      </c>
      <c r="B196" s="34">
        <v>2000618</v>
      </c>
      <c r="C196" s="35" t="s">
        <v>489</v>
      </c>
      <c r="D196" s="175">
        <v>0.37</v>
      </c>
      <c r="E196" s="175"/>
      <c r="F196" s="175"/>
      <c r="G196" s="107"/>
      <c r="H196" s="107"/>
      <c r="I196" s="107"/>
      <c r="J196" s="107"/>
      <c r="K196" s="107"/>
      <c r="L196" s="123"/>
      <c r="M196" s="123"/>
      <c r="N196" s="123"/>
      <c r="O196" s="123"/>
      <c r="P196" s="123"/>
    </row>
    <row r="197" spans="1:16" ht="18.75" customHeight="1" x14ac:dyDescent="0.35">
      <c r="A197" s="107">
        <v>195</v>
      </c>
      <c r="B197" s="34">
        <v>2000670</v>
      </c>
      <c r="C197" s="35" t="s">
        <v>490</v>
      </c>
      <c r="D197" s="175">
        <v>0.37</v>
      </c>
      <c r="E197" s="175"/>
      <c r="F197" s="175"/>
      <c r="G197" s="107"/>
      <c r="H197" s="107"/>
      <c r="I197" s="107"/>
      <c r="J197" s="107"/>
      <c r="K197" s="107"/>
      <c r="L197" s="123"/>
      <c r="M197" s="123"/>
      <c r="N197" s="123"/>
      <c r="O197" s="123"/>
      <c r="P197" s="123"/>
    </row>
    <row r="198" spans="1:16" ht="18.75" customHeight="1" x14ac:dyDescent="0.35">
      <c r="A198" s="107">
        <v>196</v>
      </c>
      <c r="B198" s="34">
        <v>2000709</v>
      </c>
      <c r="C198" s="35" t="s">
        <v>611</v>
      </c>
      <c r="D198" s="189">
        <v>0.33</v>
      </c>
      <c r="E198" s="190"/>
      <c r="F198" s="190"/>
      <c r="G198" s="107"/>
      <c r="H198" s="107"/>
      <c r="I198" s="107"/>
      <c r="J198" s="107">
        <v>2</v>
      </c>
      <c r="K198" s="107"/>
      <c r="L198" s="123"/>
      <c r="M198" s="123"/>
      <c r="N198" s="123"/>
      <c r="O198" s="123"/>
      <c r="P198" s="123"/>
    </row>
    <row r="199" spans="1:16" ht="18.75" customHeight="1" x14ac:dyDescent="0.35">
      <c r="A199" s="107">
        <v>197</v>
      </c>
      <c r="B199" s="34">
        <v>2000691</v>
      </c>
      <c r="C199" s="35" t="s">
        <v>491</v>
      </c>
      <c r="D199" s="175">
        <v>0.37</v>
      </c>
      <c r="E199" s="175"/>
      <c r="F199" s="175"/>
      <c r="G199" s="107"/>
      <c r="H199" s="107"/>
      <c r="I199" s="107"/>
      <c r="J199" s="107"/>
      <c r="K199" s="107"/>
      <c r="L199" s="123"/>
      <c r="M199" s="123"/>
      <c r="N199" s="123"/>
      <c r="O199" s="123"/>
      <c r="P199" s="123"/>
    </row>
    <row r="200" spans="1:16" ht="18.75" customHeight="1" x14ac:dyDescent="0.35">
      <c r="A200" s="107">
        <v>198</v>
      </c>
      <c r="B200" s="34">
        <v>2000694</v>
      </c>
      <c r="C200" s="35" t="s">
        <v>492</v>
      </c>
      <c r="D200" s="175">
        <v>0.37</v>
      </c>
      <c r="E200" s="175"/>
      <c r="F200" s="175"/>
      <c r="G200" s="107"/>
      <c r="H200" s="107"/>
      <c r="I200" s="107"/>
      <c r="J200" s="107"/>
      <c r="K200" s="107"/>
      <c r="L200" s="123"/>
      <c r="M200" s="123"/>
      <c r="N200" s="123"/>
      <c r="O200" s="123"/>
      <c r="P200" s="123"/>
    </row>
    <row r="201" spans="1:16" ht="18.75" customHeight="1" x14ac:dyDescent="0.35">
      <c r="A201" s="107">
        <v>199</v>
      </c>
      <c r="B201" s="34">
        <v>2000545</v>
      </c>
      <c r="C201" s="35" t="s">
        <v>493</v>
      </c>
      <c r="D201" s="175">
        <v>0.37</v>
      </c>
      <c r="E201" s="175"/>
      <c r="F201" s="175"/>
      <c r="G201" s="107"/>
      <c r="H201" s="107"/>
      <c r="I201" s="107"/>
      <c r="J201" s="107"/>
      <c r="K201" s="107"/>
      <c r="L201" s="123"/>
      <c r="M201" s="123"/>
      <c r="N201" s="123"/>
      <c r="O201" s="123"/>
      <c r="P201" s="123"/>
    </row>
    <row r="202" spans="1:16" ht="18.75" customHeight="1" x14ac:dyDescent="0.35">
      <c r="A202" s="107">
        <v>200</v>
      </c>
      <c r="B202" s="34">
        <v>2000664</v>
      </c>
      <c r="C202" s="35" t="s">
        <v>527</v>
      </c>
      <c r="D202" s="189">
        <v>0.33</v>
      </c>
      <c r="E202" s="190"/>
      <c r="F202" s="190"/>
      <c r="G202" s="107"/>
      <c r="H202" s="107"/>
      <c r="I202" s="107"/>
      <c r="J202" s="107">
        <v>3</v>
      </c>
      <c r="K202" s="107"/>
      <c r="L202" s="123"/>
      <c r="M202" s="123"/>
      <c r="N202" s="123"/>
      <c r="O202" s="123"/>
      <c r="P202" s="123"/>
    </row>
    <row r="203" spans="1:16" ht="18.75" customHeight="1" x14ac:dyDescent="0.35">
      <c r="A203" s="107">
        <v>201</v>
      </c>
      <c r="B203" s="34">
        <v>2000714</v>
      </c>
      <c r="C203" s="35" t="s">
        <v>494</v>
      </c>
      <c r="D203" s="175">
        <v>0.37</v>
      </c>
      <c r="E203" s="175"/>
      <c r="F203" s="175"/>
      <c r="G203" s="107"/>
      <c r="H203" s="107"/>
      <c r="I203" s="107"/>
      <c r="J203" s="107"/>
      <c r="K203" s="107"/>
      <c r="L203" s="123"/>
      <c r="M203" s="123"/>
      <c r="N203" s="123"/>
      <c r="O203" s="123"/>
      <c r="P203" s="123"/>
    </row>
    <row r="204" spans="1:16" ht="18.75" customHeight="1" x14ac:dyDescent="0.35">
      <c r="A204" s="107">
        <v>202</v>
      </c>
      <c r="B204" s="34">
        <v>2000628</v>
      </c>
      <c r="C204" s="35" t="s">
        <v>495</v>
      </c>
      <c r="D204" s="175">
        <v>0.37</v>
      </c>
      <c r="E204" s="175"/>
      <c r="F204" s="175"/>
      <c r="G204" s="107"/>
      <c r="H204" s="107"/>
      <c r="I204" s="107"/>
      <c r="J204" s="107"/>
      <c r="K204" s="107"/>
      <c r="L204" s="123"/>
      <c r="M204" s="123"/>
      <c r="N204" s="123"/>
      <c r="O204" s="123"/>
      <c r="P204" s="123"/>
    </row>
    <row r="205" spans="1:16" ht="18.75" customHeight="1" x14ac:dyDescent="0.35">
      <c r="A205" s="107">
        <v>203</v>
      </c>
      <c r="B205" s="34">
        <v>2000719</v>
      </c>
      <c r="C205" s="35" t="s">
        <v>612</v>
      </c>
      <c r="D205" s="189">
        <v>0.33</v>
      </c>
      <c r="E205" s="190"/>
      <c r="F205" s="124">
        <v>0.37</v>
      </c>
      <c r="G205" s="107"/>
      <c r="H205" s="107"/>
      <c r="I205" s="107"/>
      <c r="J205" s="107">
        <v>3</v>
      </c>
      <c r="K205" s="107"/>
      <c r="L205" s="123"/>
      <c r="M205" s="123"/>
      <c r="N205" s="123"/>
      <c r="O205" s="123"/>
      <c r="P205" s="123"/>
    </row>
    <row r="206" spans="1:16" ht="18.75" customHeight="1" x14ac:dyDescent="0.35">
      <c r="A206" s="107">
        <v>204</v>
      </c>
      <c r="B206" s="107">
        <v>2000721</v>
      </c>
      <c r="C206" s="35" t="s">
        <v>613</v>
      </c>
      <c r="D206" s="175">
        <v>0.35</v>
      </c>
      <c r="E206" s="176"/>
      <c r="F206" s="176"/>
      <c r="G206" s="107"/>
      <c r="H206" s="107"/>
      <c r="I206" s="107">
        <v>3</v>
      </c>
      <c r="J206" s="107">
        <v>3</v>
      </c>
      <c r="K206" s="107"/>
      <c r="L206" s="123"/>
      <c r="M206" s="123"/>
      <c r="N206" s="123"/>
      <c r="O206" s="123"/>
      <c r="P206" s="123"/>
    </row>
  </sheetData>
  <autoFilter ref="A5:P206" xr:uid="{00000000-0009-0000-0000-000000000000}"/>
  <mergeCells count="199">
    <mergeCell ref="A2:P2"/>
    <mergeCell ref="D204:F204"/>
    <mergeCell ref="D205:E205"/>
    <mergeCell ref="D206:F206"/>
    <mergeCell ref="N3:P3"/>
    <mergeCell ref="N4:N5"/>
    <mergeCell ref="O4:O5"/>
    <mergeCell ref="P4:P5"/>
    <mergeCell ref="D198:F198"/>
    <mergeCell ref="D199:F199"/>
    <mergeCell ref="D200:F200"/>
    <mergeCell ref="D201:F201"/>
    <mergeCell ref="D202:F202"/>
    <mergeCell ref="D203:F203"/>
    <mergeCell ref="D192:F192"/>
    <mergeCell ref="D193:F193"/>
    <mergeCell ref="D194:F194"/>
    <mergeCell ref="D195:F195"/>
    <mergeCell ref="D196:F196"/>
    <mergeCell ref="D197:F197"/>
    <mergeCell ref="D183:F183"/>
    <mergeCell ref="D184:F184"/>
    <mergeCell ref="D185:F185"/>
    <mergeCell ref="D187:F187"/>
    <mergeCell ref="D190:F190"/>
    <mergeCell ref="D191:F191"/>
    <mergeCell ref="D177:F177"/>
    <mergeCell ref="D178:F178"/>
    <mergeCell ref="D179:F179"/>
    <mergeCell ref="D180:F180"/>
    <mergeCell ref="D181:F181"/>
    <mergeCell ref="D182:F182"/>
    <mergeCell ref="D171:F171"/>
    <mergeCell ref="D172:F172"/>
    <mergeCell ref="D173:F173"/>
    <mergeCell ref="D174:F174"/>
    <mergeCell ref="D175:F175"/>
    <mergeCell ref="D176:F176"/>
    <mergeCell ref="D165:F165"/>
    <mergeCell ref="D166:F166"/>
    <mergeCell ref="D167:F167"/>
    <mergeCell ref="D168:F168"/>
    <mergeCell ref="D169:F169"/>
    <mergeCell ref="D170:F170"/>
    <mergeCell ref="D159:F159"/>
    <mergeCell ref="D160:F160"/>
    <mergeCell ref="D161:F161"/>
    <mergeCell ref="D162:F162"/>
    <mergeCell ref="D163:F163"/>
    <mergeCell ref="D164:F164"/>
    <mergeCell ref="D153:F153"/>
    <mergeCell ref="D154:F154"/>
    <mergeCell ref="D155:F155"/>
    <mergeCell ref="D156:F156"/>
    <mergeCell ref="D157:F157"/>
    <mergeCell ref="D158:F158"/>
    <mergeCell ref="D146:F146"/>
    <mergeCell ref="D147:F147"/>
    <mergeCell ref="D148:F148"/>
    <mergeCell ref="D149:F149"/>
    <mergeCell ref="D150:F150"/>
    <mergeCell ref="D151:F151"/>
    <mergeCell ref="D140:F140"/>
    <mergeCell ref="D141:F141"/>
    <mergeCell ref="D142:F142"/>
    <mergeCell ref="D143:F143"/>
    <mergeCell ref="D144:F144"/>
    <mergeCell ref="D145:E145"/>
    <mergeCell ref="D134:F134"/>
    <mergeCell ref="D135:F135"/>
    <mergeCell ref="D136:F136"/>
    <mergeCell ref="D137:F137"/>
    <mergeCell ref="D138:F138"/>
    <mergeCell ref="D139:F139"/>
    <mergeCell ref="D128:F128"/>
    <mergeCell ref="D129:F129"/>
    <mergeCell ref="D130:F130"/>
    <mergeCell ref="D131:F131"/>
    <mergeCell ref="D132:F132"/>
    <mergeCell ref="D133:F133"/>
    <mergeCell ref="D122:F122"/>
    <mergeCell ref="D123:F123"/>
    <mergeCell ref="D124:F124"/>
    <mergeCell ref="D125:F125"/>
    <mergeCell ref="D126:F126"/>
    <mergeCell ref="D127:F127"/>
    <mergeCell ref="D116:F116"/>
    <mergeCell ref="D117:F117"/>
    <mergeCell ref="D118:F118"/>
    <mergeCell ref="D119:F119"/>
    <mergeCell ref="D120:F120"/>
    <mergeCell ref="D121:F121"/>
    <mergeCell ref="D110:F110"/>
    <mergeCell ref="D111:F111"/>
    <mergeCell ref="D112:F112"/>
    <mergeCell ref="D113:F113"/>
    <mergeCell ref="D114:F114"/>
    <mergeCell ref="D115:F115"/>
    <mergeCell ref="D104:F104"/>
    <mergeCell ref="D105:F105"/>
    <mergeCell ref="D106:F106"/>
    <mergeCell ref="D107:F107"/>
    <mergeCell ref="D108:F108"/>
    <mergeCell ref="D109:F109"/>
    <mergeCell ref="D98:F98"/>
    <mergeCell ref="D99:F99"/>
    <mergeCell ref="D100:F100"/>
    <mergeCell ref="D101:F101"/>
    <mergeCell ref="D102:F102"/>
    <mergeCell ref="D103:F103"/>
    <mergeCell ref="D92:F92"/>
    <mergeCell ref="D93:F93"/>
    <mergeCell ref="D94:F94"/>
    <mergeCell ref="D95:F95"/>
    <mergeCell ref="D96:F96"/>
    <mergeCell ref="D97:F97"/>
    <mergeCell ref="D86:F86"/>
    <mergeCell ref="D87:F87"/>
    <mergeCell ref="D88:F88"/>
    <mergeCell ref="D89:F89"/>
    <mergeCell ref="D90:F90"/>
    <mergeCell ref="D91:F91"/>
    <mergeCell ref="D80:F80"/>
    <mergeCell ref="D81:F81"/>
    <mergeCell ref="D82:F82"/>
    <mergeCell ref="D83:F83"/>
    <mergeCell ref="D84:F84"/>
    <mergeCell ref="D85:F85"/>
    <mergeCell ref="D74:F74"/>
    <mergeCell ref="D75:F75"/>
    <mergeCell ref="D76:F76"/>
    <mergeCell ref="D77:F77"/>
    <mergeCell ref="D78:F78"/>
    <mergeCell ref="D79:F79"/>
    <mergeCell ref="D68:F68"/>
    <mergeCell ref="D69:F69"/>
    <mergeCell ref="D70:F70"/>
    <mergeCell ref="D71:F71"/>
    <mergeCell ref="D72:F72"/>
    <mergeCell ref="D73:F73"/>
    <mergeCell ref="D62:F62"/>
    <mergeCell ref="D63:F63"/>
    <mergeCell ref="D64:F64"/>
    <mergeCell ref="D65:F65"/>
    <mergeCell ref="D66:F66"/>
    <mergeCell ref="D67:F67"/>
    <mergeCell ref="D57:F57"/>
    <mergeCell ref="D58:F58"/>
    <mergeCell ref="D59:F59"/>
    <mergeCell ref="D60:F60"/>
    <mergeCell ref="D61:F61"/>
    <mergeCell ref="D51:F51"/>
    <mergeCell ref="D52:F52"/>
    <mergeCell ref="D54:F54"/>
    <mergeCell ref="D55:F55"/>
    <mergeCell ref="D56:F56"/>
    <mergeCell ref="D45:F45"/>
    <mergeCell ref="D47:F47"/>
    <mergeCell ref="D48:F48"/>
    <mergeCell ref="D49:F49"/>
    <mergeCell ref="D50:F50"/>
    <mergeCell ref="D38:F38"/>
    <mergeCell ref="D39:F39"/>
    <mergeCell ref="D40:F40"/>
    <mergeCell ref="D41:F41"/>
    <mergeCell ref="D42:F42"/>
    <mergeCell ref="D44:F44"/>
    <mergeCell ref="D30:F30"/>
    <mergeCell ref="D31:F31"/>
    <mergeCell ref="D32:F32"/>
    <mergeCell ref="D35:F35"/>
    <mergeCell ref="D36:F36"/>
    <mergeCell ref="D37:F37"/>
    <mergeCell ref="D21:F21"/>
    <mergeCell ref="D25:F25"/>
    <mergeCell ref="D26:F26"/>
    <mergeCell ref="D27:F27"/>
    <mergeCell ref="D28:F28"/>
    <mergeCell ref="D29:F29"/>
    <mergeCell ref="D13:F13"/>
    <mergeCell ref="D14:F14"/>
    <mergeCell ref="D15:F15"/>
    <mergeCell ref="D17:F17"/>
    <mergeCell ref="D20:F20"/>
    <mergeCell ref="D4:D5"/>
    <mergeCell ref="E4:E5"/>
    <mergeCell ref="D6:F6"/>
    <mergeCell ref="D8:F8"/>
    <mergeCell ref="D9:F9"/>
    <mergeCell ref="D11:F11"/>
    <mergeCell ref="A3:A5"/>
    <mergeCell ref="B3:B5"/>
    <mergeCell ref="C3:C5"/>
    <mergeCell ref="D3:F3"/>
    <mergeCell ref="G3:J4"/>
    <mergeCell ref="K3:K5"/>
    <mergeCell ref="L3:L5"/>
    <mergeCell ref="M3:M5"/>
    <mergeCell ref="D12:F1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16"/>
  <sheetViews>
    <sheetView topLeftCell="A112" workbookViewId="0">
      <selection activeCell="I25" sqref="I25"/>
    </sheetView>
  </sheetViews>
  <sheetFormatPr defaultRowHeight="23.25" customHeight="1" x14ac:dyDescent="0.35"/>
  <cols>
    <col min="2" max="2" width="13.453125" customWidth="1"/>
    <col min="3" max="3" width="19" customWidth="1"/>
    <col min="4" max="8" width="9.1796875" customWidth="1"/>
    <col min="9" max="9" width="10.453125" style="112" customWidth="1"/>
  </cols>
  <sheetData>
    <row r="1" spans="1:9" ht="23.25" customHeight="1" x14ac:dyDescent="0.35">
      <c r="A1" s="203" t="s">
        <v>0</v>
      </c>
      <c r="B1" s="204"/>
      <c r="C1" s="204"/>
      <c r="D1" s="204"/>
      <c r="E1" s="204"/>
      <c r="F1" s="204"/>
      <c r="G1" s="204"/>
      <c r="H1" s="204"/>
      <c r="I1" s="204"/>
    </row>
    <row r="2" spans="1:9" ht="23.25" customHeight="1" x14ac:dyDescent="0.35">
      <c r="A2" s="203"/>
      <c r="B2" s="204"/>
      <c r="C2" s="204"/>
      <c r="D2" s="204"/>
      <c r="E2" s="204"/>
      <c r="F2" s="204"/>
      <c r="G2" s="204"/>
      <c r="H2" s="204"/>
      <c r="I2" s="204"/>
    </row>
    <row r="3" spans="1:9" ht="1.5" customHeight="1" x14ac:dyDescent="0.35">
      <c r="A3" s="203"/>
      <c r="B3" s="204"/>
      <c r="C3" s="204"/>
      <c r="D3" s="204"/>
      <c r="E3" s="204"/>
      <c r="F3" s="204"/>
      <c r="G3" s="204"/>
      <c r="H3" s="204"/>
      <c r="I3" s="204"/>
    </row>
    <row r="4" spans="1:9" ht="23.25" customHeight="1" x14ac:dyDescent="0.35">
      <c r="A4" s="205" t="s">
        <v>337</v>
      </c>
      <c r="B4" s="206"/>
      <c r="C4" s="206"/>
      <c r="D4" s="206"/>
      <c r="E4" s="206"/>
      <c r="F4" s="206"/>
      <c r="G4" s="206"/>
      <c r="H4" s="206"/>
      <c r="I4" s="206"/>
    </row>
    <row r="5" spans="1:9" ht="23.25" customHeight="1" x14ac:dyDescent="0.35">
      <c r="A5" s="207" t="s">
        <v>2</v>
      </c>
      <c r="B5" s="207" t="s">
        <v>3</v>
      </c>
      <c r="C5" s="207" t="s">
        <v>4</v>
      </c>
      <c r="D5" s="209" t="s">
        <v>5</v>
      </c>
      <c r="E5" s="210"/>
      <c r="F5" s="209" t="s">
        <v>6</v>
      </c>
      <c r="G5" s="210"/>
      <c r="H5" s="211" t="s">
        <v>7</v>
      </c>
      <c r="I5" s="116" t="s">
        <v>336</v>
      </c>
    </row>
    <row r="6" spans="1:9" ht="23.25" customHeight="1" x14ac:dyDescent="0.35">
      <c r="A6" s="208"/>
      <c r="B6" s="208"/>
      <c r="C6" s="208"/>
      <c r="D6" s="11" t="s">
        <v>9</v>
      </c>
      <c r="E6" s="11" t="s">
        <v>10</v>
      </c>
      <c r="F6" s="11" t="s">
        <v>11</v>
      </c>
      <c r="G6" s="11" t="s">
        <v>12</v>
      </c>
      <c r="H6" s="212"/>
      <c r="I6" s="115">
        <v>0.39</v>
      </c>
    </row>
    <row r="7" spans="1:9" ht="23.25" customHeight="1" x14ac:dyDescent="0.35">
      <c r="A7" s="42">
        <v>1</v>
      </c>
      <c r="B7" s="43" t="s">
        <v>13</v>
      </c>
      <c r="C7" s="44" t="s">
        <v>14</v>
      </c>
      <c r="D7" s="45">
        <v>0.5</v>
      </c>
      <c r="E7" s="45">
        <v>0.37</v>
      </c>
      <c r="F7" s="45">
        <v>25</v>
      </c>
      <c r="G7" s="45">
        <v>25</v>
      </c>
      <c r="H7" s="46">
        <v>2640</v>
      </c>
      <c r="I7" s="71">
        <f>H7*0.63</f>
        <v>1663.2</v>
      </c>
    </row>
    <row r="8" spans="1:9" ht="23.25" customHeight="1" x14ac:dyDescent="0.35">
      <c r="A8" s="42">
        <v>2</v>
      </c>
      <c r="B8" s="43" t="s">
        <v>15</v>
      </c>
      <c r="C8" s="44" t="s">
        <v>16</v>
      </c>
      <c r="D8" s="45">
        <v>1</v>
      </c>
      <c r="E8" s="45">
        <v>0.75</v>
      </c>
      <c r="F8" s="45">
        <v>25</v>
      </c>
      <c r="G8" s="45">
        <v>25</v>
      </c>
      <c r="H8" s="46">
        <v>3420</v>
      </c>
      <c r="I8" s="71">
        <f>H8*0.63</f>
        <v>2154.6</v>
      </c>
    </row>
    <row r="9" spans="1:9" ht="23.25" customHeight="1" x14ac:dyDescent="0.35">
      <c r="A9" s="43">
        <v>3</v>
      </c>
      <c r="B9" s="43" t="s">
        <v>17</v>
      </c>
      <c r="C9" s="44" t="s">
        <v>18</v>
      </c>
      <c r="D9" s="45">
        <v>0.5</v>
      </c>
      <c r="E9" s="45">
        <v>0.37</v>
      </c>
      <c r="F9" s="45">
        <v>25</v>
      </c>
      <c r="G9" s="45">
        <v>25</v>
      </c>
      <c r="H9" s="46">
        <v>2840</v>
      </c>
      <c r="I9" s="71">
        <f>H9*0.63</f>
        <v>1789.2</v>
      </c>
    </row>
    <row r="10" spans="1:9" ht="23.25" customHeight="1" x14ac:dyDescent="0.35">
      <c r="A10" s="42">
        <v>4</v>
      </c>
      <c r="B10" s="43" t="s">
        <v>19</v>
      </c>
      <c r="C10" s="44" t="s">
        <v>20</v>
      </c>
      <c r="D10" s="45">
        <v>1</v>
      </c>
      <c r="E10" s="45">
        <v>0.75</v>
      </c>
      <c r="F10" s="45">
        <v>25</v>
      </c>
      <c r="G10" s="45">
        <v>25</v>
      </c>
      <c r="H10" s="46">
        <v>3660</v>
      </c>
      <c r="I10" s="71">
        <f>H10*0.63</f>
        <v>2305.8000000000002</v>
      </c>
    </row>
    <row r="11" spans="1:9" ht="23.25" customHeight="1" x14ac:dyDescent="0.35">
      <c r="A11" s="42">
        <v>5</v>
      </c>
      <c r="B11" s="151" t="s">
        <v>21</v>
      </c>
      <c r="C11" s="48" t="s">
        <v>22</v>
      </c>
      <c r="D11" s="45">
        <v>0.5</v>
      </c>
      <c r="E11" s="45">
        <v>0.37</v>
      </c>
      <c r="F11" s="45">
        <v>25</v>
      </c>
      <c r="G11" s="45">
        <v>25</v>
      </c>
      <c r="H11" s="49">
        <v>3160</v>
      </c>
      <c r="I11" s="71">
        <f>H11*0.61</f>
        <v>1927.6</v>
      </c>
    </row>
    <row r="12" spans="1:9" ht="23.25" customHeight="1" x14ac:dyDescent="0.35">
      <c r="A12" s="42">
        <v>6</v>
      </c>
      <c r="B12" s="151" t="s">
        <v>23</v>
      </c>
      <c r="C12" s="48" t="s">
        <v>24</v>
      </c>
      <c r="D12" s="45">
        <v>1</v>
      </c>
      <c r="E12" s="45">
        <v>0.75</v>
      </c>
      <c r="F12" s="45">
        <v>25</v>
      </c>
      <c r="G12" s="45">
        <v>25</v>
      </c>
      <c r="H12" s="49">
        <v>4120</v>
      </c>
      <c r="I12" s="71">
        <f t="shared" ref="I12:I54" si="0">H12*0.61</f>
        <v>2513.1999999999998</v>
      </c>
    </row>
    <row r="13" spans="1:9" ht="23.25" customHeight="1" x14ac:dyDescent="0.35">
      <c r="A13" s="43">
        <v>7</v>
      </c>
      <c r="B13" s="43" t="s">
        <v>25</v>
      </c>
      <c r="C13" s="44" t="s">
        <v>26</v>
      </c>
      <c r="D13" s="45">
        <v>1.5</v>
      </c>
      <c r="E13" s="45">
        <v>1</v>
      </c>
      <c r="F13" s="45">
        <v>25</v>
      </c>
      <c r="G13" s="45">
        <v>25</v>
      </c>
      <c r="H13" s="49">
        <v>5750</v>
      </c>
      <c r="I13" s="71">
        <f t="shared" si="0"/>
        <v>3507.5</v>
      </c>
    </row>
    <row r="14" spans="1:9" ht="23.25" customHeight="1" x14ac:dyDescent="0.35">
      <c r="A14" s="42">
        <v>8</v>
      </c>
      <c r="B14" s="42" t="s">
        <v>27</v>
      </c>
      <c r="C14" s="48" t="s">
        <v>28</v>
      </c>
      <c r="D14" s="45">
        <v>0.5</v>
      </c>
      <c r="E14" s="45">
        <v>0.37</v>
      </c>
      <c r="F14" s="45">
        <v>25</v>
      </c>
      <c r="G14" s="45">
        <v>25</v>
      </c>
      <c r="H14" s="49">
        <v>3520</v>
      </c>
      <c r="I14" s="71">
        <f t="shared" si="0"/>
        <v>2147.1999999999998</v>
      </c>
    </row>
    <row r="15" spans="1:9" ht="23.25" customHeight="1" x14ac:dyDescent="0.35">
      <c r="A15" s="42">
        <v>9</v>
      </c>
      <c r="B15" s="43" t="s">
        <v>29</v>
      </c>
      <c r="C15" s="50" t="s">
        <v>30</v>
      </c>
      <c r="D15" s="45">
        <v>1</v>
      </c>
      <c r="E15" s="45">
        <v>0.75</v>
      </c>
      <c r="F15" s="45">
        <v>25</v>
      </c>
      <c r="G15" s="45">
        <v>25</v>
      </c>
      <c r="H15" s="49">
        <v>3660</v>
      </c>
      <c r="I15" s="71">
        <f t="shared" si="0"/>
        <v>2232.6</v>
      </c>
    </row>
    <row r="16" spans="1:9" ht="23.25" customHeight="1" x14ac:dyDescent="0.35">
      <c r="A16" s="42">
        <v>10</v>
      </c>
      <c r="B16" s="43" t="s">
        <v>31</v>
      </c>
      <c r="C16" s="44" t="s">
        <v>32</v>
      </c>
      <c r="D16" s="45">
        <v>1</v>
      </c>
      <c r="E16" s="45">
        <v>0.75</v>
      </c>
      <c r="F16" s="45">
        <v>25</v>
      </c>
      <c r="G16" s="45">
        <v>25</v>
      </c>
      <c r="H16" s="49">
        <v>4220</v>
      </c>
      <c r="I16" s="71">
        <f t="shared" si="0"/>
        <v>2574.1999999999998</v>
      </c>
    </row>
    <row r="17" spans="1:9" ht="23.25" customHeight="1" x14ac:dyDescent="0.35">
      <c r="A17" s="43">
        <v>11</v>
      </c>
      <c r="B17" s="42" t="s">
        <v>33</v>
      </c>
      <c r="C17" s="48" t="s">
        <v>34</v>
      </c>
      <c r="D17" s="45">
        <v>0.75</v>
      </c>
      <c r="E17" s="45">
        <v>0.56000000000000005</v>
      </c>
      <c r="F17" s="45">
        <v>25</v>
      </c>
      <c r="G17" s="45">
        <v>25</v>
      </c>
      <c r="H17" s="49">
        <v>4080</v>
      </c>
      <c r="I17" s="71">
        <f t="shared" si="0"/>
        <v>2488.7999999999997</v>
      </c>
    </row>
    <row r="18" spans="1:9" ht="23.25" customHeight="1" x14ac:dyDescent="0.35">
      <c r="A18" s="42">
        <v>12</v>
      </c>
      <c r="B18" s="43" t="s">
        <v>35</v>
      </c>
      <c r="C18" s="51" t="s">
        <v>36</v>
      </c>
      <c r="D18" s="45">
        <v>1</v>
      </c>
      <c r="E18" s="45">
        <v>0.75</v>
      </c>
      <c r="F18" s="45">
        <v>25</v>
      </c>
      <c r="G18" s="45">
        <v>25</v>
      </c>
      <c r="H18" s="49">
        <v>4730</v>
      </c>
      <c r="I18" s="71">
        <f t="shared" si="0"/>
        <v>2885.2999999999997</v>
      </c>
    </row>
    <row r="19" spans="1:9" ht="23.25" customHeight="1" x14ac:dyDescent="0.35">
      <c r="A19" s="42">
        <v>13</v>
      </c>
      <c r="B19" s="43" t="s">
        <v>37</v>
      </c>
      <c r="C19" s="51" t="s">
        <v>38</v>
      </c>
      <c r="D19" s="45">
        <v>1</v>
      </c>
      <c r="E19" s="45">
        <v>0.75</v>
      </c>
      <c r="F19" s="45">
        <v>25</v>
      </c>
      <c r="G19" s="45">
        <v>25</v>
      </c>
      <c r="H19" s="49">
        <v>4730</v>
      </c>
      <c r="I19" s="71">
        <f t="shared" si="0"/>
        <v>2885.2999999999997</v>
      </c>
    </row>
    <row r="20" spans="1:9" ht="23.25" customHeight="1" x14ac:dyDescent="0.35">
      <c r="A20" s="42">
        <v>14</v>
      </c>
      <c r="B20" s="42" t="s">
        <v>39</v>
      </c>
      <c r="C20" s="48" t="s">
        <v>40</v>
      </c>
      <c r="D20" s="45">
        <v>1</v>
      </c>
      <c r="E20" s="45">
        <v>0.75</v>
      </c>
      <c r="F20" s="45">
        <v>25</v>
      </c>
      <c r="G20" s="45">
        <v>25</v>
      </c>
      <c r="H20" s="49">
        <v>5170</v>
      </c>
      <c r="I20" s="71">
        <f t="shared" si="0"/>
        <v>3153.7</v>
      </c>
    </row>
    <row r="21" spans="1:9" ht="23.25" customHeight="1" x14ac:dyDescent="0.35">
      <c r="A21" s="43">
        <v>15</v>
      </c>
      <c r="B21" s="42" t="s">
        <v>41</v>
      </c>
      <c r="C21" s="48" t="s">
        <v>42</v>
      </c>
      <c r="D21" s="45">
        <v>1</v>
      </c>
      <c r="E21" s="45">
        <v>0.75</v>
      </c>
      <c r="F21" s="45">
        <v>25</v>
      </c>
      <c r="G21" s="45">
        <v>25</v>
      </c>
      <c r="H21" s="49">
        <v>4670</v>
      </c>
      <c r="I21" s="71">
        <f t="shared" si="0"/>
        <v>2848.7</v>
      </c>
    </row>
    <row r="22" spans="1:9" ht="23.25" customHeight="1" x14ac:dyDescent="0.35">
      <c r="A22" s="42">
        <v>16</v>
      </c>
      <c r="B22" s="43" t="s">
        <v>43</v>
      </c>
      <c r="C22" s="44" t="s">
        <v>44</v>
      </c>
      <c r="D22" s="45">
        <v>1.2</v>
      </c>
      <c r="E22" s="45">
        <v>0.9</v>
      </c>
      <c r="F22" s="45">
        <v>25</v>
      </c>
      <c r="G22" s="45">
        <v>25</v>
      </c>
      <c r="H22" s="49">
        <v>6650</v>
      </c>
      <c r="I22" s="71">
        <f t="shared" si="0"/>
        <v>4056.5</v>
      </c>
    </row>
    <row r="23" spans="1:9" ht="23.25" customHeight="1" x14ac:dyDescent="0.35">
      <c r="A23" s="42">
        <v>17</v>
      </c>
      <c r="B23" s="42" t="s">
        <v>45</v>
      </c>
      <c r="C23" s="48" t="s">
        <v>46</v>
      </c>
      <c r="D23" s="45">
        <v>1.5</v>
      </c>
      <c r="E23" s="45">
        <v>1.1000000000000001</v>
      </c>
      <c r="F23" s="45">
        <v>25</v>
      </c>
      <c r="G23" s="45">
        <v>25</v>
      </c>
      <c r="H23" s="49">
        <v>8150</v>
      </c>
      <c r="I23" s="71">
        <f t="shared" si="0"/>
        <v>4971.5</v>
      </c>
    </row>
    <row r="24" spans="1:9" ht="23.25" customHeight="1" x14ac:dyDescent="0.35">
      <c r="A24" s="42">
        <v>18</v>
      </c>
      <c r="B24" s="42" t="s">
        <v>47</v>
      </c>
      <c r="C24" s="48" t="s">
        <v>48</v>
      </c>
      <c r="D24" s="45">
        <v>2</v>
      </c>
      <c r="E24" s="45">
        <v>1.5</v>
      </c>
      <c r="F24" s="45">
        <v>25</v>
      </c>
      <c r="G24" s="45">
        <v>25</v>
      </c>
      <c r="H24" s="49">
        <v>9190</v>
      </c>
      <c r="I24" s="71">
        <f t="shared" si="0"/>
        <v>5605.9</v>
      </c>
    </row>
    <row r="25" spans="1:9" ht="23.25" customHeight="1" x14ac:dyDescent="0.35">
      <c r="A25" s="43">
        <v>19</v>
      </c>
      <c r="B25" s="151" t="s">
        <v>49</v>
      </c>
      <c r="C25" s="48" t="s">
        <v>50</v>
      </c>
      <c r="D25" s="45">
        <v>0.5</v>
      </c>
      <c r="E25" s="45">
        <v>0.37</v>
      </c>
      <c r="F25" s="45">
        <v>25</v>
      </c>
      <c r="G25" s="45">
        <v>25</v>
      </c>
      <c r="H25" s="49">
        <v>3310</v>
      </c>
      <c r="I25" s="71">
        <f t="shared" si="0"/>
        <v>2019.1</v>
      </c>
    </row>
    <row r="26" spans="1:9" ht="23.25" customHeight="1" x14ac:dyDescent="0.35">
      <c r="A26" s="42">
        <v>20</v>
      </c>
      <c r="B26" s="43" t="s">
        <v>51</v>
      </c>
      <c r="C26" s="44" t="s">
        <v>52</v>
      </c>
      <c r="D26" s="45">
        <v>0.5</v>
      </c>
      <c r="E26" s="45">
        <v>0.37</v>
      </c>
      <c r="F26" s="45">
        <v>25</v>
      </c>
      <c r="G26" s="45">
        <v>25</v>
      </c>
      <c r="H26" s="52">
        <v>4380</v>
      </c>
      <c r="I26" s="71">
        <f>H26*0.63</f>
        <v>2759.4</v>
      </c>
    </row>
    <row r="27" spans="1:9" ht="23.25" customHeight="1" x14ac:dyDescent="0.35">
      <c r="A27" s="42">
        <v>21</v>
      </c>
      <c r="B27" s="43" t="s">
        <v>53</v>
      </c>
      <c r="C27" s="44" t="s">
        <v>54</v>
      </c>
      <c r="D27" s="45">
        <v>1</v>
      </c>
      <c r="E27" s="45">
        <v>0.75</v>
      </c>
      <c r="F27" s="45">
        <v>25</v>
      </c>
      <c r="G27" s="45">
        <v>25</v>
      </c>
      <c r="H27" s="52">
        <v>5300</v>
      </c>
      <c r="I27" s="71">
        <f>H27*0.63</f>
        <v>3339</v>
      </c>
    </row>
    <row r="28" spans="1:9" ht="23.25" customHeight="1" x14ac:dyDescent="0.35">
      <c r="A28" s="42">
        <v>22</v>
      </c>
      <c r="B28" s="42" t="s">
        <v>55</v>
      </c>
      <c r="C28" s="48" t="s">
        <v>56</v>
      </c>
      <c r="D28" s="45">
        <v>1.1000000000000001</v>
      </c>
      <c r="E28" s="45">
        <v>0.8</v>
      </c>
      <c r="F28" s="45">
        <v>25</v>
      </c>
      <c r="G28" s="45">
        <v>25</v>
      </c>
      <c r="H28" s="49">
        <v>5040</v>
      </c>
      <c r="I28" s="71">
        <f t="shared" si="0"/>
        <v>3074.4</v>
      </c>
    </row>
    <row r="29" spans="1:9" ht="23.25" customHeight="1" x14ac:dyDescent="0.35">
      <c r="A29" s="43">
        <v>23</v>
      </c>
      <c r="B29" s="42" t="s">
        <v>57</v>
      </c>
      <c r="C29" s="48" t="s">
        <v>58</v>
      </c>
      <c r="D29" s="45">
        <v>1.1000000000000001</v>
      </c>
      <c r="E29" s="45">
        <v>0.8</v>
      </c>
      <c r="F29" s="45">
        <v>25</v>
      </c>
      <c r="G29" s="45">
        <v>25</v>
      </c>
      <c r="H29" s="49">
        <v>5150</v>
      </c>
      <c r="I29" s="71">
        <f t="shared" si="0"/>
        <v>3141.5</v>
      </c>
    </row>
    <row r="30" spans="1:9" ht="23.25" customHeight="1" x14ac:dyDescent="0.35">
      <c r="A30" s="42">
        <v>24</v>
      </c>
      <c r="B30" s="43" t="s">
        <v>59</v>
      </c>
      <c r="C30" s="51" t="s">
        <v>60</v>
      </c>
      <c r="D30" s="45">
        <v>1.25</v>
      </c>
      <c r="E30" s="45">
        <v>0.94</v>
      </c>
      <c r="F30" s="45">
        <v>25</v>
      </c>
      <c r="G30" s="45">
        <v>25</v>
      </c>
      <c r="H30" s="49">
        <v>6630</v>
      </c>
      <c r="I30" s="71">
        <f t="shared" si="0"/>
        <v>4044.2999999999997</v>
      </c>
    </row>
    <row r="31" spans="1:9" ht="23.25" customHeight="1" x14ac:dyDescent="0.35">
      <c r="A31" s="42">
        <v>25</v>
      </c>
      <c r="B31" s="42" t="s">
        <v>61</v>
      </c>
      <c r="C31" s="48" t="s">
        <v>62</v>
      </c>
      <c r="D31" s="53">
        <v>0.5</v>
      </c>
      <c r="E31" s="53">
        <v>0.37</v>
      </c>
      <c r="F31" s="53">
        <v>25</v>
      </c>
      <c r="G31" s="53">
        <v>25</v>
      </c>
      <c r="H31" s="54">
        <v>4950</v>
      </c>
      <c r="I31" s="71">
        <f>H31*0.63</f>
        <v>3118.5</v>
      </c>
    </row>
    <row r="32" spans="1:9" ht="23.25" customHeight="1" x14ac:dyDescent="0.35">
      <c r="A32" s="42">
        <v>26</v>
      </c>
      <c r="B32" s="42" t="s">
        <v>63</v>
      </c>
      <c r="C32" s="48" t="s">
        <v>64</v>
      </c>
      <c r="D32" s="53">
        <v>0.5</v>
      </c>
      <c r="E32" s="53">
        <v>0.37</v>
      </c>
      <c r="F32" s="53">
        <v>25</v>
      </c>
      <c r="G32" s="53">
        <v>25</v>
      </c>
      <c r="H32" s="54">
        <v>5000</v>
      </c>
      <c r="I32" s="71">
        <f>H32*0.63</f>
        <v>3150</v>
      </c>
    </row>
    <row r="33" spans="1:9" ht="23.25" customHeight="1" x14ac:dyDescent="0.35">
      <c r="A33" s="43">
        <v>27</v>
      </c>
      <c r="B33" s="42" t="s">
        <v>65</v>
      </c>
      <c r="C33" s="48" t="s">
        <v>66</v>
      </c>
      <c r="D33" s="45">
        <v>1</v>
      </c>
      <c r="E33" s="45">
        <v>0.75</v>
      </c>
      <c r="F33" s="45">
        <v>25</v>
      </c>
      <c r="G33" s="45">
        <v>25</v>
      </c>
      <c r="H33" s="49">
        <v>5560</v>
      </c>
      <c r="I33" s="71">
        <f t="shared" si="0"/>
        <v>3391.6</v>
      </c>
    </row>
    <row r="34" spans="1:9" ht="23.25" customHeight="1" x14ac:dyDescent="0.35">
      <c r="A34" s="42">
        <v>28</v>
      </c>
      <c r="B34" s="42" t="s">
        <v>67</v>
      </c>
      <c r="C34" s="48" t="s">
        <v>68</v>
      </c>
      <c r="D34" s="45">
        <v>1</v>
      </c>
      <c r="E34" s="45">
        <v>0.75</v>
      </c>
      <c r="F34" s="45">
        <v>25</v>
      </c>
      <c r="G34" s="45">
        <v>25</v>
      </c>
      <c r="H34" s="49">
        <v>5650</v>
      </c>
      <c r="I34" s="71">
        <f t="shared" si="0"/>
        <v>3446.5</v>
      </c>
    </row>
    <row r="35" spans="1:9" ht="23.25" customHeight="1" x14ac:dyDescent="0.35">
      <c r="A35" s="42">
        <v>29</v>
      </c>
      <c r="B35" s="42" t="s">
        <v>69</v>
      </c>
      <c r="C35" s="48" t="s">
        <v>70</v>
      </c>
      <c r="D35" s="45">
        <v>1.5</v>
      </c>
      <c r="E35" s="45">
        <v>1.1000000000000001</v>
      </c>
      <c r="F35" s="45">
        <v>25</v>
      </c>
      <c r="G35" s="45">
        <v>25</v>
      </c>
      <c r="H35" s="49">
        <v>7840</v>
      </c>
      <c r="I35" s="71">
        <f t="shared" si="0"/>
        <v>4782.3999999999996</v>
      </c>
    </row>
    <row r="36" spans="1:9" ht="23.25" customHeight="1" x14ac:dyDescent="0.35">
      <c r="A36" s="42">
        <v>30</v>
      </c>
      <c r="B36" s="42" t="s">
        <v>71</v>
      </c>
      <c r="C36" s="48" t="s">
        <v>72</v>
      </c>
      <c r="D36" s="45">
        <v>1.5</v>
      </c>
      <c r="E36" s="45">
        <v>1.1000000000000001</v>
      </c>
      <c r="F36" s="45">
        <v>25</v>
      </c>
      <c r="G36" s="45">
        <v>25</v>
      </c>
      <c r="H36" s="49">
        <v>8170</v>
      </c>
      <c r="I36" s="71">
        <f t="shared" si="0"/>
        <v>4983.7</v>
      </c>
    </row>
    <row r="37" spans="1:9" ht="23.25" customHeight="1" x14ac:dyDescent="0.35">
      <c r="A37" s="43">
        <v>31</v>
      </c>
      <c r="B37" s="43" t="s">
        <v>73</v>
      </c>
      <c r="C37" s="44" t="s">
        <v>74</v>
      </c>
      <c r="D37" s="45">
        <v>0.5</v>
      </c>
      <c r="E37" s="45">
        <v>0.37</v>
      </c>
      <c r="F37" s="45">
        <v>25</v>
      </c>
      <c r="G37" s="45">
        <v>25</v>
      </c>
      <c r="H37" s="49">
        <v>6450</v>
      </c>
      <c r="I37" s="71">
        <f t="shared" si="0"/>
        <v>3934.5</v>
      </c>
    </row>
    <row r="38" spans="1:9" ht="23.25" customHeight="1" x14ac:dyDescent="0.35">
      <c r="A38" s="42">
        <v>32</v>
      </c>
      <c r="B38" s="42" t="s">
        <v>75</v>
      </c>
      <c r="C38" s="48" t="s">
        <v>76</v>
      </c>
      <c r="D38" s="55">
        <v>0.9</v>
      </c>
      <c r="E38" s="55">
        <v>0.7</v>
      </c>
      <c r="F38" s="55">
        <v>25</v>
      </c>
      <c r="G38" s="55">
        <v>25</v>
      </c>
      <c r="H38" s="49">
        <v>6640</v>
      </c>
      <c r="I38" s="71">
        <f t="shared" si="0"/>
        <v>4050.4</v>
      </c>
    </row>
    <row r="39" spans="1:9" ht="23.25" customHeight="1" x14ac:dyDescent="0.35">
      <c r="A39" s="42">
        <v>33</v>
      </c>
      <c r="B39" s="42" t="s">
        <v>77</v>
      </c>
      <c r="C39" s="48" t="s">
        <v>78</v>
      </c>
      <c r="D39" s="55">
        <v>1</v>
      </c>
      <c r="E39" s="55">
        <v>0.75</v>
      </c>
      <c r="F39" s="55">
        <v>25</v>
      </c>
      <c r="G39" s="55">
        <v>25</v>
      </c>
      <c r="H39" s="49">
        <v>7100</v>
      </c>
      <c r="I39" s="71">
        <f t="shared" si="0"/>
        <v>4331</v>
      </c>
    </row>
    <row r="40" spans="1:9" ht="23.25" customHeight="1" x14ac:dyDescent="0.35">
      <c r="A40" s="42">
        <v>34</v>
      </c>
      <c r="B40" s="43" t="s">
        <v>79</v>
      </c>
      <c r="C40" s="50" t="s">
        <v>80</v>
      </c>
      <c r="D40" s="55">
        <v>0.5</v>
      </c>
      <c r="E40" s="55">
        <v>0.37</v>
      </c>
      <c r="F40" s="55">
        <v>25</v>
      </c>
      <c r="G40" s="55">
        <v>25</v>
      </c>
      <c r="H40" s="49">
        <v>5500</v>
      </c>
      <c r="I40" s="71">
        <f t="shared" si="0"/>
        <v>3355</v>
      </c>
    </row>
    <row r="41" spans="1:9" ht="23.25" customHeight="1" x14ac:dyDescent="0.35">
      <c r="A41" s="43">
        <v>35</v>
      </c>
      <c r="B41" s="43"/>
      <c r="C41" s="50" t="s">
        <v>81</v>
      </c>
      <c r="D41" s="55">
        <v>1</v>
      </c>
      <c r="E41" s="55">
        <v>0.75</v>
      </c>
      <c r="F41" s="55">
        <v>25</v>
      </c>
      <c r="G41" s="55">
        <v>25</v>
      </c>
      <c r="H41" s="49">
        <v>6200</v>
      </c>
      <c r="I41" s="71">
        <f t="shared" si="0"/>
        <v>3782</v>
      </c>
    </row>
    <row r="42" spans="1:9" ht="23.25" customHeight="1" x14ac:dyDescent="0.35">
      <c r="A42" s="42">
        <v>36</v>
      </c>
      <c r="B42" s="43" t="s">
        <v>82</v>
      </c>
      <c r="C42" s="44" t="s">
        <v>83</v>
      </c>
      <c r="D42" s="56">
        <v>0.5</v>
      </c>
      <c r="E42" s="56">
        <v>0.37</v>
      </c>
      <c r="F42" s="56">
        <v>25</v>
      </c>
      <c r="G42" s="56">
        <v>25</v>
      </c>
      <c r="H42" s="49">
        <v>7140</v>
      </c>
      <c r="I42" s="71">
        <f t="shared" si="0"/>
        <v>4355.3999999999996</v>
      </c>
    </row>
    <row r="43" spans="1:9" ht="23.25" customHeight="1" x14ac:dyDescent="0.35">
      <c r="A43" s="42">
        <v>37</v>
      </c>
      <c r="B43" s="42" t="s">
        <v>84</v>
      </c>
      <c r="C43" s="48" t="s">
        <v>85</v>
      </c>
      <c r="D43" s="56">
        <v>1.1000000000000001</v>
      </c>
      <c r="E43" s="56">
        <v>0.8</v>
      </c>
      <c r="F43" s="56">
        <v>25</v>
      </c>
      <c r="G43" s="56">
        <v>25</v>
      </c>
      <c r="H43" s="49">
        <v>7700</v>
      </c>
      <c r="I43" s="71">
        <f t="shared" si="0"/>
        <v>4697</v>
      </c>
    </row>
    <row r="44" spans="1:9" ht="23.25" customHeight="1" x14ac:dyDescent="0.35">
      <c r="A44" s="42">
        <v>38</v>
      </c>
      <c r="B44" s="42" t="s">
        <v>86</v>
      </c>
      <c r="C44" s="48" t="s">
        <v>87</v>
      </c>
      <c r="D44" s="56">
        <v>1.5</v>
      </c>
      <c r="E44" s="56">
        <v>1.1000000000000001</v>
      </c>
      <c r="F44" s="56">
        <v>25</v>
      </c>
      <c r="G44" s="56">
        <v>25</v>
      </c>
      <c r="H44" s="49">
        <v>8690</v>
      </c>
      <c r="I44" s="71">
        <f t="shared" si="0"/>
        <v>5300.9</v>
      </c>
    </row>
    <row r="45" spans="1:9" ht="23.25" customHeight="1" x14ac:dyDescent="0.35">
      <c r="A45" s="43">
        <v>39</v>
      </c>
      <c r="B45" s="43" t="s">
        <v>88</v>
      </c>
      <c r="C45" s="44" t="s">
        <v>89</v>
      </c>
      <c r="D45" s="45">
        <v>0.5</v>
      </c>
      <c r="E45" s="45">
        <v>0.37</v>
      </c>
      <c r="F45" s="45">
        <v>25</v>
      </c>
      <c r="G45" s="45">
        <v>12</v>
      </c>
      <c r="H45" s="49">
        <v>4860</v>
      </c>
      <c r="I45" s="71">
        <f t="shared" si="0"/>
        <v>2964.6</v>
      </c>
    </row>
    <row r="46" spans="1:9" ht="23.25" customHeight="1" x14ac:dyDescent="0.35">
      <c r="A46" s="42">
        <v>40</v>
      </c>
      <c r="B46" s="43" t="s">
        <v>90</v>
      </c>
      <c r="C46" s="44" t="s">
        <v>91</v>
      </c>
      <c r="D46" s="45">
        <v>1</v>
      </c>
      <c r="E46" s="45">
        <v>0.75</v>
      </c>
      <c r="F46" s="45">
        <v>25</v>
      </c>
      <c r="G46" s="45">
        <v>25</v>
      </c>
      <c r="H46" s="49">
        <v>5600</v>
      </c>
      <c r="I46" s="71">
        <f t="shared" si="0"/>
        <v>3416</v>
      </c>
    </row>
    <row r="47" spans="1:9" ht="23.25" customHeight="1" x14ac:dyDescent="0.35">
      <c r="A47" s="42">
        <v>41</v>
      </c>
      <c r="B47" s="42" t="s">
        <v>92</v>
      </c>
      <c r="C47" s="48" t="s">
        <v>93</v>
      </c>
      <c r="D47" s="53">
        <v>1</v>
      </c>
      <c r="E47" s="53">
        <v>0.75</v>
      </c>
      <c r="F47" s="53">
        <v>25</v>
      </c>
      <c r="G47" s="53">
        <v>25</v>
      </c>
      <c r="H47" s="54">
        <v>8420</v>
      </c>
      <c r="I47" s="71">
        <f>H47*0.63</f>
        <v>5304.6</v>
      </c>
    </row>
    <row r="48" spans="1:9" ht="23.25" customHeight="1" x14ac:dyDescent="0.35">
      <c r="A48" s="42">
        <v>42</v>
      </c>
      <c r="B48" s="42" t="s">
        <v>94</v>
      </c>
      <c r="C48" s="48" t="s">
        <v>95</v>
      </c>
      <c r="D48" s="45">
        <v>1.1000000000000001</v>
      </c>
      <c r="E48" s="45">
        <v>0.8</v>
      </c>
      <c r="F48" s="45">
        <v>25</v>
      </c>
      <c r="G48" s="45">
        <v>25</v>
      </c>
      <c r="H48" s="49">
        <v>12020</v>
      </c>
      <c r="I48" s="71">
        <f t="shared" si="0"/>
        <v>7332.2</v>
      </c>
    </row>
    <row r="49" spans="1:9" ht="23.25" customHeight="1" x14ac:dyDescent="0.35">
      <c r="A49" s="43">
        <v>43</v>
      </c>
      <c r="B49" s="43" t="s">
        <v>96</v>
      </c>
      <c r="C49" s="44" t="s">
        <v>97</v>
      </c>
      <c r="D49" s="45">
        <v>0.5</v>
      </c>
      <c r="E49" s="45">
        <v>0.37</v>
      </c>
      <c r="F49" s="45">
        <v>25</v>
      </c>
      <c r="G49" s="45">
        <v>25</v>
      </c>
      <c r="H49" s="49">
        <v>7530</v>
      </c>
      <c r="I49" s="71">
        <f t="shared" si="0"/>
        <v>4593.3</v>
      </c>
    </row>
    <row r="50" spans="1:9" ht="23.25" customHeight="1" x14ac:dyDescent="0.35">
      <c r="A50" s="42">
        <v>44</v>
      </c>
      <c r="B50" s="43" t="s">
        <v>98</v>
      </c>
      <c r="C50" s="44" t="s">
        <v>99</v>
      </c>
      <c r="D50" s="45">
        <v>1</v>
      </c>
      <c r="E50" s="45">
        <v>0.75</v>
      </c>
      <c r="F50" s="45">
        <v>25</v>
      </c>
      <c r="G50" s="45">
        <v>25</v>
      </c>
      <c r="H50" s="49">
        <v>9150</v>
      </c>
      <c r="I50" s="71">
        <f t="shared" si="0"/>
        <v>5581.5</v>
      </c>
    </row>
    <row r="51" spans="1:9" ht="23.25" customHeight="1" x14ac:dyDescent="0.35">
      <c r="A51" s="42">
        <v>45</v>
      </c>
      <c r="B51" s="43" t="s">
        <v>100</v>
      </c>
      <c r="C51" s="44" t="s">
        <v>101</v>
      </c>
      <c r="D51" s="45">
        <v>1</v>
      </c>
      <c r="E51" s="45">
        <v>0.75</v>
      </c>
      <c r="F51" s="45">
        <v>25</v>
      </c>
      <c r="G51" s="45">
        <v>25</v>
      </c>
      <c r="H51" s="57">
        <v>16800</v>
      </c>
      <c r="I51" s="71">
        <f t="shared" si="0"/>
        <v>10248</v>
      </c>
    </row>
    <row r="52" spans="1:9" ht="23.25" customHeight="1" x14ac:dyDescent="0.35">
      <c r="A52" s="42">
        <v>46</v>
      </c>
      <c r="B52" s="42" t="s">
        <v>102</v>
      </c>
      <c r="C52" s="48" t="s">
        <v>103</v>
      </c>
      <c r="D52" s="45">
        <v>0.5</v>
      </c>
      <c r="E52" s="45">
        <v>0.37</v>
      </c>
      <c r="F52" s="45">
        <v>25</v>
      </c>
      <c r="G52" s="45">
        <v>25</v>
      </c>
      <c r="H52" s="49">
        <v>17760</v>
      </c>
      <c r="I52" s="71">
        <f t="shared" si="0"/>
        <v>10833.6</v>
      </c>
    </row>
    <row r="53" spans="1:9" ht="23.25" customHeight="1" x14ac:dyDescent="0.35">
      <c r="A53" s="43">
        <v>47</v>
      </c>
      <c r="B53" s="42" t="s">
        <v>104</v>
      </c>
      <c r="C53" s="48" t="s">
        <v>105</v>
      </c>
      <c r="D53" s="45">
        <v>1</v>
      </c>
      <c r="E53" s="45">
        <v>0.75</v>
      </c>
      <c r="F53" s="45">
        <v>25</v>
      </c>
      <c r="G53" s="45">
        <v>25</v>
      </c>
      <c r="H53" s="49">
        <v>19120</v>
      </c>
      <c r="I53" s="71">
        <f t="shared" si="0"/>
        <v>11663.199999999999</v>
      </c>
    </row>
    <row r="54" spans="1:9" ht="23.25" customHeight="1" x14ac:dyDescent="0.35">
      <c r="A54" s="42">
        <v>48</v>
      </c>
      <c r="B54" s="42" t="s">
        <v>106</v>
      </c>
      <c r="C54" s="48" t="s">
        <v>107</v>
      </c>
      <c r="D54" s="45">
        <v>1.1000000000000001</v>
      </c>
      <c r="E54" s="45">
        <v>0.8</v>
      </c>
      <c r="F54" s="45">
        <v>25</v>
      </c>
      <c r="G54" s="45">
        <v>25</v>
      </c>
      <c r="H54" s="49">
        <v>20900</v>
      </c>
      <c r="I54" s="69">
        <f t="shared" si="0"/>
        <v>12749</v>
      </c>
    </row>
    <row r="55" spans="1:9" ht="23.25" customHeight="1" x14ac:dyDescent="0.35">
      <c r="A55" s="213" t="s">
        <v>108</v>
      </c>
      <c r="B55" s="214"/>
      <c r="C55" s="214"/>
      <c r="D55" s="214"/>
      <c r="E55" s="214"/>
      <c r="F55" s="214"/>
      <c r="G55" s="215"/>
      <c r="H55" s="216" t="s">
        <v>109</v>
      </c>
      <c r="I55" s="219" t="s">
        <v>334</v>
      </c>
    </row>
    <row r="56" spans="1:9" ht="23.25" customHeight="1" x14ac:dyDescent="0.35">
      <c r="A56" s="221" t="s">
        <v>2</v>
      </c>
      <c r="B56" s="221" t="s">
        <v>3</v>
      </c>
      <c r="C56" s="223" t="s">
        <v>4</v>
      </c>
      <c r="D56" s="225" t="s">
        <v>5</v>
      </c>
      <c r="E56" s="226"/>
      <c r="F56" s="225" t="s">
        <v>6</v>
      </c>
      <c r="G56" s="226"/>
      <c r="H56" s="217"/>
      <c r="I56" s="220"/>
    </row>
    <row r="57" spans="1:9" ht="23.25" customHeight="1" x14ac:dyDescent="0.35">
      <c r="A57" s="222"/>
      <c r="B57" s="222"/>
      <c r="C57" s="224"/>
      <c r="D57" s="58" t="s">
        <v>9</v>
      </c>
      <c r="E57" s="58" t="s">
        <v>10</v>
      </c>
      <c r="F57" s="58" t="s">
        <v>11</v>
      </c>
      <c r="G57" s="58" t="s">
        <v>12</v>
      </c>
      <c r="H57" s="218"/>
      <c r="I57" s="146">
        <v>0.39</v>
      </c>
    </row>
    <row r="58" spans="1:9" ht="23.25" customHeight="1" x14ac:dyDescent="0.35">
      <c r="A58" s="42">
        <v>1</v>
      </c>
      <c r="B58" s="42" t="s">
        <v>110</v>
      </c>
      <c r="C58" s="48" t="s">
        <v>111</v>
      </c>
      <c r="D58" s="227">
        <v>0.5</v>
      </c>
      <c r="E58" s="227">
        <v>0.37</v>
      </c>
      <c r="F58" s="45">
        <v>25</v>
      </c>
      <c r="G58" s="45">
        <v>25</v>
      </c>
      <c r="H58" s="49">
        <v>4680</v>
      </c>
      <c r="I58" s="71">
        <f t="shared" ref="I58:I113" si="1">H58*0.61</f>
        <v>2854.7999999999997</v>
      </c>
    </row>
    <row r="59" spans="1:9" ht="23.25" customHeight="1" x14ac:dyDescent="0.35">
      <c r="A59" s="42">
        <v>2</v>
      </c>
      <c r="B59" s="42" t="s">
        <v>112</v>
      </c>
      <c r="C59" s="48" t="s">
        <v>113</v>
      </c>
      <c r="D59" s="228"/>
      <c r="E59" s="228"/>
      <c r="F59" s="45">
        <v>40</v>
      </c>
      <c r="G59" s="45">
        <v>40</v>
      </c>
      <c r="H59" s="49">
        <v>6430</v>
      </c>
      <c r="I59" s="71">
        <f t="shared" si="1"/>
        <v>3922.2999999999997</v>
      </c>
    </row>
    <row r="60" spans="1:9" ht="23.25" customHeight="1" x14ac:dyDescent="0.35">
      <c r="A60" s="43">
        <v>3</v>
      </c>
      <c r="B60" s="43" t="s">
        <v>114</v>
      </c>
      <c r="C60" s="60" t="s">
        <v>115</v>
      </c>
      <c r="D60" s="45">
        <v>0.75</v>
      </c>
      <c r="E60" s="45">
        <v>0.56000000000000005</v>
      </c>
      <c r="F60" s="45">
        <v>40</v>
      </c>
      <c r="G60" s="45">
        <v>40</v>
      </c>
      <c r="H60" s="57">
        <v>6240</v>
      </c>
      <c r="I60" s="71">
        <f t="shared" si="1"/>
        <v>3806.4</v>
      </c>
    </row>
    <row r="61" spans="1:9" ht="23.25" customHeight="1" x14ac:dyDescent="0.35">
      <c r="A61" s="42">
        <v>4</v>
      </c>
      <c r="B61" s="42" t="s">
        <v>116</v>
      </c>
      <c r="C61" s="48" t="s">
        <v>117</v>
      </c>
      <c r="D61" s="229">
        <v>1</v>
      </c>
      <c r="E61" s="229">
        <v>0.75</v>
      </c>
      <c r="F61" s="56">
        <v>25</v>
      </c>
      <c r="G61" s="56">
        <v>25</v>
      </c>
      <c r="H61" s="49">
        <v>7572</v>
      </c>
      <c r="I61" s="71">
        <f t="shared" si="1"/>
        <v>4618.92</v>
      </c>
    </row>
    <row r="62" spans="1:9" ht="23.25" customHeight="1" x14ac:dyDescent="0.35">
      <c r="A62" s="42">
        <v>5</v>
      </c>
      <c r="B62" s="42" t="s">
        <v>118</v>
      </c>
      <c r="C62" s="48" t="s">
        <v>119</v>
      </c>
      <c r="D62" s="230"/>
      <c r="E62" s="230"/>
      <c r="F62" s="56">
        <v>50</v>
      </c>
      <c r="G62" s="56">
        <v>50</v>
      </c>
      <c r="H62" s="49">
        <v>8900</v>
      </c>
      <c r="I62" s="71">
        <f t="shared" si="1"/>
        <v>5429</v>
      </c>
    </row>
    <row r="63" spans="1:9" ht="23.25" customHeight="1" x14ac:dyDescent="0.35">
      <c r="A63" s="43">
        <v>6</v>
      </c>
      <c r="B63" s="42" t="s">
        <v>120</v>
      </c>
      <c r="C63" s="48" t="s">
        <v>121</v>
      </c>
      <c r="D63" s="230"/>
      <c r="E63" s="230"/>
      <c r="F63" s="56">
        <v>50</v>
      </c>
      <c r="G63" s="56">
        <v>50</v>
      </c>
      <c r="H63" s="57">
        <v>9100</v>
      </c>
      <c r="I63" s="71">
        <f t="shared" si="1"/>
        <v>5551</v>
      </c>
    </row>
    <row r="64" spans="1:9" ht="23.25" customHeight="1" x14ac:dyDescent="0.35">
      <c r="A64" s="42">
        <v>7</v>
      </c>
      <c r="B64" s="43" t="s">
        <v>122</v>
      </c>
      <c r="C64" s="60" t="s">
        <v>123</v>
      </c>
      <c r="D64" s="230"/>
      <c r="E64" s="230"/>
      <c r="F64" s="56">
        <v>50</v>
      </c>
      <c r="G64" s="56">
        <v>50</v>
      </c>
      <c r="H64" s="57">
        <v>9000</v>
      </c>
      <c r="I64" s="71">
        <f t="shared" si="1"/>
        <v>5490</v>
      </c>
    </row>
    <row r="65" spans="1:9" ht="23.25" customHeight="1" x14ac:dyDescent="0.35">
      <c r="A65" s="42">
        <v>8</v>
      </c>
      <c r="B65" s="43" t="s">
        <v>124</v>
      </c>
      <c r="C65" s="61" t="s">
        <v>125</v>
      </c>
      <c r="D65" s="230"/>
      <c r="E65" s="230"/>
      <c r="F65" s="56">
        <v>75</v>
      </c>
      <c r="G65" s="56">
        <v>75</v>
      </c>
      <c r="H65" s="49">
        <v>10000</v>
      </c>
      <c r="I65" s="71">
        <f t="shared" si="1"/>
        <v>6100</v>
      </c>
    </row>
    <row r="66" spans="1:9" ht="23.25" customHeight="1" x14ac:dyDescent="0.35">
      <c r="A66" s="43">
        <v>9</v>
      </c>
      <c r="B66" s="43"/>
      <c r="C66" s="60" t="s">
        <v>126</v>
      </c>
      <c r="D66" s="231"/>
      <c r="E66" s="231"/>
      <c r="F66" s="56">
        <v>75</v>
      </c>
      <c r="G66" s="56">
        <v>75</v>
      </c>
      <c r="H66" s="57">
        <v>10200</v>
      </c>
      <c r="I66" s="71">
        <f t="shared" si="1"/>
        <v>6222</v>
      </c>
    </row>
    <row r="67" spans="1:9" ht="23.25" customHeight="1" x14ac:dyDescent="0.35">
      <c r="A67" s="42">
        <v>10</v>
      </c>
      <c r="B67" s="43" t="s">
        <v>127</v>
      </c>
      <c r="C67" s="61" t="s">
        <v>128</v>
      </c>
      <c r="D67" s="229">
        <v>1.5</v>
      </c>
      <c r="E67" s="229">
        <v>1.1000000000000001</v>
      </c>
      <c r="F67" s="56">
        <v>50</v>
      </c>
      <c r="G67" s="56">
        <v>50</v>
      </c>
      <c r="H67" s="57">
        <v>10420</v>
      </c>
      <c r="I67" s="71">
        <f t="shared" si="1"/>
        <v>6356.2</v>
      </c>
    </row>
    <row r="68" spans="1:9" ht="23.25" customHeight="1" x14ac:dyDescent="0.35">
      <c r="A68" s="42">
        <v>11</v>
      </c>
      <c r="B68" s="43" t="s">
        <v>129</v>
      </c>
      <c r="C68" s="60" t="s">
        <v>130</v>
      </c>
      <c r="D68" s="230"/>
      <c r="E68" s="230"/>
      <c r="F68" s="56">
        <v>50</v>
      </c>
      <c r="G68" s="56">
        <v>50</v>
      </c>
      <c r="H68" s="57">
        <v>10600</v>
      </c>
      <c r="I68" s="71">
        <f t="shared" si="1"/>
        <v>6466</v>
      </c>
    </row>
    <row r="69" spans="1:9" ht="23.25" customHeight="1" x14ac:dyDescent="0.35">
      <c r="A69" s="43">
        <v>12</v>
      </c>
      <c r="B69" s="43" t="s">
        <v>131</v>
      </c>
      <c r="C69" s="61" t="s">
        <v>132</v>
      </c>
      <c r="D69" s="230"/>
      <c r="E69" s="230"/>
      <c r="F69" s="56">
        <v>65</v>
      </c>
      <c r="G69" s="56">
        <v>50</v>
      </c>
      <c r="H69" s="57">
        <v>10600</v>
      </c>
      <c r="I69" s="71">
        <f t="shared" si="1"/>
        <v>6466</v>
      </c>
    </row>
    <row r="70" spans="1:9" ht="23.25" customHeight="1" x14ac:dyDescent="0.35">
      <c r="A70" s="42">
        <v>13</v>
      </c>
      <c r="B70" s="43" t="s">
        <v>133</v>
      </c>
      <c r="C70" s="60" t="s">
        <v>134</v>
      </c>
      <c r="D70" s="230"/>
      <c r="E70" s="230"/>
      <c r="F70" s="56">
        <v>65</v>
      </c>
      <c r="G70" s="56">
        <v>50</v>
      </c>
      <c r="H70" s="57">
        <v>10800</v>
      </c>
      <c r="I70" s="71">
        <f t="shared" si="1"/>
        <v>6588</v>
      </c>
    </row>
    <row r="71" spans="1:9" ht="23.25" customHeight="1" x14ac:dyDescent="0.35">
      <c r="A71" s="42">
        <v>14</v>
      </c>
      <c r="B71" s="43" t="s">
        <v>135</v>
      </c>
      <c r="C71" s="61" t="s">
        <v>136</v>
      </c>
      <c r="D71" s="230"/>
      <c r="E71" s="230"/>
      <c r="F71" s="56">
        <v>75</v>
      </c>
      <c r="G71" s="56">
        <v>75</v>
      </c>
      <c r="H71" s="49">
        <v>11000</v>
      </c>
      <c r="I71" s="71">
        <f t="shared" si="1"/>
        <v>6710</v>
      </c>
    </row>
    <row r="72" spans="1:9" ht="23.25" customHeight="1" x14ac:dyDescent="0.35">
      <c r="A72" s="43">
        <v>15</v>
      </c>
      <c r="B72" s="43" t="s">
        <v>137</v>
      </c>
      <c r="C72" s="60" t="s">
        <v>138</v>
      </c>
      <c r="D72" s="230"/>
      <c r="E72" s="230"/>
      <c r="F72" s="56">
        <v>75</v>
      </c>
      <c r="G72" s="56">
        <v>75</v>
      </c>
      <c r="H72" s="57">
        <v>11200</v>
      </c>
      <c r="I72" s="71">
        <f t="shared" si="1"/>
        <v>6832</v>
      </c>
    </row>
    <row r="73" spans="1:9" ht="23.25" customHeight="1" x14ac:dyDescent="0.35">
      <c r="A73" s="42">
        <v>16</v>
      </c>
      <c r="B73" s="43" t="s">
        <v>139</v>
      </c>
      <c r="C73" s="60" t="s">
        <v>140</v>
      </c>
      <c r="D73" s="231"/>
      <c r="E73" s="231"/>
      <c r="F73" s="56">
        <v>75</v>
      </c>
      <c r="G73" s="56">
        <v>75</v>
      </c>
      <c r="H73" s="57">
        <v>11200</v>
      </c>
      <c r="I73" s="69">
        <f t="shared" si="1"/>
        <v>6832</v>
      </c>
    </row>
    <row r="74" spans="1:9" ht="23.25" customHeight="1" x14ac:dyDescent="0.35">
      <c r="A74" s="42">
        <v>17</v>
      </c>
      <c r="B74" s="43" t="s">
        <v>141</v>
      </c>
      <c r="C74" s="61" t="s">
        <v>142</v>
      </c>
      <c r="D74" s="229">
        <v>2</v>
      </c>
      <c r="E74" s="229">
        <v>1.5</v>
      </c>
      <c r="F74" s="56">
        <v>50</v>
      </c>
      <c r="G74" s="56">
        <v>40</v>
      </c>
      <c r="H74" s="49">
        <v>15000</v>
      </c>
      <c r="I74" s="69">
        <f t="shared" si="1"/>
        <v>9150</v>
      </c>
    </row>
    <row r="75" spans="1:9" ht="23.25" customHeight="1" x14ac:dyDescent="0.35">
      <c r="A75" s="43">
        <v>18</v>
      </c>
      <c r="B75" s="43" t="s">
        <v>143</v>
      </c>
      <c r="C75" s="60" t="s">
        <v>144</v>
      </c>
      <c r="D75" s="230"/>
      <c r="E75" s="230"/>
      <c r="F75" s="56">
        <v>50</v>
      </c>
      <c r="G75" s="56">
        <v>40</v>
      </c>
      <c r="H75" s="57">
        <v>15200</v>
      </c>
      <c r="I75" s="69">
        <f t="shared" si="1"/>
        <v>9272</v>
      </c>
    </row>
    <row r="76" spans="1:9" ht="23.25" customHeight="1" x14ac:dyDescent="0.35">
      <c r="A76" s="42">
        <v>19</v>
      </c>
      <c r="B76" s="42" t="s">
        <v>145</v>
      </c>
      <c r="C76" s="48" t="s">
        <v>146</v>
      </c>
      <c r="D76" s="230"/>
      <c r="E76" s="230"/>
      <c r="F76" s="56">
        <v>50</v>
      </c>
      <c r="G76" s="56">
        <v>50</v>
      </c>
      <c r="H76" s="49">
        <v>13000</v>
      </c>
      <c r="I76" s="69">
        <f t="shared" si="1"/>
        <v>7930</v>
      </c>
    </row>
    <row r="77" spans="1:9" ht="23.25" customHeight="1" x14ac:dyDescent="0.35">
      <c r="A77" s="42">
        <v>20</v>
      </c>
      <c r="B77" s="43" t="s">
        <v>147</v>
      </c>
      <c r="C77" s="60" t="s">
        <v>148</v>
      </c>
      <c r="D77" s="230"/>
      <c r="E77" s="230"/>
      <c r="F77" s="56">
        <v>50</v>
      </c>
      <c r="G77" s="56">
        <v>50</v>
      </c>
      <c r="H77" s="57">
        <v>13200</v>
      </c>
      <c r="I77" s="69">
        <f t="shared" si="1"/>
        <v>8052</v>
      </c>
    </row>
    <row r="78" spans="1:9" ht="23.25" customHeight="1" x14ac:dyDescent="0.35">
      <c r="A78" s="43">
        <v>21</v>
      </c>
      <c r="B78" s="42" t="s">
        <v>149</v>
      </c>
      <c r="C78" s="48" t="s">
        <v>150</v>
      </c>
      <c r="D78" s="230"/>
      <c r="E78" s="230"/>
      <c r="F78" s="56">
        <v>65</v>
      </c>
      <c r="G78" s="56">
        <v>50</v>
      </c>
      <c r="H78" s="49">
        <v>13300</v>
      </c>
      <c r="I78" s="69">
        <f t="shared" si="1"/>
        <v>8113</v>
      </c>
    </row>
    <row r="79" spans="1:9" ht="23.25" customHeight="1" x14ac:dyDescent="0.35">
      <c r="A79" s="42">
        <v>22</v>
      </c>
      <c r="B79" s="42" t="s">
        <v>151</v>
      </c>
      <c r="C79" s="48" t="s">
        <v>152</v>
      </c>
      <c r="D79" s="230"/>
      <c r="E79" s="230"/>
      <c r="F79" s="56">
        <v>65</v>
      </c>
      <c r="G79" s="56">
        <v>50</v>
      </c>
      <c r="H79" s="57">
        <v>13500</v>
      </c>
      <c r="I79" s="69">
        <f t="shared" si="1"/>
        <v>8235</v>
      </c>
    </row>
    <row r="80" spans="1:9" ht="23.25" customHeight="1" x14ac:dyDescent="0.35">
      <c r="A80" s="42">
        <v>23</v>
      </c>
      <c r="B80" s="43" t="s">
        <v>153</v>
      </c>
      <c r="C80" s="60" t="s">
        <v>154</v>
      </c>
      <c r="D80" s="230"/>
      <c r="E80" s="230"/>
      <c r="F80" s="56">
        <v>65</v>
      </c>
      <c r="G80" s="56">
        <v>50</v>
      </c>
      <c r="H80" s="57">
        <v>13340</v>
      </c>
      <c r="I80" s="71">
        <f t="shared" si="1"/>
        <v>8137.4</v>
      </c>
    </row>
    <row r="81" spans="1:9" ht="23.25" customHeight="1" x14ac:dyDescent="0.35">
      <c r="A81" s="43">
        <v>24</v>
      </c>
      <c r="B81" s="42"/>
      <c r="C81" s="48" t="s">
        <v>155</v>
      </c>
      <c r="D81" s="230"/>
      <c r="E81" s="230"/>
      <c r="F81" s="56">
        <v>65</v>
      </c>
      <c r="G81" s="56">
        <v>50</v>
      </c>
      <c r="H81" s="49">
        <v>13300</v>
      </c>
      <c r="I81" s="71">
        <f t="shared" si="1"/>
        <v>8113</v>
      </c>
    </row>
    <row r="82" spans="1:9" ht="23.25" customHeight="1" x14ac:dyDescent="0.35">
      <c r="A82" s="42">
        <v>25</v>
      </c>
      <c r="B82" s="43" t="s">
        <v>156</v>
      </c>
      <c r="C82" s="60" t="s">
        <v>157</v>
      </c>
      <c r="D82" s="230"/>
      <c r="E82" s="230"/>
      <c r="F82" s="56">
        <v>75</v>
      </c>
      <c r="G82" s="56">
        <v>75</v>
      </c>
      <c r="H82" s="57">
        <v>13600</v>
      </c>
      <c r="I82" s="71">
        <f t="shared" si="1"/>
        <v>8296</v>
      </c>
    </row>
    <row r="83" spans="1:9" ht="23.25" customHeight="1" x14ac:dyDescent="0.35">
      <c r="A83" s="42">
        <v>26</v>
      </c>
      <c r="B83" s="42" t="s">
        <v>158</v>
      </c>
      <c r="C83" s="48" t="s">
        <v>159</v>
      </c>
      <c r="D83" s="230"/>
      <c r="E83" s="230"/>
      <c r="F83" s="56">
        <v>75</v>
      </c>
      <c r="G83" s="56">
        <v>75</v>
      </c>
      <c r="H83" s="49">
        <v>13450</v>
      </c>
      <c r="I83" s="71">
        <f t="shared" si="1"/>
        <v>8204.5</v>
      </c>
    </row>
    <row r="84" spans="1:9" ht="23.25" customHeight="1" x14ac:dyDescent="0.35">
      <c r="A84" s="43">
        <v>27</v>
      </c>
      <c r="B84" s="42" t="s">
        <v>160</v>
      </c>
      <c r="C84" s="48" t="s">
        <v>161</v>
      </c>
      <c r="D84" s="230"/>
      <c r="E84" s="230"/>
      <c r="F84" s="56">
        <v>75</v>
      </c>
      <c r="G84" s="56">
        <v>75</v>
      </c>
      <c r="H84" s="57">
        <v>13800</v>
      </c>
      <c r="I84" s="71">
        <f t="shared" si="1"/>
        <v>8418</v>
      </c>
    </row>
    <row r="85" spans="1:9" ht="23.25" customHeight="1" x14ac:dyDescent="0.35">
      <c r="A85" s="42">
        <v>28</v>
      </c>
      <c r="B85" s="42" t="s">
        <v>162</v>
      </c>
      <c r="C85" s="48" t="s">
        <v>163</v>
      </c>
      <c r="D85" s="230"/>
      <c r="E85" s="230"/>
      <c r="F85" s="56">
        <v>75</v>
      </c>
      <c r="G85" s="56">
        <v>75</v>
      </c>
      <c r="H85" s="57">
        <v>14000</v>
      </c>
      <c r="I85" s="71">
        <f t="shared" si="1"/>
        <v>8540</v>
      </c>
    </row>
    <row r="86" spans="1:9" ht="23.25" customHeight="1" x14ac:dyDescent="0.35">
      <c r="A86" s="42">
        <v>29</v>
      </c>
      <c r="B86" s="42" t="s">
        <v>164</v>
      </c>
      <c r="C86" s="48" t="s">
        <v>165</v>
      </c>
      <c r="D86" s="230"/>
      <c r="E86" s="230"/>
      <c r="F86" s="56">
        <v>75</v>
      </c>
      <c r="G86" s="56">
        <v>75</v>
      </c>
      <c r="H86" s="57">
        <v>14500</v>
      </c>
      <c r="I86" s="71">
        <f t="shared" si="1"/>
        <v>8845</v>
      </c>
    </row>
    <row r="87" spans="1:9" ht="23.25" customHeight="1" x14ac:dyDescent="0.35">
      <c r="A87" s="43">
        <v>30</v>
      </c>
      <c r="B87" s="43" t="s">
        <v>166</v>
      </c>
      <c r="C87" s="60" t="s">
        <v>167</v>
      </c>
      <c r="D87" s="230"/>
      <c r="E87" s="230"/>
      <c r="F87" s="56">
        <v>75</v>
      </c>
      <c r="G87" s="56">
        <v>75</v>
      </c>
      <c r="H87" s="57">
        <v>13550</v>
      </c>
      <c r="I87" s="71">
        <f t="shared" si="1"/>
        <v>8265.5</v>
      </c>
    </row>
    <row r="88" spans="1:9" ht="23.25" customHeight="1" x14ac:dyDescent="0.35">
      <c r="A88" s="42">
        <v>31</v>
      </c>
      <c r="B88" s="42" t="s">
        <v>168</v>
      </c>
      <c r="C88" s="48" t="s">
        <v>169</v>
      </c>
      <c r="D88" s="230"/>
      <c r="E88" s="230"/>
      <c r="F88" s="56">
        <v>75</v>
      </c>
      <c r="G88" s="56">
        <v>65</v>
      </c>
      <c r="H88" s="49">
        <v>13450</v>
      </c>
      <c r="I88" s="71">
        <f t="shared" si="1"/>
        <v>8204.5</v>
      </c>
    </row>
    <row r="89" spans="1:9" ht="23.25" customHeight="1" x14ac:dyDescent="0.35">
      <c r="A89" s="42">
        <v>32</v>
      </c>
      <c r="B89" s="42" t="s">
        <v>170</v>
      </c>
      <c r="C89" s="48" t="s">
        <v>171</v>
      </c>
      <c r="D89" s="230"/>
      <c r="E89" s="230"/>
      <c r="F89" s="56">
        <v>75</v>
      </c>
      <c r="G89" s="56">
        <v>65</v>
      </c>
      <c r="H89" s="57">
        <v>13740</v>
      </c>
      <c r="I89" s="71">
        <f t="shared" si="1"/>
        <v>8381.4</v>
      </c>
    </row>
    <row r="90" spans="1:9" ht="23.25" customHeight="1" x14ac:dyDescent="0.35">
      <c r="A90" s="43">
        <v>33</v>
      </c>
      <c r="B90" s="43"/>
      <c r="C90" s="61" t="s">
        <v>172</v>
      </c>
      <c r="D90" s="230"/>
      <c r="E90" s="230"/>
      <c r="F90" s="56">
        <v>100</v>
      </c>
      <c r="G90" s="56">
        <v>100</v>
      </c>
      <c r="H90" s="49">
        <v>15000</v>
      </c>
      <c r="I90" s="71">
        <f t="shared" si="1"/>
        <v>9150</v>
      </c>
    </row>
    <row r="91" spans="1:9" ht="23.25" customHeight="1" x14ac:dyDescent="0.35">
      <c r="A91" s="42">
        <v>34</v>
      </c>
      <c r="B91" s="43"/>
      <c r="C91" s="60" t="s">
        <v>173</v>
      </c>
      <c r="D91" s="231"/>
      <c r="E91" s="231"/>
      <c r="F91" s="56">
        <v>100</v>
      </c>
      <c r="G91" s="56">
        <v>100</v>
      </c>
      <c r="H91" s="57">
        <v>15200</v>
      </c>
      <c r="I91" s="71">
        <f t="shared" si="1"/>
        <v>9272</v>
      </c>
    </row>
    <row r="92" spans="1:9" ht="23.25" customHeight="1" x14ac:dyDescent="0.35">
      <c r="A92" s="42">
        <v>35</v>
      </c>
      <c r="B92" s="43"/>
      <c r="C92" s="61" t="s">
        <v>174</v>
      </c>
      <c r="D92" s="229">
        <v>3</v>
      </c>
      <c r="E92" s="229">
        <v>2.25</v>
      </c>
      <c r="F92" s="56">
        <v>50</v>
      </c>
      <c r="G92" s="56">
        <v>40</v>
      </c>
      <c r="H92" s="49">
        <v>18000</v>
      </c>
      <c r="I92" s="71">
        <f t="shared" si="1"/>
        <v>10980</v>
      </c>
    </row>
    <row r="93" spans="1:9" ht="23.25" customHeight="1" x14ac:dyDescent="0.35">
      <c r="A93" s="43">
        <v>36</v>
      </c>
      <c r="B93" s="43" t="s">
        <v>175</v>
      </c>
      <c r="C93" s="60" t="s">
        <v>176</v>
      </c>
      <c r="D93" s="230"/>
      <c r="E93" s="230"/>
      <c r="F93" s="56">
        <v>50</v>
      </c>
      <c r="G93" s="56">
        <v>40</v>
      </c>
      <c r="H93" s="57">
        <v>18560</v>
      </c>
      <c r="I93" s="71">
        <f t="shared" si="1"/>
        <v>11321.6</v>
      </c>
    </row>
    <row r="94" spans="1:9" ht="23.25" customHeight="1" x14ac:dyDescent="0.35">
      <c r="A94" s="42">
        <v>37</v>
      </c>
      <c r="B94" s="43" t="s">
        <v>177</v>
      </c>
      <c r="C94" s="61" t="s">
        <v>178</v>
      </c>
      <c r="D94" s="230"/>
      <c r="E94" s="230"/>
      <c r="F94" s="56">
        <v>50</v>
      </c>
      <c r="G94" s="56">
        <v>50</v>
      </c>
      <c r="H94" s="49">
        <v>18250</v>
      </c>
      <c r="I94" s="71">
        <f t="shared" si="1"/>
        <v>11132.5</v>
      </c>
    </row>
    <row r="95" spans="1:9" ht="23.25" customHeight="1" x14ac:dyDescent="0.35">
      <c r="A95" s="42">
        <v>38</v>
      </c>
      <c r="B95" s="43" t="s">
        <v>179</v>
      </c>
      <c r="C95" s="60" t="s">
        <v>180</v>
      </c>
      <c r="D95" s="230"/>
      <c r="E95" s="230"/>
      <c r="F95" s="56">
        <v>50</v>
      </c>
      <c r="G95" s="56">
        <v>50</v>
      </c>
      <c r="H95" s="57">
        <v>18670</v>
      </c>
      <c r="I95" s="71">
        <f t="shared" si="1"/>
        <v>11388.699999999999</v>
      </c>
    </row>
    <row r="96" spans="1:9" ht="23.25" customHeight="1" x14ac:dyDescent="0.35">
      <c r="A96" s="43">
        <v>39</v>
      </c>
      <c r="B96" s="42" t="s">
        <v>181</v>
      </c>
      <c r="C96" s="48" t="s">
        <v>182</v>
      </c>
      <c r="D96" s="230"/>
      <c r="E96" s="230"/>
      <c r="F96" s="56">
        <v>65</v>
      </c>
      <c r="G96" s="56">
        <v>50</v>
      </c>
      <c r="H96" s="49">
        <v>18100</v>
      </c>
      <c r="I96" s="71">
        <f t="shared" si="1"/>
        <v>11041</v>
      </c>
    </row>
    <row r="97" spans="1:9" ht="23.25" customHeight="1" x14ac:dyDescent="0.35">
      <c r="A97" s="42">
        <v>40</v>
      </c>
      <c r="B97" s="42" t="s">
        <v>183</v>
      </c>
      <c r="C97" s="48" t="s">
        <v>184</v>
      </c>
      <c r="D97" s="230"/>
      <c r="E97" s="230"/>
      <c r="F97" s="56">
        <v>65</v>
      </c>
      <c r="G97" s="56">
        <v>50</v>
      </c>
      <c r="H97" s="57">
        <v>18770</v>
      </c>
      <c r="I97" s="71">
        <f t="shared" si="1"/>
        <v>11449.699999999999</v>
      </c>
    </row>
    <row r="98" spans="1:9" ht="23.25" customHeight="1" x14ac:dyDescent="0.35">
      <c r="A98" s="42">
        <v>41</v>
      </c>
      <c r="B98" s="42" t="s">
        <v>185</v>
      </c>
      <c r="C98" s="48" t="s">
        <v>186</v>
      </c>
      <c r="D98" s="230"/>
      <c r="E98" s="230"/>
      <c r="F98" s="56">
        <v>75</v>
      </c>
      <c r="G98" s="56">
        <v>75</v>
      </c>
      <c r="H98" s="49">
        <v>18020</v>
      </c>
      <c r="I98" s="71">
        <f t="shared" si="1"/>
        <v>10992.199999999999</v>
      </c>
    </row>
    <row r="99" spans="1:9" ht="23.25" customHeight="1" x14ac:dyDescent="0.35">
      <c r="A99" s="43">
        <v>42</v>
      </c>
      <c r="B99" s="42" t="s">
        <v>187</v>
      </c>
      <c r="C99" s="48" t="s">
        <v>188</v>
      </c>
      <c r="D99" s="230"/>
      <c r="E99" s="230"/>
      <c r="F99" s="56">
        <v>75</v>
      </c>
      <c r="G99" s="56">
        <v>75</v>
      </c>
      <c r="H99" s="57">
        <v>18680</v>
      </c>
      <c r="I99" s="71">
        <f t="shared" si="1"/>
        <v>11394.8</v>
      </c>
    </row>
    <row r="100" spans="1:9" ht="23.25" customHeight="1" x14ac:dyDescent="0.35">
      <c r="A100" s="42">
        <v>43</v>
      </c>
      <c r="B100" s="42" t="s">
        <v>189</v>
      </c>
      <c r="C100" s="48" t="s">
        <v>190</v>
      </c>
      <c r="D100" s="230"/>
      <c r="E100" s="230"/>
      <c r="F100" s="56">
        <v>100</v>
      </c>
      <c r="G100" s="56">
        <v>100</v>
      </c>
      <c r="H100" s="49">
        <v>19100</v>
      </c>
      <c r="I100" s="71">
        <f t="shared" si="1"/>
        <v>11651</v>
      </c>
    </row>
    <row r="101" spans="1:9" ht="23.25" customHeight="1" x14ac:dyDescent="0.35">
      <c r="A101" s="42">
        <v>44</v>
      </c>
      <c r="B101" s="42" t="s">
        <v>191</v>
      </c>
      <c r="C101" s="48" t="s">
        <v>192</v>
      </c>
      <c r="D101" s="230"/>
      <c r="E101" s="230"/>
      <c r="F101" s="56">
        <v>100</v>
      </c>
      <c r="G101" s="56">
        <v>100</v>
      </c>
      <c r="H101" s="57">
        <v>19500</v>
      </c>
      <c r="I101" s="71">
        <f t="shared" si="1"/>
        <v>11895</v>
      </c>
    </row>
    <row r="102" spans="1:9" ht="23.25" customHeight="1" x14ac:dyDescent="0.35">
      <c r="A102" s="43">
        <v>45</v>
      </c>
      <c r="B102" s="42" t="s">
        <v>193</v>
      </c>
      <c r="C102" s="48" t="s">
        <v>194</v>
      </c>
      <c r="D102" s="230"/>
      <c r="E102" s="230"/>
      <c r="F102" s="56">
        <v>100</v>
      </c>
      <c r="G102" s="56">
        <v>100</v>
      </c>
      <c r="H102" s="57">
        <v>14800</v>
      </c>
      <c r="I102" s="71">
        <f t="shared" si="1"/>
        <v>9028</v>
      </c>
    </row>
    <row r="103" spans="1:9" ht="23.25" customHeight="1" x14ac:dyDescent="0.35">
      <c r="A103" s="42">
        <v>46</v>
      </c>
      <c r="B103" s="43" t="s">
        <v>195</v>
      </c>
      <c r="C103" s="60" t="s">
        <v>196</v>
      </c>
      <c r="D103" s="231"/>
      <c r="E103" s="231"/>
      <c r="F103" s="56">
        <v>100</v>
      </c>
      <c r="G103" s="56">
        <v>100</v>
      </c>
      <c r="H103" s="57">
        <v>15000</v>
      </c>
      <c r="I103" s="71">
        <f t="shared" si="1"/>
        <v>9150</v>
      </c>
    </row>
    <row r="104" spans="1:9" ht="23.25" customHeight="1" x14ac:dyDescent="0.35">
      <c r="A104" s="42">
        <v>47</v>
      </c>
      <c r="B104" s="42" t="s">
        <v>197</v>
      </c>
      <c r="C104" s="48" t="s">
        <v>198</v>
      </c>
      <c r="D104" s="229">
        <v>5</v>
      </c>
      <c r="E104" s="229">
        <v>3.75</v>
      </c>
      <c r="F104" s="56">
        <v>80</v>
      </c>
      <c r="G104" s="56">
        <v>65</v>
      </c>
      <c r="H104" s="57">
        <v>24600</v>
      </c>
      <c r="I104" s="71">
        <f t="shared" si="1"/>
        <v>15006</v>
      </c>
    </row>
    <row r="105" spans="1:9" ht="23.25" customHeight="1" x14ac:dyDescent="0.35">
      <c r="A105" s="43">
        <v>48</v>
      </c>
      <c r="B105" s="43"/>
      <c r="C105" s="62" t="s">
        <v>199</v>
      </c>
      <c r="D105" s="230"/>
      <c r="E105" s="230"/>
      <c r="F105" s="56">
        <v>80</v>
      </c>
      <c r="G105" s="56">
        <v>65</v>
      </c>
      <c r="H105" s="57">
        <v>26000</v>
      </c>
      <c r="I105" s="71">
        <f t="shared" si="1"/>
        <v>15860</v>
      </c>
    </row>
    <row r="106" spans="1:9" ht="23.25" customHeight="1" x14ac:dyDescent="0.35">
      <c r="A106" s="42">
        <v>49</v>
      </c>
      <c r="B106" s="42" t="s">
        <v>200</v>
      </c>
      <c r="C106" s="62" t="s">
        <v>201</v>
      </c>
      <c r="D106" s="231"/>
      <c r="E106" s="231"/>
      <c r="F106" s="56">
        <v>80</v>
      </c>
      <c r="G106" s="56">
        <v>65</v>
      </c>
      <c r="H106" s="57">
        <v>23600</v>
      </c>
      <c r="I106" s="71">
        <f t="shared" si="1"/>
        <v>14396</v>
      </c>
    </row>
    <row r="107" spans="1:9" ht="23.25" customHeight="1" x14ac:dyDescent="0.35">
      <c r="A107" s="42">
        <v>50</v>
      </c>
      <c r="B107" s="43" t="s">
        <v>202</v>
      </c>
      <c r="C107" s="60" t="s">
        <v>203</v>
      </c>
      <c r="D107" s="63">
        <v>0.75</v>
      </c>
      <c r="E107" s="63">
        <v>0.56000000000000005</v>
      </c>
      <c r="F107" s="45">
        <v>25</v>
      </c>
      <c r="G107" s="45">
        <v>25</v>
      </c>
      <c r="H107" s="57">
        <v>5170</v>
      </c>
      <c r="I107" s="71">
        <f t="shared" si="1"/>
        <v>3153.7</v>
      </c>
    </row>
    <row r="108" spans="1:9" ht="23.25" customHeight="1" x14ac:dyDescent="0.35">
      <c r="A108" s="43">
        <v>51</v>
      </c>
      <c r="B108" s="43" t="s">
        <v>204</v>
      </c>
      <c r="C108" s="60" t="s">
        <v>205</v>
      </c>
      <c r="D108" s="229">
        <v>1</v>
      </c>
      <c r="E108" s="229">
        <v>0.75</v>
      </c>
      <c r="F108" s="56">
        <v>40</v>
      </c>
      <c r="G108" s="56">
        <v>40</v>
      </c>
      <c r="H108" s="57">
        <v>9000</v>
      </c>
      <c r="I108" s="71">
        <f t="shared" si="1"/>
        <v>5490</v>
      </c>
    </row>
    <row r="109" spans="1:9" ht="23.25" customHeight="1" x14ac:dyDescent="0.35">
      <c r="A109" s="42">
        <v>52</v>
      </c>
      <c r="B109" s="43"/>
      <c r="C109" s="60" t="s">
        <v>206</v>
      </c>
      <c r="D109" s="231"/>
      <c r="E109" s="231"/>
      <c r="F109" s="56">
        <v>40</v>
      </c>
      <c r="G109" s="56">
        <v>40</v>
      </c>
      <c r="H109" s="57">
        <v>9000</v>
      </c>
      <c r="I109" s="71">
        <f t="shared" si="1"/>
        <v>5490</v>
      </c>
    </row>
    <row r="110" spans="1:9" ht="23.25" customHeight="1" x14ac:dyDescent="0.35">
      <c r="A110" s="42">
        <v>53</v>
      </c>
      <c r="B110" s="43"/>
      <c r="C110" s="62" t="s">
        <v>207</v>
      </c>
      <c r="D110" s="229">
        <v>2</v>
      </c>
      <c r="E110" s="229">
        <v>1.5</v>
      </c>
      <c r="F110" s="56">
        <v>75</v>
      </c>
      <c r="G110" s="56">
        <v>75</v>
      </c>
      <c r="H110" s="57">
        <v>12500</v>
      </c>
      <c r="I110" s="71">
        <f t="shared" si="1"/>
        <v>7625</v>
      </c>
    </row>
    <row r="111" spans="1:9" ht="23.25" customHeight="1" x14ac:dyDescent="0.35">
      <c r="A111" s="43">
        <v>54</v>
      </c>
      <c r="B111" s="43" t="s">
        <v>208</v>
      </c>
      <c r="C111" s="62" t="s">
        <v>209</v>
      </c>
      <c r="D111" s="230"/>
      <c r="E111" s="230"/>
      <c r="F111" s="56">
        <v>75</v>
      </c>
      <c r="G111" s="56">
        <v>75</v>
      </c>
      <c r="H111" s="57">
        <v>12500</v>
      </c>
      <c r="I111" s="71">
        <f t="shared" si="1"/>
        <v>7625</v>
      </c>
    </row>
    <row r="112" spans="1:9" ht="23.25" customHeight="1" x14ac:dyDescent="0.35">
      <c r="A112" s="42">
        <v>55</v>
      </c>
      <c r="B112" s="43" t="s">
        <v>210</v>
      </c>
      <c r="C112" s="62" t="s">
        <v>211</v>
      </c>
      <c r="D112" s="230"/>
      <c r="E112" s="230"/>
      <c r="F112" s="56">
        <v>65</v>
      </c>
      <c r="G112" s="56">
        <v>50</v>
      </c>
      <c r="H112" s="57">
        <v>12200</v>
      </c>
      <c r="I112" s="71">
        <f t="shared" si="1"/>
        <v>7442</v>
      </c>
    </row>
    <row r="113" spans="1:9" ht="23.25" customHeight="1" x14ac:dyDescent="0.35">
      <c r="A113" s="42">
        <v>56</v>
      </c>
      <c r="B113" s="43" t="s">
        <v>212</v>
      </c>
      <c r="C113" s="62" t="s">
        <v>213</v>
      </c>
      <c r="D113" s="231"/>
      <c r="E113" s="231"/>
      <c r="F113" s="56">
        <v>50</v>
      </c>
      <c r="G113" s="56">
        <v>50</v>
      </c>
      <c r="H113" s="57">
        <v>12200</v>
      </c>
      <c r="I113" s="71">
        <f t="shared" si="1"/>
        <v>7442</v>
      </c>
    </row>
    <row r="114" spans="1:9" ht="23.25" customHeight="1" x14ac:dyDescent="0.35">
      <c r="A114" s="213" t="s">
        <v>214</v>
      </c>
      <c r="B114" s="214"/>
      <c r="C114" s="214"/>
      <c r="D114" s="214"/>
      <c r="E114" s="214"/>
      <c r="F114" s="214"/>
      <c r="G114" s="215"/>
      <c r="H114" s="235" t="s">
        <v>109</v>
      </c>
      <c r="I114" s="232" t="s">
        <v>335</v>
      </c>
    </row>
    <row r="115" spans="1:9" ht="23.25" customHeight="1" x14ac:dyDescent="0.35">
      <c r="A115" s="221" t="s">
        <v>2</v>
      </c>
      <c r="B115" s="221" t="s">
        <v>3</v>
      </c>
      <c r="C115" s="223" t="s">
        <v>4</v>
      </c>
      <c r="D115" s="225" t="s">
        <v>5</v>
      </c>
      <c r="E115" s="226"/>
      <c r="F115" s="225" t="s">
        <v>6</v>
      </c>
      <c r="G115" s="226"/>
      <c r="H115" s="236"/>
      <c r="I115" s="233"/>
    </row>
    <row r="116" spans="1:9" ht="23.25" customHeight="1" x14ac:dyDescent="0.35">
      <c r="A116" s="222"/>
      <c r="B116" s="222"/>
      <c r="C116" s="224"/>
      <c r="D116" s="58" t="s">
        <v>9</v>
      </c>
      <c r="E116" s="58" t="s">
        <v>10</v>
      </c>
      <c r="F116" s="58" t="s">
        <v>11</v>
      </c>
      <c r="G116" s="58" t="s">
        <v>12</v>
      </c>
      <c r="H116" s="237"/>
      <c r="I116" s="234"/>
    </row>
    <row r="117" spans="1:9" ht="23.25" customHeight="1" x14ac:dyDescent="0.35">
      <c r="A117" s="43">
        <v>1</v>
      </c>
      <c r="B117" s="43" t="s">
        <v>215</v>
      </c>
      <c r="C117" s="44" t="s">
        <v>216</v>
      </c>
      <c r="D117" s="45">
        <v>0.5</v>
      </c>
      <c r="E117" s="45">
        <v>0.37</v>
      </c>
      <c r="F117" s="45">
        <v>25</v>
      </c>
      <c r="G117" s="45">
        <v>25</v>
      </c>
      <c r="H117" s="46">
        <v>5370</v>
      </c>
      <c r="I117" s="71">
        <f>H117*0.63</f>
        <v>3383.1</v>
      </c>
    </row>
    <row r="118" spans="1:9" ht="23.25" customHeight="1" x14ac:dyDescent="0.35">
      <c r="A118" s="43">
        <v>2</v>
      </c>
      <c r="B118" s="43" t="s">
        <v>217</v>
      </c>
      <c r="C118" s="44" t="s">
        <v>218</v>
      </c>
      <c r="D118" s="45">
        <v>1</v>
      </c>
      <c r="E118" s="45">
        <v>0.75</v>
      </c>
      <c r="F118" s="45">
        <v>25</v>
      </c>
      <c r="G118" s="45">
        <v>25</v>
      </c>
      <c r="H118" s="46">
        <v>7070</v>
      </c>
      <c r="I118" s="147">
        <v>4793</v>
      </c>
    </row>
    <row r="119" spans="1:9" ht="23.25" customHeight="1" x14ac:dyDescent="0.35">
      <c r="A119" s="43">
        <v>3</v>
      </c>
      <c r="B119" s="64" t="s">
        <v>219</v>
      </c>
      <c r="C119" s="65" t="s">
        <v>220</v>
      </c>
      <c r="D119" s="66">
        <v>2</v>
      </c>
      <c r="E119" s="43">
        <v>1.5</v>
      </c>
      <c r="F119" s="43">
        <v>50</v>
      </c>
      <c r="G119" s="43">
        <v>50</v>
      </c>
      <c r="H119" s="43">
        <v>12200</v>
      </c>
      <c r="I119" s="71">
        <f>H119*0.6</f>
        <v>7320</v>
      </c>
    </row>
    <row r="120" spans="1:9" ht="23.25" customHeight="1" x14ac:dyDescent="0.35">
      <c r="A120" s="43">
        <v>4</v>
      </c>
      <c r="B120" s="64" t="s">
        <v>221</v>
      </c>
      <c r="C120" s="65" t="s">
        <v>222</v>
      </c>
      <c r="D120" s="66">
        <v>2</v>
      </c>
      <c r="E120" s="43">
        <v>1.5</v>
      </c>
      <c r="F120" s="43">
        <v>50</v>
      </c>
      <c r="G120" s="43">
        <v>50</v>
      </c>
      <c r="H120" s="43">
        <v>12200</v>
      </c>
      <c r="I120" s="71">
        <f t="shared" ref="I120:I128" si="2">H120*0.6</f>
        <v>7320</v>
      </c>
    </row>
    <row r="121" spans="1:9" ht="23.25" customHeight="1" x14ac:dyDescent="0.35">
      <c r="A121" s="43">
        <v>5</v>
      </c>
      <c r="B121" s="64" t="s">
        <v>223</v>
      </c>
      <c r="C121" s="65" t="s">
        <v>224</v>
      </c>
      <c r="D121" s="66">
        <v>2</v>
      </c>
      <c r="E121" s="43">
        <v>1.5</v>
      </c>
      <c r="F121" s="43">
        <v>65</v>
      </c>
      <c r="G121" s="43">
        <v>50</v>
      </c>
      <c r="H121" s="43">
        <v>12300</v>
      </c>
      <c r="I121" s="71">
        <f t="shared" si="2"/>
        <v>7380</v>
      </c>
    </row>
    <row r="122" spans="1:9" ht="23.25" customHeight="1" x14ac:dyDescent="0.35">
      <c r="A122" s="43">
        <v>6</v>
      </c>
      <c r="B122" s="64" t="s">
        <v>225</v>
      </c>
      <c r="C122" s="65" t="s">
        <v>226</v>
      </c>
      <c r="D122" s="66">
        <v>2</v>
      </c>
      <c r="E122" s="43">
        <v>1.5</v>
      </c>
      <c r="F122" s="43">
        <v>65</v>
      </c>
      <c r="G122" s="43">
        <v>50</v>
      </c>
      <c r="H122" s="43">
        <v>12300</v>
      </c>
      <c r="I122" s="71">
        <f t="shared" si="2"/>
        <v>7380</v>
      </c>
    </row>
    <row r="123" spans="1:9" ht="23.25" customHeight="1" x14ac:dyDescent="0.35">
      <c r="A123" s="43">
        <v>7</v>
      </c>
      <c r="B123" s="64" t="s">
        <v>227</v>
      </c>
      <c r="C123" s="65" t="s">
        <v>228</v>
      </c>
      <c r="D123" s="64">
        <v>3</v>
      </c>
      <c r="E123" s="43">
        <v>2.25</v>
      </c>
      <c r="F123" s="43">
        <v>65</v>
      </c>
      <c r="G123" s="43">
        <v>50</v>
      </c>
      <c r="H123" s="43">
        <v>12900</v>
      </c>
      <c r="I123" s="71">
        <f t="shared" si="2"/>
        <v>7740</v>
      </c>
    </row>
    <row r="124" spans="1:9" ht="23.25" customHeight="1" x14ac:dyDescent="0.35">
      <c r="A124" s="43">
        <v>8</v>
      </c>
      <c r="B124" s="64" t="s">
        <v>229</v>
      </c>
      <c r="C124" s="67" t="s">
        <v>230</v>
      </c>
      <c r="D124" s="64">
        <v>3</v>
      </c>
      <c r="E124" s="43">
        <v>2.25</v>
      </c>
      <c r="F124" s="43">
        <v>65</v>
      </c>
      <c r="G124" s="43">
        <v>50</v>
      </c>
      <c r="H124" s="43">
        <v>13000</v>
      </c>
      <c r="I124" s="71">
        <f t="shared" si="2"/>
        <v>7800</v>
      </c>
    </row>
    <row r="125" spans="1:9" ht="23.25" customHeight="1" x14ac:dyDescent="0.35">
      <c r="A125" s="43">
        <v>9</v>
      </c>
      <c r="B125" s="64" t="s">
        <v>231</v>
      </c>
      <c r="C125" s="67" t="s">
        <v>232</v>
      </c>
      <c r="D125" s="64">
        <v>3</v>
      </c>
      <c r="E125" s="43">
        <v>2.25</v>
      </c>
      <c r="F125" s="43">
        <v>65</v>
      </c>
      <c r="G125" s="43">
        <v>50</v>
      </c>
      <c r="H125" s="43">
        <v>12900</v>
      </c>
      <c r="I125" s="71">
        <f t="shared" si="2"/>
        <v>7740</v>
      </c>
    </row>
    <row r="126" spans="1:9" ht="23.25" customHeight="1" x14ac:dyDescent="0.35">
      <c r="A126" s="43">
        <v>10</v>
      </c>
      <c r="B126" s="64" t="s">
        <v>233</v>
      </c>
      <c r="C126" s="67" t="s">
        <v>234</v>
      </c>
      <c r="D126" s="64">
        <v>3</v>
      </c>
      <c r="E126" s="43">
        <v>2.25</v>
      </c>
      <c r="F126" s="43">
        <v>65</v>
      </c>
      <c r="G126" s="43">
        <v>50</v>
      </c>
      <c r="H126" s="43">
        <v>19300</v>
      </c>
      <c r="I126" s="71">
        <f t="shared" si="2"/>
        <v>11580</v>
      </c>
    </row>
    <row r="127" spans="1:9" ht="23.25" customHeight="1" x14ac:dyDescent="0.35">
      <c r="A127" s="43">
        <v>11</v>
      </c>
      <c r="B127" s="64" t="s">
        <v>235</v>
      </c>
      <c r="C127" s="67" t="s">
        <v>236</v>
      </c>
      <c r="D127" s="64">
        <v>5</v>
      </c>
      <c r="E127" s="56">
        <v>3.75</v>
      </c>
      <c r="F127" s="43">
        <v>65</v>
      </c>
      <c r="G127" s="43">
        <v>50</v>
      </c>
      <c r="H127" s="43">
        <v>18700</v>
      </c>
      <c r="I127" s="71">
        <f t="shared" si="2"/>
        <v>11220</v>
      </c>
    </row>
    <row r="128" spans="1:9" ht="23.25" customHeight="1" x14ac:dyDescent="0.35">
      <c r="A128" s="43">
        <v>12</v>
      </c>
      <c r="B128" s="64" t="s">
        <v>237</v>
      </c>
      <c r="C128" s="67" t="s">
        <v>238</v>
      </c>
      <c r="D128" s="64">
        <v>5</v>
      </c>
      <c r="E128" s="56">
        <v>3.75</v>
      </c>
      <c r="F128" s="43">
        <v>65</v>
      </c>
      <c r="G128" s="43">
        <v>50</v>
      </c>
      <c r="H128" s="43">
        <v>22900</v>
      </c>
      <c r="I128" s="71">
        <f t="shared" si="2"/>
        <v>13740</v>
      </c>
    </row>
    <row r="129" spans="1:9" ht="23.25" customHeight="1" x14ac:dyDescent="0.35">
      <c r="A129" s="213" t="s">
        <v>239</v>
      </c>
      <c r="B129" s="214"/>
      <c r="C129" s="214"/>
      <c r="D129" s="214"/>
      <c r="E129" s="214"/>
      <c r="F129" s="214"/>
      <c r="G129" s="215"/>
      <c r="H129" s="235" t="s">
        <v>109</v>
      </c>
      <c r="I129" s="232" t="s">
        <v>335</v>
      </c>
    </row>
    <row r="130" spans="1:9" ht="23.25" customHeight="1" x14ac:dyDescent="0.35">
      <c r="A130" s="221" t="s">
        <v>2</v>
      </c>
      <c r="B130" s="221" t="s">
        <v>3</v>
      </c>
      <c r="C130" s="223" t="s">
        <v>4</v>
      </c>
      <c r="D130" s="225" t="s">
        <v>5</v>
      </c>
      <c r="E130" s="226"/>
      <c r="F130" s="240" t="s">
        <v>6</v>
      </c>
      <c r="G130" s="241"/>
      <c r="H130" s="236"/>
      <c r="I130" s="233"/>
    </row>
    <row r="131" spans="1:9" ht="23.25" customHeight="1" x14ac:dyDescent="0.35">
      <c r="A131" s="222"/>
      <c r="B131" s="222"/>
      <c r="C131" s="224"/>
      <c r="D131" s="58" t="s">
        <v>9</v>
      </c>
      <c r="E131" s="58" t="s">
        <v>10</v>
      </c>
      <c r="F131" s="242"/>
      <c r="G131" s="243"/>
      <c r="H131" s="237"/>
      <c r="I131" s="234"/>
    </row>
    <row r="132" spans="1:9" ht="23.25" customHeight="1" x14ac:dyDescent="0.35">
      <c r="A132" s="43">
        <v>1</v>
      </c>
      <c r="B132" s="43" t="s">
        <v>240</v>
      </c>
      <c r="C132" s="68" t="s">
        <v>241</v>
      </c>
      <c r="D132" s="43">
        <v>0.5</v>
      </c>
      <c r="E132" s="43"/>
      <c r="F132" s="238">
        <v>32</v>
      </c>
      <c r="G132" s="239"/>
      <c r="H132" s="43">
        <v>8240</v>
      </c>
      <c r="I132" s="71">
        <f>H132*0.6</f>
        <v>4944</v>
      </c>
    </row>
    <row r="133" spans="1:9" ht="23.25" customHeight="1" x14ac:dyDescent="0.35">
      <c r="A133" s="43">
        <v>2</v>
      </c>
      <c r="B133" s="43" t="s">
        <v>242</v>
      </c>
      <c r="C133" s="68" t="s">
        <v>243</v>
      </c>
      <c r="D133" s="43">
        <v>0.5</v>
      </c>
      <c r="E133" s="43"/>
      <c r="F133" s="238">
        <v>32</v>
      </c>
      <c r="G133" s="239"/>
      <c r="H133" s="43">
        <v>8450</v>
      </c>
      <c r="I133" s="71">
        <f t="shared" ref="I133:I154" si="3">H133*0.6</f>
        <v>5070</v>
      </c>
    </row>
    <row r="134" spans="1:9" ht="23.25" customHeight="1" x14ac:dyDescent="0.35">
      <c r="A134" s="43">
        <v>3</v>
      </c>
      <c r="B134" s="43" t="s">
        <v>244</v>
      </c>
      <c r="C134" s="68" t="s">
        <v>245</v>
      </c>
      <c r="D134" s="43">
        <v>0.75</v>
      </c>
      <c r="E134" s="43"/>
      <c r="F134" s="238">
        <v>32</v>
      </c>
      <c r="G134" s="239"/>
      <c r="H134" s="43">
        <v>8550</v>
      </c>
      <c r="I134" s="71">
        <f t="shared" si="3"/>
        <v>5130</v>
      </c>
    </row>
    <row r="135" spans="1:9" ht="23.25" customHeight="1" x14ac:dyDescent="0.35">
      <c r="A135" s="43">
        <v>4</v>
      </c>
      <c r="B135" s="43" t="s">
        <v>246</v>
      </c>
      <c r="C135" s="68" t="s">
        <v>247</v>
      </c>
      <c r="D135" s="43">
        <v>0.75</v>
      </c>
      <c r="E135" s="43"/>
      <c r="F135" s="238">
        <v>32</v>
      </c>
      <c r="G135" s="239"/>
      <c r="H135" s="43">
        <v>8750</v>
      </c>
      <c r="I135" s="71">
        <f t="shared" si="3"/>
        <v>5250</v>
      </c>
    </row>
    <row r="136" spans="1:9" ht="23.25" customHeight="1" x14ac:dyDescent="0.35">
      <c r="A136" s="43">
        <v>5</v>
      </c>
      <c r="B136" s="43" t="s">
        <v>248</v>
      </c>
      <c r="C136" s="68" t="s">
        <v>249</v>
      </c>
      <c r="D136" s="43">
        <v>1</v>
      </c>
      <c r="E136" s="43"/>
      <c r="F136" s="238">
        <v>32</v>
      </c>
      <c r="G136" s="239"/>
      <c r="H136" s="47">
        <v>8800</v>
      </c>
      <c r="I136" s="71">
        <f t="shared" si="3"/>
        <v>5280</v>
      </c>
    </row>
    <row r="137" spans="1:9" ht="23.25" customHeight="1" x14ac:dyDescent="0.35">
      <c r="A137" s="43">
        <v>6</v>
      </c>
      <c r="B137" s="43" t="s">
        <v>250</v>
      </c>
      <c r="C137" s="68" t="s">
        <v>251</v>
      </c>
      <c r="D137" s="43">
        <v>1</v>
      </c>
      <c r="E137" s="43"/>
      <c r="F137" s="238">
        <v>32</v>
      </c>
      <c r="G137" s="239"/>
      <c r="H137" s="47">
        <v>9000</v>
      </c>
      <c r="I137" s="71">
        <f t="shared" si="3"/>
        <v>5400</v>
      </c>
    </row>
    <row r="138" spans="1:9" ht="23.25" customHeight="1" x14ac:dyDescent="0.35">
      <c r="A138" s="43">
        <v>7</v>
      </c>
      <c r="B138" s="43" t="s">
        <v>252</v>
      </c>
      <c r="C138" s="68" t="s">
        <v>253</v>
      </c>
      <c r="D138" s="43">
        <v>1</v>
      </c>
      <c r="E138" s="43"/>
      <c r="F138" s="238">
        <v>32</v>
      </c>
      <c r="G138" s="239"/>
      <c r="H138" s="43">
        <v>9480</v>
      </c>
      <c r="I138" s="71">
        <f t="shared" si="3"/>
        <v>5688</v>
      </c>
    </row>
    <row r="139" spans="1:9" ht="23.25" customHeight="1" x14ac:dyDescent="0.35">
      <c r="A139" s="43">
        <v>8</v>
      </c>
      <c r="B139" s="43" t="s">
        <v>254</v>
      </c>
      <c r="C139" s="68" t="s">
        <v>255</v>
      </c>
      <c r="D139" s="43">
        <v>1</v>
      </c>
      <c r="E139" s="43"/>
      <c r="F139" s="238">
        <v>32</v>
      </c>
      <c r="G139" s="239"/>
      <c r="H139" s="43">
        <v>9790</v>
      </c>
      <c r="I139" s="71">
        <f t="shared" si="3"/>
        <v>5874</v>
      </c>
    </row>
    <row r="140" spans="1:9" ht="23.25" customHeight="1" x14ac:dyDescent="0.35">
      <c r="A140" s="43">
        <v>9</v>
      </c>
      <c r="B140" s="43" t="s">
        <v>256</v>
      </c>
      <c r="C140" s="68" t="s">
        <v>257</v>
      </c>
      <c r="D140" s="43">
        <v>1.5</v>
      </c>
      <c r="E140" s="43"/>
      <c r="F140" s="238">
        <v>32</v>
      </c>
      <c r="G140" s="239"/>
      <c r="H140" s="43">
        <v>11330</v>
      </c>
      <c r="I140" s="71">
        <f t="shared" si="3"/>
        <v>6798</v>
      </c>
    </row>
    <row r="141" spans="1:9" ht="23.25" customHeight="1" x14ac:dyDescent="0.35">
      <c r="A141" s="43">
        <v>10</v>
      </c>
      <c r="B141" s="43" t="s">
        <v>258</v>
      </c>
      <c r="C141" s="68" t="s">
        <v>259</v>
      </c>
      <c r="D141" s="43">
        <v>1.5</v>
      </c>
      <c r="E141" s="43"/>
      <c r="F141" s="238">
        <v>32</v>
      </c>
      <c r="G141" s="239"/>
      <c r="H141" s="43">
        <v>11640</v>
      </c>
      <c r="I141" s="71">
        <f t="shared" si="3"/>
        <v>6984</v>
      </c>
    </row>
    <row r="142" spans="1:9" ht="23.25" customHeight="1" x14ac:dyDescent="0.35">
      <c r="A142" s="43">
        <v>11</v>
      </c>
      <c r="B142" s="43" t="s">
        <v>260</v>
      </c>
      <c r="C142" s="68" t="s">
        <v>261</v>
      </c>
      <c r="D142" s="43">
        <v>1.5</v>
      </c>
      <c r="E142" s="43"/>
      <c r="F142" s="238">
        <v>32</v>
      </c>
      <c r="G142" s="239"/>
      <c r="H142" s="43">
        <v>11800</v>
      </c>
      <c r="I142" s="71">
        <f t="shared" si="3"/>
        <v>7080</v>
      </c>
    </row>
    <row r="143" spans="1:9" ht="23.25" customHeight="1" x14ac:dyDescent="0.35">
      <c r="A143" s="43">
        <v>12</v>
      </c>
      <c r="B143" s="43" t="s">
        <v>262</v>
      </c>
      <c r="C143" s="68" t="s">
        <v>263</v>
      </c>
      <c r="D143" s="43">
        <v>1.5</v>
      </c>
      <c r="E143" s="43"/>
      <c r="F143" s="238">
        <v>32</v>
      </c>
      <c r="G143" s="239"/>
      <c r="H143" s="43">
        <v>12670</v>
      </c>
      <c r="I143" s="71">
        <f t="shared" si="3"/>
        <v>7602</v>
      </c>
    </row>
    <row r="144" spans="1:9" ht="23.25" customHeight="1" x14ac:dyDescent="0.35">
      <c r="A144" s="43">
        <v>13</v>
      </c>
      <c r="B144" s="43" t="s">
        <v>264</v>
      </c>
      <c r="C144" s="68" t="s">
        <v>265</v>
      </c>
      <c r="D144" s="43">
        <v>2</v>
      </c>
      <c r="E144" s="43"/>
      <c r="F144" s="238">
        <v>40</v>
      </c>
      <c r="G144" s="239"/>
      <c r="H144" s="43">
        <v>14730</v>
      </c>
      <c r="I144" s="71">
        <f t="shared" si="3"/>
        <v>8838</v>
      </c>
    </row>
    <row r="145" spans="1:9" ht="23.25" customHeight="1" x14ac:dyDescent="0.35">
      <c r="A145" s="43">
        <v>14</v>
      </c>
      <c r="B145" s="43" t="s">
        <v>266</v>
      </c>
      <c r="C145" s="68" t="s">
        <v>267</v>
      </c>
      <c r="D145" s="43">
        <v>2</v>
      </c>
      <c r="E145" s="43"/>
      <c r="F145" s="238">
        <v>32</v>
      </c>
      <c r="G145" s="239"/>
      <c r="H145" s="43">
        <v>15250</v>
      </c>
      <c r="I145" s="71">
        <f t="shared" si="3"/>
        <v>9150</v>
      </c>
    </row>
    <row r="146" spans="1:9" ht="23.25" customHeight="1" x14ac:dyDescent="0.35">
      <c r="A146" s="43">
        <v>15</v>
      </c>
      <c r="B146" s="43" t="s">
        <v>268</v>
      </c>
      <c r="C146" s="68" t="s">
        <v>269</v>
      </c>
      <c r="D146" s="43">
        <v>2</v>
      </c>
      <c r="E146" s="43"/>
      <c r="F146" s="238">
        <v>32</v>
      </c>
      <c r="G146" s="239"/>
      <c r="H146" s="43">
        <v>15860</v>
      </c>
      <c r="I146" s="71">
        <f t="shared" si="3"/>
        <v>9516</v>
      </c>
    </row>
    <row r="147" spans="1:9" ht="23.25" customHeight="1" x14ac:dyDescent="0.35">
      <c r="A147" s="43">
        <v>16</v>
      </c>
      <c r="B147" s="43" t="s">
        <v>270</v>
      </c>
      <c r="C147" s="68" t="s">
        <v>271</v>
      </c>
      <c r="D147" s="43">
        <v>2</v>
      </c>
      <c r="E147" s="43"/>
      <c r="F147" s="238">
        <v>32</v>
      </c>
      <c r="G147" s="239"/>
      <c r="H147" s="43">
        <v>15970</v>
      </c>
      <c r="I147" s="71">
        <f t="shared" si="3"/>
        <v>9582</v>
      </c>
    </row>
    <row r="148" spans="1:9" ht="23.25" customHeight="1" x14ac:dyDescent="0.35">
      <c r="A148" s="43">
        <v>17</v>
      </c>
      <c r="B148" s="43" t="s">
        <v>272</v>
      </c>
      <c r="C148" s="68" t="s">
        <v>273</v>
      </c>
      <c r="D148" s="43">
        <v>2</v>
      </c>
      <c r="E148" s="43"/>
      <c r="F148" s="238">
        <v>32</v>
      </c>
      <c r="G148" s="239"/>
      <c r="H148" s="43">
        <v>16480</v>
      </c>
      <c r="I148" s="71">
        <f t="shared" si="3"/>
        <v>9888</v>
      </c>
    </row>
    <row r="149" spans="1:9" ht="23.25" customHeight="1" x14ac:dyDescent="0.35">
      <c r="A149" s="43">
        <v>18</v>
      </c>
      <c r="B149" s="43" t="s">
        <v>274</v>
      </c>
      <c r="C149" s="68" t="s">
        <v>275</v>
      </c>
      <c r="D149" s="43">
        <v>2</v>
      </c>
      <c r="E149" s="43"/>
      <c r="F149" s="238">
        <v>65</v>
      </c>
      <c r="G149" s="239"/>
      <c r="H149" s="43">
        <v>14940</v>
      </c>
      <c r="I149" s="71">
        <f t="shared" si="3"/>
        <v>8964</v>
      </c>
    </row>
    <row r="150" spans="1:9" ht="23.25" customHeight="1" x14ac:dyDescent="0.35">
      <c r="A150" s="43">
        <v>19</v>
      </c>
      <c r="B150" s="43" t="s">
        <v>276</v>
      </c>
      <c r="C150" s="68" t="s">
        <v>277</v>
      </c>
      <c r="D150" s="43">
        <v>3</v>
      </c>
      <c r="E150" s="43"/>
      <c r="F150" s="238">
        <v>32</v>
      </c>
      <c r="G150" s="239"/>
      <c r="H150" s="43">
        <v>23500</v>
      </c>
      <c r="I150" s="71">
        <f t="shared" si="3"/>
        <v>14100</v>
      </c>
    </row>
    <row r="151" spans="1:9" ht="23.25" customHeight="1" x14ac:dyDescent="0.35">
      <c r="A151" s="43">
        <v>20</v>
      </c>
      <c r="B151" s="43" t="s">
        <v>278</v>
      </c>
      <c r="C151" s="68" t="s">
        <v>279</v>
      </c>
      <c r="D151" s="43">
        <v>3</v>
      </c>
      <c r="E151" s="43"/>
      <c r="F151" s="238">
        <v>32</v>
      </c>
      <c r="G151" s="239"/>
      <c r="H151" s="43">
        <v>24000</v>
      </c>
      <c r="I151" s="71">
        <f t="shared" si="3"/>
        <v>14400</v>
      </c>
    </row>
    <row r="152" spans="1:9" ht="23.25" customHeight="1" x14ac:dyDescent="0.35">
      <c r="A152" s="43">
        <v>21</v>
      </c>
      <c r="B152" s="43" t="s">
        <v>280</v>
      </c>
      <c r="C152" s="68" t="s">
        <v>281</v>
      </c>
      <c r="D152" s="43">
        <v>3</v>
      </c>
      <c r="E152" s="43"/>
      <c r="F152" s="238">
        <v>32</v>
      </c>
      <c r="G152" s="239"/>
      <c r="H152" s="43">
        <v>24500</v>
      </c>
      <c r="I152" s="71">
        <f t="shared" si="3"/>
        <v>14700</v>
      </c>
    </row>
    <row r="153" spans="1:9" ht="23.25" customHeight="1" x14ac:dyDescent="0.35">
      <c r="A153" s="43">
        <v>22</v>
      </c>
      <c r="B153" s="43" t="s">
        <v>282</v>
      </c>
      <c r="C153" s="68" t="s">
        <v>283</v>
      </c>
      <c r="D153" s="43">
        <v>3</v>
      </c>
      <c r="E153" s="43"/>
      <c r="F153" s="238">
        <v>65</v>
      </c>
      <c r="G153" s="239"/>
      <c r="H153" s="43">
        <v>23690</v>
      </c>
      <c r="I153" s="71">
        <f t="shared" si="3"/>
        <v>14214</v>
      </c>
    </row>
    <row r="154" spans="1:9" ht="23.25" customHeight="1" x14ac:dyDescent="0.35">
      <c r="A154" s="43">
        <v>23</v>
      </c>
      <c r="B154" s="43" t="s">
        <v>284</v>
      </c>
      <c r="C154" s="68" t="s">
        <v>283</v>
      </c>
      <c r="D154" s="43">
        <v>3</v>
      </c>
      <c r="E154" s="43"/>
      <c r="F154" s="238">
        <v>65</v>
      </c>
      <c r="G154" s="239"/>
      <c r="H154" s="43">
        <v>15450</v>
      </c>
      <c r="I154" s="71">
        <f t="shared" si="3"/>
        <v>9270</v>
      </c>
    </row>
    <row r="155" spans="1:9" ht="23.25" customHeight="1" x14ac:dyDescent="0.35">
      <c r="A155" s="213" t="s">
        <v>285</v>
      </c>
      <c r="B155" s="214"/>
      <c r="C155" s="214"/>
      <c r="D155" s="214"/>
      <c r="E155" s="214"/>
      <c r="F155" s="214"/>
      <c r="G155" s="215"/>
      <c r="H155" s="216" t="s">
        <v>109</v>
      </c>
      <c r="I155" s="244" t="s">
        <v>335</v>
      </c>
    </row>
    <row r="156" spans="1:9" ht="23.25" customHeight="1" x14ac:dyDescent="0.35">
      <c r="A156" s="221" t="s">
        <v>2</v>
      </c>
      <c r="B156" s="221" t="s">
        <v>3</v>
      </c>
      <c r="C156" s="223" t="s">
        <v>4</v>
      </c>
      <c r="D156" s="225" t="s">
        <v>5</v>
      </c>
      <c r="E156" s="226"/>
      <c r="F156" s="225" t="s">
        <v>6</v>
      </c>
      <c r="G156" s="226"/>
      <c r="H156" s="217"/>
      <c r="I156" s="245"/>
    </row>
    <row r="157" spans="1:9" ht="23.25" customHeight="1" x14ac:dyDescent="0.35">
      <c r="A157" s="222"/>
      <c r="B157" s="222"/>
      <c r="C157" s="224"/>
      <c r="D157" s="58" t="s">
        <v>9</v>
      </c>
      <c r="E157" s="58" t="s">
        <v>10</v>
      </c>
      <c r="F157" s="58" t="s">
        <v>11</v>
      </c>
      <c r="G157" s="58" t="s">
        <v>12</v>
      </c>
      <c r="H157" s="218"/>
      <c r="I157" s="246"/>
    </row>
    <row r="158" spans="1:9" ht="23.25" customHeight="1" x14ac:dyDescent="0.35">
      <c r="A158" s="43">
        <v>1</v>
      </c>
      <c r="B158" s="43" t="s">
        <v>286</v>
      </c>
      <c r="C158" s="68" t="s">
        <v>287</v>
      </c>
      <c r="D158" s="43">
        <v>0.5</v>
      </c>
      <c r="E158" s="43"/>
      <c r="F158" s="238">
        <v>32</v>
      </c>
      <c r="G158" s="239"/>
      <c r="H158" s="43">
        <v>6800</v>
      </c>
      <c r="I158" s="71">
        <f t="shared" ref="I158:I174" si="4">H158*0.6</f>
        <v>4080</v>
      </c>
    </row>
    <row r="159" spans="1:9" ht="23.25" customHeight="1" x14ac:dyDescent="0.35">
      <c r="A159" s="43">
        <v>2</v>
      </c>
      <c r="B159" s="43" t="s">
        <v>288</v>
      </c>
      <c r="C159" s="68" t="s">
        <v>289</v>
      </c>
      <c r="D159" s="43">
        <v>0.5</v>
      </c>
      <c r="E159" s="43"/>
      <c r="F159" s="238">
        <v>32</v>
      </c>
      <c r="G159" s="239"/>
      <c r="H159" s="43">
        <v>7600</v>
      </c>
      <c r="I159" s="71">
        <f t="shared" si="4"/>
        <v>4560</v>
      </c>
    </row>
    <row r="160" spans="1:9" ht="23.25" customHeight="1" x14ac:dyDescent="0.35">
      <c r="A160" s="43">
        <v>3</v>
      </c>
      <c r="B160" s="43" t="s">
        <v>290</v>
      </c>
      <c r="C160" s="68" t="s">
        <v>291</v>
      </c>
      <c r="D160" s="43">
        <v>0.75</v>
      </c>
      <c r="E160" s="43"/>
      <c r="F160" s="238">
        <v>32</v>
      </c>
      <c r="G160" s="239"/>
      <c r="H160" s="43">
        <v>7800</v>
      </c>
      <c r="I160" s="71">
        <f t="shared" si="4"/>
        <v>4680</v>
      </c>
    </row>
    <row r="161" spans="1:9" ht="23.25" customHeight="1" x14ac:dyDescent="0.35">
      <c r="A161" s="43">
        <v>4</v>
      </c>
      <c r="B161" s="43" t="s">
        <v>292</v>
      </c>
      <c r="C161" s="68" t="s">
        <v>293</v>
      </c>
      <c r="D161" s="43">
        <v>0.75</v>
      </c>
      <c r="E161" s="43"/>
      <c r="F161" s="238">
        <v>32</v>
      </c>
      <c r="G161" s="239"/>
      <c r="H161" s="43">
        <v>8000</v>
      </c>
      <c r="I161" s="71">
        <f t="shared" si="4"/>
        <v>4800</v>
      </c>
    </row>
    <row r="162" spans="1:9" ht="23.25" customHeight="1" x14ac:dyDescent="0.35">
      <c r="A162" s="43">
        <v>5</v>
      </c>
      <c r="B162" s="43" t="s">
        <v>294</v>
      </c>
      <c r="C162" s="68" t="s">
        <v>295</v>
      </c>
      <c r="D162" s="43">
        <v>1</v>
      </c>
      <c r="E162" s="43"/>
      <c r="F162" s="238">
        <v>32</v>
      </c>
      <c r="G162" s="239"/>
      <c r="H162" s="43">
        <v>8200</v>
      </c>
      <c r="I162" s="71">
        <f t="shared" si="4"/>
        <v>4920</v>
      </c>
    </row>
    <row r="163" spans="1:9" ht="23.25" customHeight="1" x14ac:dyDescent="0.35">
      <c r="A163" s="43">
        <v>6</v>
      </c>
      <c r="B163" s="43" t="s">
        <v>296</v>
      </c>
      <c r="C163" s="68" t="s">
        <v>297</v>
      </c>
      <c r="D163" s="43">
        <v>1</v>
      </c>
      <c r="E163" s="43"/>
      <c r="F163" s="238">
        <v>32</v>
      </c>
      <c r="G163" s="239"/>
      <c r="H163" s="43">
        <v>8400</v>
      </c>
      <c r="I163" s="71">
        <f t="shared" si="4"/>
        <v>5040</v>
      </c>
    </row>
    <row r="164" spans="1:9" ht="23.25" customHeight="1" x14ac:dyDescent="0.35">
      <c r="A164" s="43">
        <v>7</v>
      </c>
      <c r="B164" s="43" t="s">
        <v>298</v>
      </c>
      <c r="C164" s="68" t="s">
        <v>299</v>
      </c>
      <c r="D164" s="43">
        <v>1</v>
      </c>
      <c r="E164" s="43"/>
      <c r="F164" s="238">
        <v>32</v>
      </c>
      <c r="G164" s="239"/>
      <c r="H164" s="43">
        <v>8600</v>
      </c>
      <c r="I164" s="71">
        <f t="shared" si="4"/>
        <v>5160</v>
      </c>
    </row>
    <row r="165" spans="1:9" ht="23.25" customHeight="1" x14ac:dyDescent="0.35">
      <c r="A165" s="43">
        <v>8</v>
      </c>
      <c r="B165" s="43" t="s">
        <v>300</v>
      </c>
      <c r="C165" s="68" t="s">
        <v>301</v>
      </c>
      <c r="D165" s="43">
        <v>1.5</v>
      </c>
      <c r="E165" s="43"/>
      <c r="F165" s="238">
        <v>32</v>
      </c>
      <c r="G165" s="239"/>
      <c r="H165" s="43">
        <v>9000</v>
      </c>
      <c r="I165" s="71">
        <f t="shared" si="4"/>
        <v>5400</v>
      </c>
    </row>
    <row r="166" spans="1:9" ht="23.25" customHeight="1" x14ac:dyDescent="0.35">
      <c r="A166" s="43">
        <v>9</v>
      </c>
      <c r="B166" s="43" t="s">
        <v>302</v>
      </c>
      <c r="C166" s="68" t="s">
        <v>303</v>
      </c>
      <c r="D166" s="43">
        <v>1.5</v>
      </c>
      <c r="E166" s="43"/>
      <c r="F166" s="238">
        <v>32</v>
      </c>
      <c r="G166" s="239"/>
      <c r="H166" s="43">
        <v>10600</v>
      </c>
      <c r="I166" s="71">
        <f t="shared" si="4"/>
        <v>6360</v>
      </c>
    </row>
    <row r="167" spans="1:9" ht="23.25" customHeight="1" x14ac:dyDescent="0.35">
      <c r="A167" s="43">
        <v>10</v>
      </c>
      <c r="B167" s="43" t="s">
        <v>304</v>
      </c>
      <c r="C167" s="68" t="s">
        <v>305</v>
      </c>
      <c r="D167" s="43">
        <v>1.5</v>
      </c>
      <c r="E167" s="43"/>
      <c r="F167" s="238">
        <v>32</v>
      </c>
      <c r="G167" s="239"/>
      <c r="H167" s="43">
        <v>11000</v>
      </c>
      <c r="I167" s="71">
        <f t="shared" si="4"/>
        <v>6600</v>
      </c>
    </row>
    <row r="168" spans="1:9" ht="23.25" customHeight="1" x14ac:dyDescent="0.35">
      <c r="A168" s="43">
        <v>11</v>
      </c>
      <c r="B168" s="43" t="s">
        <v>306</v>
      </c>
      <c r="C168" s="68" t="s">
        <v>307</v>
      </c>
      <c r="D168" s="43">
        <v>2</v>
      </c>
      <c r="E168" s="43"/>
      <c r="F168" s="238">
        <v>32</v>
      </c>
      <c r="G168" s="239"/>
      <c r="H168" s="43">
        <v>13000</v>
      </c>
      <c r="I168" s="71">
        <f t="shared" si="4"/>
        <v>7800</v>
      </c>
    </row>
    <row r="169" spans="1:9" ht="23.25" customHeight="1" x14ac:dyDescent="0.35">
      <c r="A169" s="43">
        <v>12</v>
      </c>
      <c r="B169" s="43" t="s">
        <v>308</v>
      </c>
      <c r="C169" s="68" t="s">
        <v>309</v>
      </c>
      <c r="D169" s="43">
        <v>2</v>
      </c>
      <c r="E169" s="43"/>
      <c r="F169" s="238">
        <v>32</v>
      </c>
      <c r="G169" s="239"/>
      <c r="H169" s="43">
        <v>15500</v>
      </c>
      <c r="I169" s="71">
        <f t="shared" si="4"/>
        <v>9300</v>
      </c>
    </row>
    <row r="170" spans="1:9" ht="23.25" customHeight="1" x14ac:dyDescent="0.35">
      <c r="A170" s="43">
        <v>13</v>
      </c>
      <c r="B170" s="43" t="s">
        <v>310</v>
      </c>
      <c r="C170" s="68" t="s">
        <v>311</v>
      </c>
      <c r="D170" s="43">
        <v>3</v>
      </c>
      <c r="E170" s="43"/>
      <c r="F170" s="238">
        <v>32</v>
      </c>
      <c r="G170" s="239"/>
      <c r="H170" s="43">
        <v>19000</v>
      </c>
      <c r="I170" s="71">
        <f t="shared" si="4"/>
        <v>11400</v>
      </c>
    </row>
    <row r="171" spans="1:9" ht="23.25" customHeight="1" x14ac:dyDescent="0.35">
      <c r="A171" s="43">
        <v>14</v>
      </c>
      <c r="B171" s="43" t="s">
        <v>312</v>
      </c>
      <c r="C171" s="68" t="s">
        <v>313</v>
      </c>
      <c r="D171" s="43">
        <v>3</v>
      </c>
      <c r="E171" s="43"/>
      <c r="F171" s="238">
        <v>32</v>
      </c>
      <c r="G171" s="239"/>
      <c r="H171" s="43">
        <v>20000</v>
      </c>
      <c r="I171" s="71">
        <f t="shared" si="4"/>
        <v>12000</v>
      </c>
    </row>
    <row r="172" spans="1:9" ht="23.25" customHeight="1" x14ac:dyDescent="0.35">
      <c r="A172" s="43">
        <v>15</v>
      </c>
      <c r="B172" s="43" t="s">
        <v>314</v>
      </c>
      <c r="C172" s="68" t="s">
        <v>315</v>
      </c>
      <c r="D172" s="43">
        <v>3</v>
      </c>
      <c r="E172" s="43"/>
      <c r="F172" s="238">
        <v>32</v>
      </c>
      <c r="G172" s="239"/>
      <c r="H172" s="43">
        <v>20500</v>
      </c>
      <c r="I172" s="71">
        <f t="shared" si="4"/>
        <v>12300</v>
      </c>
    </row>
    <row r="173" spans="1:9" ht="23.25" customHeight="1" x14ac:dyDescent="0.35">
      <c r="A173" s="69">
        <v>14</v>
      </c>
      <c r="B173" s="69" t="s">
        <v>312</v>
      </c>
      <c r="C173" s="70" t="s">
        <v>313</v>
      </c>
      <c r="D173" s="69">
        <v>3</v>
      </c>
      <c r="E173" s="69"/>
      <c r="F173" s="247">
        <v>32</v>
      </c>
      <c r="G173" s="248"/>
      <c r="H173" s="71">
        <v>12600</v>
      </c>
      <c r="I173" s="71">
        <f t="shared" si="4"/>
        <v>7560</v>
      </c>
    </row>
    <row r="174" spans="1:9" ht="23.25" customHeight="1" x14ac:dyDescent="0.35">
      <c r="A174" s="69">
        <v>15</v>
      </c>
      <c r="B174" s="69" t="s">
        <v>314</v>
      </c>
      <c r="C174" s="70" t="s">
        <v>315</v>
      </c>
      <c r="D174" s="69">
        <v>3</v>
      </c>
      <c r="E174" s="69"/>
      <c r="F174" s="247">
        <v>32</v>
      </c>
      <c r="G174" s="248"/>
      <c r="H174" s="71">
        <v>12915</v>
      </c>
      <c r="I174" s="71">
        <f t="shared" si="4"/>
        <v>7749</v>
      </c>
    </row>
    <row r="175" spans="1:9" ht="23.25" customHeight="1" x14ac:dyDescent="0.35">
      <c r="I175" s="122"/>
    </row>
    <row r="176" spans="1:9" ht="23.25" customHeight="1" x14ac:dyDescent="0.35">
      <c r="I176" s="122"/>
    </row>
    <row r="177" spans="9:9" ht="23.25" customHeight="1" x14ac:dyDescent="0.35">
      <c r="I177" s="122"/>
    </row>
    <row r="178" spans="9:9" ht="23.25" customHeight="1" x14ac:dyDescent="0.35">
      <c r="I178" s="122"/>
    </row>
    <row r="179" spans="9:9" ht="23.25" customHeight="1" x14ac:dyDescent="0.35">
      <c r="I179" s="122"/>
    </row>
    <row r="180" spans="9:9" ht="23.25" customHeight="1" x14ac:dyDescent="0.35">
      <c r="I180" s="122"/>
    </row>
    <row r="181" spans="9:9" ht="23.25" customHeight="1" x14ac:dyDescent="0.35">
      <c r="I181" s="122"/>
    </row>
    <row r="182" spans="9:9" ht="23.25" customHeight="1" x14ac:dyDescent="0.35">
      <c r="I182" s="122"/>
    </row>
    <row r="183" spans="9:9" ht="23.25" customHeight="1" x14ac:dyDescent="0.35">
      <c r="I183" s="122"/>
    </row>
    <row r="184" spans="9:9" ht="23.25" customHeight="1" x14ac:dyDescent="0.35">
      <c r="I184" s="122"/>
    </row>
    <row r="185" spans="9:9" ht="23.25" customHeight="1" x14ac:dyDescent="0.35">
      <c r="I185" s="122"/>
    </row>
    <row r="186" spans="9:9" ht="23.25" customHeight="1" x14ac:dyDescent="0.35">
      <c r="I186" s="122"/>
    </row>
    <row r="187" spans="9:9" ht="23.25" customHeight="1" x14ac:dyDescent="0.35">
      <c r="I187" s="122"/>
    </row>
    <row r="188" spans="9:9" ht="23.25" customHeight="1" x14ac:dyDescent="0.35">
      <c r="I188" s="122"/>
    </row>
    <row r="189" spans="9:9" ht="23.25" customHeight="1" x14ac:dyDescent="0.35">
      <c r="I189" s="122"/>
    </row>
    <row r="190" spans="9:9" ht="23.25" customHeight="1" x14ac:dyDescent="0.35">
      <c r="I190" s="122"/>
    </row>
    <row r="191" spans="9:9" ht="23.25" customHeight="1" x14ac:dyDescent="0.35">
      <c r="I191" s="122"/>
    </row>
    <row r="192" spans="9:9" ht="23.25" customHeight="1" x14ac:dyDescent="0.35">
      <c r="I192" s="122"/>
    </row>
    <row r="193" spans="9:9" ht="23.25" customHeight="1" x14ac:dyDescent="0.35">
      <c r="I193" s="122"/>
    </row>
    <row r="194" spans="9:9" ht="23.25" customHeight="1" x14ac:dyDescent="0.35">
      <c r="I194" s="122"/>
    </row>
    <row r="195" spans="9:9" ht="23.25" customHeight="1" x14ac:dyDescent="0.35">
      <c r="I195" s="122"/>
    </row>
    <row r="196" spans="9:9" ht="23.25" customHeight="1" x14ac:dyDescent="0.35">
      <c r="I196" s="122"/>
    </row>
    <row r="197" spans="9:9" ht="23.25" customHeight="1" x14ac:dyDescent="0.35">
      <c r="I197" s="122"/>
    </row>
    <row r="198" spans="9:9" ht="23.25" customHeight="1" x14ac:dyDescent="0.35">
      <c r="I198" s="122"/>
    </row>
    <row r="199" spans="9:9" ht="23.25" customHeight="1" x14ac:dyDescent="0.35">
      <c r="I199" s="122"/>
    </row>
    <row r="200" spans="9:9" ht="23.25" customHeight="1" x14ac:dyDescent="0.35">
      <c r="I200" s="122"/>
    </row>
    <row r="201" spans="9:9" ht="23.25" customHeight="1" x14ac:dyDescent="0.35">
      <c r="I201" s="122"/>
    </row>
    <row r="202" spans="9:9" ht="23.25" customHeight="1" x14ac:dyDescent="0.35">
      <c r="I202" s="122"/>
    </row>
    <row r="203" spans="9:9" ht="23.25" customHeight="1" x14ac:dyDescent="0.35">
      <c r="I203" s="122"/>
    </row>
    <row r="204" spans="9:9" ht="23.25" customHeight="1" x14ac:dyDescent="0.35">
      <c r="I204" s="122"/>
    </row>
    <row r="205" spans="9:9" ht="23.25" customHeight="1" x14ac:dyDescent="0.35">
      <c r="I205" s="122"/>
    </row>
    <row r="206" spans="9:9" ht="23.25" customHeight="1" x14ac:dyDescent="0.35">
      <c r="I206" s="122"/>
    </row>
    <row r="207" spans="9:9" ht="23.25" customHeight="1" x14ac:dyDescent="0.35">
      <c r="I207" s="122"/>
    </row>
    <row r="208" spans="9:9" ht="23.25" customHeight="1" x14ac:dyDescent="0.35">
      <c r="I208" s="122"/>
    </row>
    <row r="209" spans="9:9" ht="23.25" customHeight="1" x14ac:dyDescent="0.35">
      <c r="I209" s="122"/>
    </row>
    <row r="210" spans="9:9" ht="23.25" customHeight="1" x14ac:dyDescent="0.35">
      <c r="I210" s="122"/>
    </row>
    <row r="211" spans="9:9" ht="23.25" customHeight="1" x14ac:dyDescent="0.35">
      <c r="I211" s="122"/>
    </row>
    <row r="212" spans="9:9" ht="23.25" customHeight="1" x14ac:dyDescent="0.35">
      <c r="I212" s="122"/>
    </row>
    <row r="213" spans="9:9" ht="23.25" customHeight="1" x14ac:dyDescent="0.35">
      <c r="I213" s="122"/>
    </row>
    <row r="214" spans="9:9" ht="23.25" customHeight="1" x14ac:dyDescent="0.35">
      <c r="I214" s="122"/>
    </row>
    <row r="215" spans="9:9" ht="23.25" customHeight="1" x14ac:dyDescent="0.35">
      <c r="I215" s="122"/>
    </row>
    <row r="216" spans="9:9" ht="23.25" customHeight="1" x14ac:dyDescent="0.35">
      <c r="I216" s="122"/>
    </row>
  </sheetData>
  <mergeCells count="96">
    <mergeCell ref="F170:G170"/>
    <mergeCell ref="F171:G171"/>
    <mergeCell ref="F172:G172"/>
    <mergeCell ref="F173:G173"/>
    <mergeCell ref="F174:G174"/>
    <mergeCell ref="F169:G169"/>
    <mergeCell ref="F158:G158"/>
    <mergeCell ref="F159:G159"/>
    <mergeCell ref="F160:G160"/>
    <mergeCell ref="F161:G161"/>
    <mergeCell ref="F162:G162"/>
    <mergeCell ref="F163:G163"/>
    <mergeCell ref="F164:G164"/>
    <mergeCell ref="F165:G165"/>
    <mergeCell ref="F166:G166"/>
    <mergeCell ref="F167:G167"/>
    <mergeCell ref="F168:G168"/>
    <mergeCell ref="H155:H157"/>
    <mergeCell ref="I155:I157"/>
    <mergeCell ref="A156:A157"/>
    <mergeCell ref="B156:B157"/>
    <mergeCell ref="C156:C157"/>
    <mergeCell ref="D156:E156"/>
    <mergeCell ref="F156:G156"/>
    <mergeCell ref="A155:G155"/>
    <mergeCell ref="F150:G150"/>
    <mergeCell ref="F151:G151"/>
    <mergeCell ref="F152:G152"/>
    <mergeCell ref="F153:G153"/>
    <mergeCell ref="F154:G154"/>
    <mergeCell ref="F149:G149"/>
    <mergeCell ref="F138:G138"/>
    <mergeCell ref="F139:G139"/>
    <mergeCell ref="F140:G140"/>
    <mergeCell ref="F141:G141"/>
    <mergeCell ref="F142:G142"/>
    <mergeCell ref="F143:G143"/>
    <mergeCell ref="F144:G144"/>
    <mergeCell ref="F145:G145"/>
    <mergeCell ref="F146:G146"/>
    <mergeCell ref="F147:G147"/>
    <mergeCell ref="F148:G148"/>
    <mergeCell ref="F137:G137"/>
    <mergeCell ref="A129:G129"/>
    <mergeCell ref="H129:H131"/>
    <mergeCell ref="I129:I131"/>
    <mergeCell ref="A130:A131"/>
    <mergeCell ref="B130:B131"/>
    <mergeCell ref="C130:C131"/>
    <mergeCell ref="D130:E130"/>
    <mergeCell ref="F130:G131"/>
    <mergeCell ref="F132:G132"/>
    <mergeCell ref="F133:G133"/>
    <mergeCell ref="F134:G134"/>
    <mergeCell ref="F135:G135"/>
    <mergeCell ref="F136:G136"/>
    <mergeCell ref="I114:I116"/>
    <mergeCell ref="A115:A116"/>
    <mergeCell ref="B115:B116"/>
    <mergeCell ref="C115:C116"/>
    <mergeCell ref="D115:E115"/>
    <mergeCell ref="F115:G115"/>
    <mergeCell ref="H114:H116"/>
    <mergeCell ref="D108:D109"/>
    <mergeCell ref="E108:E109"/>
    <mergeCell ref="D110:D113"/>
    <mergeCell ref="E110:E113"/>
    <mergeCell ref="A114:G114"/>
    <mergeCell ref="D74:D91"/>
    <mergeCell ref="E74:E91"/>
    <mergeCell ref="D92:D103"/>
    <mergeCell ref="E92:E103"/>
    <mergeCell ref="D104:D106"/>
    <mergeCell ref="E104:E106"/>
    <mergeCell ref="D58:D59"/>
    <mergeCell ref="E58:E59"/>
    <mergeCell ref="D61:D66"/>
    <mergeCell ref="E61:E66"/>
    <mergeCell ref="D67:D73"/>
    <mergeCell ref="E67:E73"/>
    <mergeCell ref="A55:G55"/>
    <mergeCell ref="H55:H57"/>
    <mergeCell ref="I55:I56"/>
    <mergeCell ref="A56:A57"/>
    <mergeCell ref="B56:B57"/>
    <mergeCell ref="C56:C57"/>
    <mergeCell ref="D56:E56"/>
    <mergeCell ref="F56:G56"/>
    <mergeCell ref="A1:I3"/>
    <mergeCell ref="A4:I4"/>
    <mergeCell ref="A5:A6"/>
    <mergeCell ref="B5:B6"/>
    <mergeCell ref="C5:C6"/>
    <mergeCell ref="D5:E5"/>
    <mergeCell ref="F5:G5"/>
    <mergeCell ref="H5:H6"/>
  </mergeCells>
  <conditionalFormatting sqref="B7:B172">
    <cfRule type="duplicateValues" dxfId="45" priority="1"/>
  </conditionalFormatting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499984740745262"/>
  </sheetPr>
  <dimension ref="A1:C15"/>
  <sheetViews>
    <sheetView workbookViewId="0">
      <selection activeCell="H8" sqref="H8"/>
    </sheetView>
  </sheetViews>
  <sheetFormatPr defaultRowHeight="14.5" x14ac:dyDescent="0.35"/>
  <cols>
    <col min="2" max="2" width="14.453125" customWidth="1"/>
    <col min="3" max="3" width="31.1796875" customWidth="1"/>
  </cols>
  <sheetData>
    <row r="1" spans="1:3" ht="15" thickBot="1" x14ac:dyDescent="0.4"/>
    <row r="2" spans="1:3" ht="29" thickBot="1" x14ac:dyDescent="0.7">
      <c r="A2" s="249" t="s">
        <v>316</v>
      </c>
      <c r="B2" s="250"/>
      <c r="C2" s="251"/>
    </row>
    <row r="4" spans="1:3" ht="21" x14ac:dyDescent="0.5">
      <c r="A4" s="117" t="s">
        <v>320</v>
      </c>
      <c r="B4" s="117" t="s">
        <v>319</v>
      </c>
      <c r="C4" s="117" t="s">
        <v>318</v>
      </c>
    </row>
    <row r="5" spans="1:3" ht="14.25" customHeight="1" x14ac:dyDescent="0.35">
      <c r="A5" s="36">
        <v>1</v>
      </c>
      <c r="B5" s="32" t="s">
        <v>317</v>
      </c>
      <c r="C5" s="37" t="s">
        <v>1</v>
      </c>
    </row>
    <row r="6" spans="1:3" x14ac:dyDescent="0.35">
      <c r="A6" s="36">
        <v>2</v>
      </c>
      <c r="B6" s="32" t="s">
        <v>321</v>
      </c>
      <c r="C6" s="37" t="s">
        <v>322</v>
      </c>
    </row>
    <row r="7" spans="1:3" ht="18.75" customHeight="1" x14ac:dyDescent="0.35">
      <c r="A7" s="36">
        <v>3</v>
      </c>
      <c r="B7" s="32" t="s">
        <v>323</v>
      </c>
      <c r="C7" s="37" t="s">
        <v>324</v>
      </c>
    </row>
    <row r="8" spans="1:3" x14ac:dyDescent="0.35">
      <c r="A8" s="36">
        <v>4</v>
      </c>
      <c r="B8" s="32" t="s">
        <v>325</v>
      </c>
      <c r="C8" s="37" t="s">
        <v>326</v>
      </c>
    </row>
    <row r="9" spans="1:3" x14ac:dyDescent="0.35">
      <c r="A9" s="36">
        <v>5</v>
      </c>
      <c r="B9" s="34">
        <v>2000634</v>
      </c>
      <c r="C9" s="38" t="s">
        <v>327</v>
      </c>
    </row>
    <row r="10" spans="1:3" x14ac:dyDescent="0.35">
      <c r="A10" s="36">
        <v>6</v>
      </c>
      <c r="B10" s="34">
        <v>2000703</v>
      </c>
      <c r="C10" s="38" t="s">
        <v>328</v>
      </c>
    </row>
    <row r="11" spans="1:3" x14ac:dyDescent="0.35">
      <c r="A11" s="36">
        <v>7</v>
      </c>
      <c r="B11" s="34">
        <v>2000705</v>
      </c>
      <c r="C11" s="38" t="s">
        <v>329</v>
      </c>
    </row>
    <row r="12" spans="1:3" x14ac:dyDescent="0.35">
      <c r="A12" s="36">
        <v>9</v>
      </c>
      <c r="B12" s="34">
        <v>2000701</v>
      </c>
      <c r="C12" s="38" t="s">
        <v>331</v>
      </c>
    </row>
    <row r="13" spans="1:3" x14ac:dyDescent="0.35">
      <c r="A13" s="36">
        <v>10</v>
      </c>
      <c r="B13" s="34">
        <v>2000658</v>
      </c>
      <c r="C13" s="38" t="s">
        <v>332</v>
      </c>
    </row>
    <row r="14" spans="1:3" x14ac:dyDescent="0.35">
      <c r="A14" s="36">
        <v>11</v>
      </c>
      <c r="B14" s="34">
        <v>2000720</v>
      </c>
      <c r="C14" s="38" t="s">
        <v>333</v>
      </c>
    </row>
    <row r="15" spans="1:3" ht="15" thickBot="1" x14ac:dyDescent="0.4">
      <c r="A15" s="114">
        <v>12</v>
      </c>
      <c r="B15" s="39">
        <v>2000633</v>
      </c>
      <c r="C15" s="40" t="s">
        <v>534</v>
      </c>
    </row>
  </sheetData>
  <mergeCells count="1">
    <mergeCell ref="A2:C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75"/>
  <sheetViews>
    <sheetView workbookViewId="0">
      <selection activeCell="B108" sqref="B108"/>
    </sheetView>
  </sheetViews>
  <sheetFormatPr defaultRowHeight="18" customHeight="1" x14ac:dyDescent="0.35"/>
  <cols>
    <col min="1" max="1" width="7" customWidth="1"/>
    <col min="2" max="2" width="16.54296875" customWidth="1"/>
    <col min="3" max="3" width="18.26953125" customWidth="1"/>
    <col min="4" max="8" width="9.1796875" customWidth="1"/>
    <col min="9" max="9" width="9.1796875" style="113"/>
  </cols>
  <sheetData>
    <row r="1" spans="1:9" ht="18" customHeight="1" x14ac:dyDescent="0.35">
      <c r="A1" s="203" t="s">
        <v>0</v>
      </c>
      <c r="B1" s="204"/>
      <c r="C1" s="204"/>
      <c r="D1" s="204"/>
      <c r="E1" s="204"/>
      <c r="F1" s="204"/>
      <c r="G1" s="204"/>
      <c r="H1" s="204"/>
      <c r="I1" s="204"/>
    </row>
    <row r="2" spans="1:9" ht="18" customHeight="1" x14ac:dyDescent="0.35">
      <c r="A2" s="203"/>
      <c r="B2" s="204"/>
      <c r="C2" s="204"/>
      <c r="D2" s="204"/>
      <c r="E2" s="204"/>
      <c r="F2" s="204"/>
      <c r="G2" s="204"/>
      <c r="H2" s="204"/>
      <c r="I2" s="204"/>
    </row>
    <row r="3" spans="1:9" ht="18" customHeight="1" x14ac:dyDescent="0.35">
      <c r="A3" s="203"/>
      <c r="B3" s="204"/>
      <c r="C3" s="204"/>
      <c r="D3" s="204"/>
      <c r="E3" s="204"/>
      <c r="F3" s="204"/>
      <c r="G3" s="204"/>
      <c r="H3" s="204"/>
      <c r="I3" s="204"/>
    </row>
    <row r="4" spans="1:9" ht="27.75" customHeight="1" x14ac:dyDescent="0.35">
      <c r="A4" s="205" t="s">
        <v>316</v>
      </c>
      <c r="B4" s="206"/>
      <c r="C4" s="206"/>
      <c r="D4" s="206"/>
      <c r="E4" s="206"/>
      <c r="F4" s="206"/>
      <c r="G4" s="206"/>
      <c r="H4" s="206"/>
      <c r="I4" s="206"/>
    </row>
    <row r="5" spans="1:9" ht="18" customHeight="1" x14ac:dyDescent="0.35">
      <c r="A5" s="207" t="s">
        <v>2</v>
      </c>
      <c r="B5" s="207" t="s">
        <v>3</v>
      </c>
      <c r="C5" s="207" t="s">
        <v>4</v>
      </c>
      <c r="D5" s="209" t="s">
        <v>5</v>
      </c>
      <c r="E5" s="210"/>
      <c r="F5" s="209" t="s">
        <v>6</v>
      </c>
      <c r="G5" s="210"/>
      <c r="H5" s="207" t="s">
        <v>7</v>
      </c>
      <c r="I5" s="270" t="s">
        <v>8</v>
      </c>
    </row>
    <row r="6" spans="1:9" ht="18" customHeight="1" thickBot="1" x14ac:dyDescent="0.4">
      <c r="A6" s="208"/>
      <c r="B6" s="208"/>
      <c r="C6" s="208"/>
      <c r="D6" s="11" t="s">
        <v>9</v>
      </c>
      <c r="E6" s="11" t="s">
        <v>10</v>
      </c>
      <c r="F6" s="11" t="s">
        <v>11</v>
      </c>
      <c r="G6" s="11" t="s">
        <v>12</v>
      </c>
      <c r="H6" s="208"/>
      <c r="I6" s="271"/>
    </row>
    <row r="7" spans="1:9" ht="18" customHeight="1" x14ac:dyDescent="0.35">
      <c r="A7" s="6">
        <v>1</v>
      </c>
      <c r="B7" s="4" t="s">
        <v>13</v>
      </c>
      <c r="C7" s="12" t="s">
        <v>14</v>
      </c>
      <c r="D7" s="2">
        <v>0.5</v>
      </c>
      <c r="E7" s="2">
        <v>0.37</v>
      </c>
      <c r="F7" s="2">
        <v>25</v>
      </c>
      <c r="G7" s="2">
        <v>25</v>
      </c>
      <c r="H7" s="13">
        <v>2640</v>
      </c>
      <c r="I7" s="132">
        <v>1912.68</v>
      </c>
    </row>
    <row r="8" spans="1:9" ht="18" customHeight="1" x14ac:dyDescent="0.35">
      <c r="A8" s="6">
        <v>2</v>
      </c>
      <c r="B8" s="4" t="s">
        <v>15</v>
      </c>
      <c r="C8" s="12" t="s">
        <v>16</v>
      </c>
      <c r="D8" s="2">
        <v>1</v>
      </c>
      <c r="E8" s="2">
        <v>0.75</v>
      </c>
      <c r="F8" s="2">
        <v>25</v>
      </c>
      <c r="G8" s="2">
        <v>25</v>
      </c>
      <c r="H8" s="13">
        <v>3420</v>
      </c>
      <c r="I8" s="133">
        <v>2477.79</v>
      </c>
    </row>
    <row r="9" spans="1:9" ht="18" customHeight="1" x14ac:dyDescent="0.35">
      <c r="A9" s="4">
        <v>3</v>
      </c>
      <c r="B9" s="4" t="s">
        <v>17</v>
      </c>
      <c r="C9" s="12" t="s">
        <v>18</v>
      </c>
      <c r="D9" s="2">
        <v>0.5</v>
      </c>
      <c r="E9" s="2">
        <v>0.37</v>
      </c>
      <c r="F9" s="2">
        <v>25</v>
      </c>
      <c r="G9" s="2">
        <v>25</v>
      </c>
      <c r="H9" s="13">
        <v>2840</v>
      </c>
      <c r="I9" s="133">
        <v>2057.58</v>
      </c>
    </row>
    <row r="10" spans="1:9" ht="18" customHeight="1" x14ac:dyDescent="0.35">
      <c r="A10" s="6">
        <v>4</v>
      </c>
      <c r="B10" s="4" t="s">
        <v>19</v>
      </c>
      <c r="C10" s="12" t="s">
        <v>20</v>
      </c>
      <c r="D10" s="2">
        <v>1</v>
      </c>
      <c r="E10" s="2">
        <v>0.75</v>
      </c>
      <c r="F10" s="2">
        <v>25</v>
      </c>
      <c r="G10" s="2">
        <v>25</v>
      </c>
      <c r="H10" s="13">
        <v>3660</v>
      </c>
      <c r="I10" s="133">
        <v>2651.67</v>
      </c>
    </row>
    <row r="11" spans="1:9" ht="18" customHeight="1" x14ac:dyDescent="0.35">
      <c r="A11" s="6">
        <v>5</v>
      </c>
      <c r="B11" s="6" t="s">
        <v>21</v>
      </c>
      <c r="C11" s="14" t="s">
        <v>22</v>
      </c>
      <c r="D11" s="2">
        <v>0.5</v>
      </c>
      <c r="E11" s="2">
        <v>0.37</v>
      </c>
      <c r="F11" s="2">
        <v>25</v>
      </c>
      <c r="G11" s="2">
        <v>25</v>
      </c>
      <c r="H11" s="8">
        <v>3160</v>
      </c>
      <c r="I11" s="133">
        <v>2216.7399999999998</v>
      </c>
    </row>
    <row r="12" spans="1:9" ht="18" customHeight="1" x14ac:dyDescent="0.35">
      <c r="A12" s="6">
        <v>6</v>
      </c>
      <c r="B12" s="6" t="s">
        <v>23</v>
      </c>
      <c r="C12" s="14" t="s">
        <v>24</v>
      </c>
      <c r="D12" s="2">
        <v>1</v>
      </c>
      <c r="E12" s="2">
        <v>0.75</v>
      </c>
      <c r="F12" s="2">
        <v>25</v>
      </c>
      <c r="G12" s="2">
        <v>25</v>
      </c>
      <c r="H12" s="8">
        <v>4120</v>
      </c>
      <c r="I12" s="133">
        <v>2890.18</v>
      </c>
    </row>
    <row r="13" spans="1:9" ht="18" customHeight="1" x14ac:dyDescent="0.35">
      <c r="A13" s="4">
        <v>7</v>
      </c>
      <c r="B13" s="4" t="s">
        <v>25</v>
      </c>
      <c r="C13" s="12" t="s">
        <v>26</v>
      </c>
      <c r="D13" s="2">
        <v>1.5</v>
      </c>
      <c r="E13" s="2">
        <v>1</v>
      </c>
      <c r="F13" s="2">
        <v>25</v>
      </c>
      <c r="G13" s="2">
        <v>25</v>
      </c>
      <c r="H13" s="8">
        <v>5750</v>
      </c>
      <c r="I13" s="133">
        <v>4033.625</v>
      </c>
    </row>
    <row r="14" spans="1:9" ht="18" customHeight="1" x14ac:dyDescent="0.35">
      <c r="A14" s="6">
        <v>8</v>
      </c>
      <c r="B14" s="6" t="s">
        <v>27</v>
      </c>
      <c r="C14" s="14" t="s">
        <v>28</v>
      </c>
      <c r="D14" s="2">
        <v>0.5</v>
      </c>
      <c r="E14" s="2">
        <v>0.37</v>
      </c>
      <c r="F14" s="2">
        <v>25</v>
      </c>
      <c r="G14" s="2">
        <v>25</v>
      </c>
      <c r="H14" s="8">
        <v>3520</v>
      </c>
      <c r="I14" s="133">
        <v>2469.2799999999997</v>
      </c>
    </row>
    <row r="15" spans="1:9" ht="18" customHeight="1" x14ac:dyDescent="0.35">
      <c r="A15" s="6">
        <v>9</v>
      </c>
      <c r="B15" s="4" t="s">
        <v>29</v>
      </c>
      <c r="C15" s="15" t="s">
        <v>30</v>
      </c>
      <c r="D15" s="2">
        <v>1</v>
      </c>
      <c r="E15" s="2">
        <v>0.75</v>
      </c>
      <c r="F15" s="2">
        <v>25</v>
      </c>
      <c r="G15" s="2">
        <v>25</v>
      </c>
      <c r="H15" s="8">
        <v>3660</v>
      </c>
      <c r="I15" s="133">
        <v>2567.4899999999998</v>
      </c>
    </row>
    <row r="16" spans="1:9" ht="18" customHeight="1" x14ac:dyDescent="0.35">
      <c r="A16" s="6">
        <v>10</v>
      </c>
      <c r="B16" s="4" t="s">
        <v>31</v>
      </c>
      <c r="C16" s="12" t="s">
        <v>32</v>
      </c>
      <c r="D16" s="2">
        <v>1</v>
      </c>
      <c r="E16" s="2">
        <v>0.75</v>
      </c>
      <c r="F16" s="2">
        <v>25</v>
      </c>
      <c r="G16" s="2">
        <v>25</v>
      </c>
      <c r="H16" s="8">
        <v>4220</v>
      </c>
      <c r="I16" s="133">
        <v>3003</v>
      </c>
    </row>
    <row r="17" spans="1:9" ht="18" customHeight="1" x14ac:dyDescent="0.35">
      <c r="A17" s="4">
        <v>11</v>
      </c>
      <c r="B17" s="6" t="s">
        <v>33</v>
      </c>
      <c r="C17" s="14" t="s">
        <v>34</v>
      </c>
      <c r="D17" s="2">
        <v>0.75</v>
      </c>
      <c r="E17" s="2">
        <v>0.56000000000000005</v>
      </c>
      <c r="F17" s="2">
        <v>25</v>
      </c>
      <c r="G17" s="2">
        <v>25</v>
      </c>
      <c r="H17" s="8">
        <v>4080</v>
      </c>
      <c r="I17" s="133">
        <v>2935</v>
      </c>
    </row>
    <row r="18" spans="1:9" ht="18" customHeight="1" x14ac:dyDescent="0.35">
      <c r="A18" s="6">
        <v>12</v>
      </c>
      <c r="B18" s="4" t="s">
        <v>35</v>
      </c>
      <c r="C18" s="16" t="s">
        <v>36</v>
      </c>
      <c r="D18" s="2">
        <v>1</v>
      </c>
      <c r="E18" s="2">
        <v>0.75</v>
      </c>
      <c r="F18" s="2">
        <v>25</v>
      </c>
      <c r="G18" s="2">
        <v>25</v>
      </c>
      <c r="H18" s="8">
        <v>4730</v>
      </c>
      <c r="I18" s="133">
        <v>3318.0949999999998</v>
      </c>
    </row>
    <row r="19" spans="1:9" ht="18" customHeight="1" x14ac:dyDescent="0.35">
      <c r="A19" s="6">
        <v>13</v>
      </c>
      <c r="B19" s="4" t="s">
        <v>37</v>
      </c>
      <c r="C19" s="16" t="s">
        <v>38</v>
      </c>
      <c r="D19" s="2">
        <v>1</v>
      </c>
      <c r="E19" s="2">
        <v>0.75</v>
      </c>
      <c r="F19" s="2">
        <v>25</v>
      </c>
      <c r="G19" s="2">
        <v>25</v>
      </c>
      <c r="H19" s="8">
        <v>4730</v>
      </c>
      <c r="I19" s="133">
        <v>3318.0949999999998</v>
      </c>
    </row>
    <row r="20" spans="1:9" ht="18" customHeight="1" x14ac:dyDescent="0.35">
      <c r="A20" s="6">
        <v>14</v>
      </c>
      <c r="B20" s="6" t="s">
        <v>39</v>
      </c>
      <c r="C20" s="14" t="s">
        <v>40</v>
      </c>
      <c r="D20" s="2">
        <v>1</v>
      </c>
      <c r="E20" s="2">
        <v>0.75</v>
      </c>
      <c r="F20" s="2">
        <v>25</v>
      </c>
      <c r="G20" s="2">
        <v>25</v>
      </c>
      <c r="H20" s="8">
        <v>5170</v>
      </c>
      <c r="I20" s="133">
        <v>3626.7549999999997</v>
      </c>
    </row>
    <row r="21" spans="1:9" ht="18" customHeight="1" x14ac:dyDescent="0.35">
      <c r="A21" s="4">
        <v>15</v>
      </c>
      <c r="B21" s="6" t="s">
        <v>41</v>
      </c>
      <c r="C21" s="14" t="s">
        <v>42</v>
      </c>
      <c r="D21" s="2">
        <v>1</v>
      </c>
      <c r="E21" s="2">
        <v>0.75</v>
      </c>
      <c r="F21" s="2">
        <v>25</v>
      </c>
      <c r="G21" s="2">
        <v>25</v>
      </c>
      <c r="H21" s="8">
        <v>4670</v>
      </c>
      <c r="I21" s="133">
        <v>3276.0049999999997</v>
      </c>
    </row>
    <row r="22" spans="1:9" ht="18" customHeight="1" x14ac:dyDescent="0.35">
      <c r="A22" s="6">
        <v>16</v>
      </c>
      <c r="B22" s="4" t="s">
        <v>43</v>
      </c>
      <c r="C22" s="12" t="s">
        <v>44</v>
      </c>
      <c r="D22" s="2">
        <v>1.2</v>
      </c>
      <c r="E22" s="2">
        <v>0.9</v>
      </c>
      <c r="F22" s="2">
        <v>25</v>
      </c>
      <c r="G22" s="2">
        <v>25</v>
      </c>
      <c r="H22" s="8">
        <v>6650</v>
      </c>
      <c r="I22" s="133">
        <v>4664.9750000000004</v>
      </c>
    </row>
    <row r="23" spans="1:9" ht="18" customHeight="1" x14ac:dyDescent="0.35">
      <c r="A23" s="6">
        <v>17</v>
      </c>
      <c r="B23" s="6" t="s">
        <v>45</v>
      </c>
      <c r="C23" s="14" t="s">
        <v>46</v>
      </c>
      <c r="D23" s="2">
        <v>1.5</v>
      </c>
      <c r="E23" s="2">
        <v>1.1000000000000001</v>
      </c>
      <c r="F23" s="2">
        <v>25</v>
      </c>
      <c r="G23" s="2">
        <v>25</v>
      </c>
      <c r="H23" s="8">
        <v>8150</v>
      </c>
      <c r="I23" s="133">
        <v>5717.2250000000004</v>
      </c>
    </row>
    <row r="24" spans="1:9" ht="18" customHeight="1" x14ac:dyDescent="0.35">
      <c r="A24" s="6">
        <v>18</v>
      </c>
      <c r="B24" s="6" t="s">
        <v>47</v>
      </c>
      <c r="C24" s="14" t="s">
        <v>48</v>
      </c>
      <c r="D24" s="2">
        <v>2</v>
      </c>
      <c r="E24" s="2">
        <v>1.5</v>
      </c>
      <c r="F24" s="2">
        <v>25</v>
      </c>
      <c r="G24" s="2">
        <v>25</v>
      </c>
      <c r="H24" s="8">
        <v>9190</v>
      </c>
      <c r="I24" s="133">
        <v>6446.7849999999999</v>
      </c>
    </row>
    <row r="25" spans="1:9" ht="18" customHeight="1" x14ac:dyDescent="0.35">
      <c r="A25" s="4">
        <v>19</v>
      </c>
      <c r="B25" s="6" t="s">
        <v>49</v>
      </c>
      <c r="C25" s="14" t="s">
        <v>50</v>
      </c>
      <c r="D25" s="2">
        <v>0.5</v>
      </c>
      <c r="E25" s="2">
        <v>0.37</v>
      </c>
      <c r="F25" s="2">
        <v>25</v>
      </c>
      <c r="G25" s="2">
        <v>25</v>
      </c>
      <c r="H25" s="8">
        <v>3310</v>
      </c>
      <c r="I25" s="133">
        <v>2321.9649999999997</v>
      </c>
    </row>
    <row r="26" spans="1:9" ht="18" customHeight="1" x14ac:dyDescent="0.35">
      <c r="A26" s="6">
        <v>20</v>
      </c>
      <c r="B26" s="4" t="s">
        <v>51</v>
      </c>
      <c r="C26" s="12" t="s">
        <v>52</v>
      </c>
      <c r="D26" s="2">
        <v>0.5</v>
      </c>
      <c r="E26" s="2">
        <v>0.37</v>
      </c>
      <c r="F26" s="2">
        <v>25</v>
      </c>
      <c r="G26" s="2">
        <v>25</v>
      </c>
      <c r="H26" s="10">
        <v>4380</v>
      </c>
      <c r="I26" s="133">
        <v>3173.31</v>
      </c>
    </row>
    <row r="27" spans="1:9" ht="18" customHeight="1" x14ac:dyDescent="0.35">
      <c r="A27" s="6">
        <v>21</v>
      </c>
      <c r="B27" s="4" t="s">
        <v>53</v>
      </c>
      <c r="C27" s="12" t="s">
        <v>54</v>
      </c>
      <c r="D27" s="2">
        <v>1</v>
      </c>
      <c r="E27" s="2">
        <v>0.75</v>
      </c>
      <c r="F27" s="2">
        <v>25</v>
      </c>
      <c r="G27" s="2">
        <v>25</v>
      </c>
      <c r="H27" s="10">
        <v>5300</v>
      </c>
      <c r="I27" s="133">
        <v>3839.85</v>
      </c>
    </row>
    <row r="28" spans="1:9" ht="18" customHeight="1" x14ac:dyDescent="0.35">
      <c r="A28" s="6">
        <v>22</v>
      </c>
      <c r="B28" s="6" t="s">
        <v>55</v>
      </c>
      <c r="C28" s="14" t="s">
        <v>56</v>
      </c>
      <c r="D28" s="2">
        <v>1.1000000000000001</v>
      </c>
      <c r="E28" s="2">
        <v>0.8</v>
      </c>
      <c r="F28" s="2">
        <v>25</v>
      </c>
      <c r="G28" s="2">
        <v>25</v>
      </c>
      <c r="H28" s="8">
        <v>5040</v>
      </c>
      <c r="I28" s="133">
        <v>3535.56</v>
      </c>
    </row>
    <row r="29" spans="1:9" ht="18" customHeight="1" x14ac:dyDescent="0.35">
      <c r="A29" s="4">
        <v>23</v>
      </c>
      <c r="B29" s="6" t="s">
        <v>57</v>
      </c>
      <c r="C29" s="14" t="s">
        <v>58</v>
      </c>
      <c r="D29" s="2">
        <v>1.1000000000000001</v>
      </c>
      <c r="E29" s="2">
        <v>0.8</v>
      </c>
      <c r="F29" s="2">
        <v>25</v>
      </c>
      <c r="G29" s="2">
        <v>25</v>
      </c>
      <c r="H29" s="8">
        <v>5150</v>
      </c>
      <c r="I29" s="133">
        <v>3612.7249999999999</v>
      </c>
    </row>
    <row r="30" spans="1:9" ht="18" customHeight="1" thickBot="1" x14ac:dyDescent="0.4">
      <c r="A30" s="6">
        <v>24</v>
      </c>
      <c r="B30" s="4" t="s">
        <v>59</v>
      </c>
      <c r="C30" s="16" t="s">
        <v>60</v>
      </c>
      <c r="D30" s="2">
        <v>1.25</v>
      </c>
      <c r="E30" s="2">
        <v>0.94</v>
      </c>
      <c r="F30" s="2">
        <v>25</v>
      </c>
      <c r="G30" s="2">
        <v>25</v>
      </c>
      <c r="H30" s="8">
        <v>6630</v>
      </c>
      <c r="I30" s="134">
        <v>4650.9449999999997</v>
      </c>
    </row>
    <row r="31" spans="1:9" ht="18" customHeight="1" x14ac:dyDescent="0.35">
      <c r="A31" s="6">
        <v>25</v>
      </c>
      <c r="B31" s="6" t="s">
        <v>61</v>
      </c>
      <c r="C31" s="14" t="s">
        <v>62</v>
      </c>
      <c r="D31" s="17">
        <v>0.5</v>
      </c>
      <c r="E31" s="17">
        <v>0.37</v>
      </c>
      <c r="F31" s="17">
        <v>25</v>
      </c>
      <c r="G31" s="17">
        <v>25</v>
      </c>
      <c r="H31" s="9">
        <v>4950</v>
      </c>
      <c r="I31" s="135">
        <v>3586.2750000000001</v>
      </c>
    </row>
    <row r="32" spans="1:9" ht="18" customHeight="1" x14ac:dyDescent="0.35">
      <c r="A32" s="6">
        <v>26</v>
      </c>
      <c r="B32" s="6" t="s">
        <v>63</v>
      </c>
      <c r="C32" s="14" t="s">
        <v>64</v>
      </c>
      <c r="D32" s="17">
        <v>0.5</v>
      </c>
      <c r="E32" s="17">
        <v>0.37</v>
      </c>
      <c r="F32" s="17">
        <v>25</v>
      </c>
      <c r="G32" s="17">
        <v>25</v>
      </c>
      <c r="H32" s="9">
        <v>5000</v>
      </c>
      <c r="I32" s="133">
        <v>3622.5</v>
      </c>
    </row>
    <row r="33" spans="1:9" ht="18" customHeight="1" x14ac:dyDescent="0.35">
      <c r="A33" s="4">
        <v>27</v>
      </c>
      <c r="B33" s="6" t="s">
        <v>65</v>
      </c>
      <c r="C33" s="14" t="s">
        <v>66</v>
      </c>
      <c r="D33" s="2">
        <v>1</v>
      </c>
      <c r="E33" s="2">
        <v>0.75</v>
      </c>
      <c r="F33" s="2">
        <v>25</v>
      </c>
      <c r="G33" s="2">
        <v>25</v>
      </c>
      <c r="H33" s="8">
        <v>5560</v>
      </c>
      <c r="I33" s="133">
        <v>3900.3399999999997</v>
      </c>
    </row>
    <row r="34" spans="1:9" ht="18" customHeight="1" x14ac:dyDescent="0.35">
      <c r="A34" s="6">
        <v>28</v>
      </c>
      <c r="B34" s="6" t="s">
        <v>67</v>
      </c>
      <c r="C34" s="14" t="s">
        <v>68</v>
      </c>
      <c r="D34" s="2">
        <v>1</v>
      </c>
      <c r="E34" s="2">
        <v>0.75</v>
      </c>
      <c r="F34" s="2">
        <v>25</v>
      </c>
      <c r="G34" s="2">
        <v>25</v>
      </c>
      <c r="H34" s="8">
        <v>5650</v>
      </c>
      <c r="I34" s="133">
        <v>3963.4749999999999</v>
      </c>
    </row>
    <row r="35" spans="1:9" ht="18" customHeight="1" x14ac:dyDescent="0.35">
      <c r="A35" s="6">
        <v>29</v>
      </c>
      <c r="B35" s="6" t="s">
        <v>69</v>
      </c>
      <c r="C35" s="14" t="s">
        <v>70</v>
      </c>
      <c r="D35" s="2">
        <v>1.5</v>
      </c>
      <c r="E35" s="2">
        <v>1.1000000000000001</v>
      </c>
      <c r="F35" s="2">
        <v>25</v>
      </c>
      <c r="G35" s="2">
        <v>25</v>
      </c>
      <c r="H35" s="8">
        <v>7840</v>
      </c>
      <c r="I35" s="133">
        <v>5499.7599999999993</v>
      </c>
    </row>
    <row r="36" spans="1:9" ht="18" customHeight="1" thickBot="1" x14ac:dyDescent="0.4">
      <c r="A36" s="6">
        <v>30</v>
      </c>
      <c r="B36" s="6" t="s">
        <v>71</v>
      </c>
      <c r="C36" s="14" t="s">
        <v>72</v>
      </c>
      <c r="D36" s="2">
        <v>1.5</v>
      </c>
      <c r="E36" s="2">
        <v>1.1000000000000001</v>
      </c>
      <c r="F36" s="2">
        <v>25</v>
      </c>
      <c r="G36" s="2">
        <v>25</v>
      </c>
      <c r="H36" s="8">
        <v>8170</v>
      </c>
      <c r="I36" s="134">
        <v>5731.2550000000001</v>
      </c>
    </row>
    <row r="37" spans="1:9" ht="18" customHeight="1" x14ac:dyDescent="0.35">
      <c r="A37" s="4">
        <v>31</v>
      </c>
      <c r="B37" s="4" t="s">
        <v>73</v>
      </c>
      <c r="C37" s="12" t="s">
        <v>74</v>
      </c>
      <c r="D37" s="2">
        <v>0.5</v>
      </c>
      <c r="E37" s="2">
        <v>0.37</v>
      </c>
      <c r="F37" s="2">
        <v>25</v>
      </c>
      <c r="G37" s="2">
        <v>25</v>
      </c>
      <c r="H37" s="8">
        <v>6450</v>
      </c>
      <c r="I37" s="135">
        <v>4407</v>
      </c>
    </row>
    <row r="38" spans="1:9" ht="18" customHeight="1" x14ac:dyDescent="0.35">
      <c r="A38" s="6">
        <v>32</v>
      </c>
      <c r="B38" s="6" t="s">
        <v>75</v>
      </c>
      <c r="C38" s="14" t="s">
        <v>76</v>
      </c>
      <c r="D38" s="3">
        <v>0.9</v>
      </c>
      <c r="E38" s="3">
        <v>0.7</v>
      </c>
      <c r="F38" s="3">
        <v>25</v>
      </c>
      <c r="G38" s="3">
        <v>25</v>
      </c>
      <c r="H38" s="8">
        <v>6640</v>
      </c>
      <c r="I38" s="133">
        <v>4661</v>
      </c>
    </row>
    <row r="39" spans="1:9" ht="18" customHeight="1" x14ac:dyDescent="0.35">
      <c r="A39" s="6">
        <v>33</v>
      </c>
      <c r="B39" s="6" t="s">
        <v>77</v>
      </c>
      <c r="C39" s="14" t="s">
        <v>78</v>
      </c>
      <c r="D39" s="3">
        <v>1</v>
      </c>
      <c r="E39" s="3">
        <v>0.75</v>
      </c>
      <c r="F39" s="3">
        <v>25</v>
      </c>
      <c r="G39" s="3">
        <v>25</v>
      </c>
      <c r="H39" s="8">
        <v>7100</v>
      </c>
      <c r="I39" s="133">
        <v>5085</v>
      </c>
    </row>
    <row r="40" spans="1:9" ht="18" customHeight="1" x14ac:dyDescent="0.35">
      <c r="A40" s="6">
        <v>34</v>
      </c>
      <c r="B40" s="4" t="s">
        <v>79</v>
      </c>
      <c r="C40" s="15" t="s">
        <v>80</v>
      </c>
      <c r="D40" s="3">
        <v>0.5</v>
      </c>
      <c r="E40" s="3">
        <v>0.37</v>
      </c>
      <c r="F40" s="3">
        <v>25</v>
      </c>
      <c r="G40" s="3">
        <v>25</v>
      </c>
      <c r="H40" s="8">
        <v>5500</v>
      </c>
      <c r="I40" s="133">
        <v>3860</v>
      </c>
    </row>
    <row r="41" spans="1:9" ht="18" customHeight="1" x14ac:dyDescent="0.35">
      <c r="A41" s="4">
        <v>35</v>
      </c>
      <c r="B41" s="4"/>
      <c r="C41" s="15" t="s">
        <v>81</v>
      </c>
      <c r="D41" s="3">
        <v>1</v>
      </c>
      <c r="E41" s="3">
        <v>0.75</v>
      </c>
      <c r="F41" s="3">
        <v>25</v>
      </c>
      <c r="G41" s="3">
        <v>25</v>
      </c>
      <c r="H41" s="8">
        <v>6200</v>
      </c>
      <c r="I41" s="133">
        <v>4352</v>
      </c>
    </row>
    <row r="42" spans="1:9" ht="18" customHeight="1" x14ac:dyDescent="0.35">
      <c r="A42" s="6">
        <v>36</v>
      </c>
      <c r="B42" s="4" t="s">
        <v>82</v>
      </c>
      <c r="C42" s="12" t="s">
        <v>83</v>
      </c>
      <c r="D42" s="1">
        <v>0.5</v>
      </c>
      <c r="E42" s="1">
        <v>0.37</v>
      </c>
      <c r="F42" s="1">
        <v>25</v>
      </c>
      <c r="G42" s="1">
        <v>25</v>
      </c>
      <c r="H42" s="8">
        <v>7140</v>
      </c>
      <c r="I42" s="133">
        <v>5008.7099999999991</v>
      </c>
    </row>
    <row r="43" spans="1:9" ht="18" customHeight="1" x14ac:dyDescent="0.35">
      <c r="A43" s="6">
        <v>37</v>
      </c>
      <c r="B43" s="6" t="s">
        <v>84</v>
      </c>
      <c r="C43" s="14" t="s">
        <v>85</v>
      </c>
      <c r="D43" s="1">
        <v>1.1000000000000001</v>
      </c>
      <c r="E43" s="1">
        <v>0.8</v>
      </c>
      <c r="F43" s="1">
        <v>25</v>
      </c>
      <c r="G43" s="1">
        <v>25</v>
      </c>
      <c r="H43" s="8">
        <v>7700</v>
      </c>
      <c r="I43" s="133">
        <v>5403</v>
      </c>
    </row>
    <row r="44" spans="1:9" ht="18" customHeight="1" thickBot="1" x14ac:dyDescent="0.4">
      <c r="A44" s="6">
        <v>38</v>
      </c>
      <c r="B44" s="6" t="s">
        <v>86</v>
      </c>
      <c r="C44" s="14" t="s">
        <v>87</v>
      </c>
      <c r="D44" s="1">
        <v>1.5</v>
      </c>
      <c r="E44" s="1">
        <v>1.1000000000000001</v>
      </c>
      <c r="F44" s="1">
        <v>25</v>
      </c>
      <c r="G44" s="1">
        <v>25</v>
      </c>
      <c r="H44" s="8">
        <v>8690</v>
      </c>
      <c r="I44" s="134">
        <v>6098</v>
      </c>
    </row>
    <row r="45" spans="1:9" ht="18" customHeight="1" x14ac:dyDescent="0.35">
      <c r="A45" s="4">
        <v>39</v>
      </c>
      <c r="B45" s="4" t="s">
        <v>88</v>
      </c>
      <c r="C45" s="12" t="s">
        <v>89</v>
      </c>
      <c r="D45" s="2">
        <v>0.5</v>
      </c>
      <c r="E45" s="2">
        <v>0.37</v>
      </c>
      <c r="F45" s="2">
        <v>25</v>
      </c>
      <c r="G45" s="2">
        <v>12</v>
      </c>
      <c r="H45" s="8">
        <v>4860</v>
      </c>
      <c r="I45" s="135">
        <v>3411</v>
      </c>
    </row>
    <row r="46" spans="1:9" ht="18" customHeight="1" thickBot="1" x14ac:dyDescent="0.4">
      <c r="A46" s="6">
        <v>40</v>
      </c>
      <c r="B46" s="4" t="s">
        <v>90</v>
      </c>
      <c r="C46" s="12" t="s">
        <v>91</v>
      </c>
      <c r="D46" s="2">
        <v>1</v>
      </c>
      <c r="E46" s="2">
        <v>0.75</v>
      </c>
      <c r="F46" s="2">
        <v>25</v>
      </c>
      <c r="G46" s="2">
        <v>25</v>
      </c>
      <c r="H46" s="8">
        <v>5600</v>
      </c>
      <c r="I46" s="134">
        <v>3928</v>
      </c>
    </row>
    <row r="47" spans="1:9" ht="18" customHeight="1" x14ac:dyDescent="0.35">
      <c r="A47" s="6">
        <v>41</v>
      </c>
      <c r="B47" s="6" t="s">
        <v>92</v>
      </c>
      <c r="C47" s="14" t="s">
        <v>93</v>
      </c>
      <c r="D47" s="17">
        <v>1</v>
      </c>
      <c r="E47" s="17">
        <v>0.75</v>
      </c>
      <c r="F47" s="17">
        <v>25</v>
      </c>
      <c r="G47" s="17">
        <v>25</v>
      </c>
      <c r="H47" s="9">
        <v>8420</v>
      </c>
      <c r="I47" s="136">
        <v>6100.2900000000009</v>
      </c>
    </row>
    <row r="48" spans="1:9" ht="18" customHeight="1" thickBot="1" x14ac:dyDescent="0.4">
      <c r="A48" s="6">
        <v>42</v>
      </c>
      <c r="B48" s="6" t="s">
        <v>94</v>
      </c>
      <c r="C48" s="14" t="s">
        <v>95</v>
      </c>
      <c r="D48" s="2">
        <v>1.1000000000000001</v>
      </c>
      <c r="E48" s="2">
        <v>0.8</v>
      </c>
      <c r="F48" s="2">
        <v>25</v>
      </c>
      <c r="G48" s="2">
        <v>25</v>
      </c>
      <c r="H48" s="8">
        <v>12020</v>
      </c>
      <c r="I48" s="134">
        <v>8432.0299999999988</v>
      </c>
    </row>
    <row r="49" spans="1:9" ht="18" customHeight="1" x14ac:dyDescent="0.35">
      <c r="A49" s="4">
        <v>43</v>
      </c>
      <c r="B49" s="4" t="s">
        <v>96</v>
      </c>
      <c r="C49" s="12" t="s">
        <v>97</v>
      </c>
      <c r="D49" s="2">
        <v>0.5</v>
      </c>
      <c r="E49" s="2">
        <v>0.37</v>
      </c>
      <c r="F49" s="2">
        <v>25</v>
      </c>
      <c r="G49" s="2">
        <v>25</v>
      </c>
      <c r="H49" s="8">
        <v>7530</v>
      </c>
      <c r="I49" s="136">
        <v>5284</v>
      </c>
    </row>
    <row r="50" spans="1:9" ht="18" customHeight="1" x14ac:dyDescent="0.35">
      <c r="A50" s="6">
        <v>44</v>
      </c>
      <c r="B50" s="4" t="s">
        <v>98</v>
      </c>
      <c r="C50" s="12" t="s">
        <v>99</v>
      </c>
      <c r="D50" s="2">
        <v>1</v>
      </c>
      <c r="E50" s="2">
        <v>0.75</v>
      </c>
      <c r="F50" s="2">
        <v>25</v>
      </c>
      <c r="G50" s="2">
        <v>25</v>
      </c>
      <c r="H50" s="8">
        <v>9150</v>
      </c>
      <c r="I50" s="133">
        <v>6418.7250000000004</v>
      </c>
    </row>
    <row r="51" spans="1:9" ht="18" customHeight="1" x14ac:dyDescent="0.35">
      <c r="A51" s="6">
        <v>45</v>
      </c>
      <c r="B51" s="4" t="s">
        <v>100</v>
      </c>
      <c r="C51" s="12" t="s">
        <v>101</v>
      </c>
      <c r="D51" s="2">
        <v>1</v>
      </c>
      <c r="E51" s="2">
        <v>0.75</v>
      </c>
      <c r="F51" s="2">
        <v>25</v>
      </c>
      <c r="G51" s="2">
        <v>25</v>
      </c>
      <c r="H51" s="5">
        <v>16800</v>
      </c>
      <c r="I51" s="133">
        <v>11788</v>
      </c>
    </row>
    <row r="52" spans="1:9" ht="18" customHeight="1" x14ac:dyDescent="0.35">
      <c r="A52" s="6">
        <v>46</v>
      </c>
      <c r="B52" s="6" t="s">
        <v>102</v>
      </c>
      <c r="C52" s="14" t="s">
        <v>103</v>
      </c>
      <c r="D52" s="2">
        <v>0.5</v>
      </c>
      <c r="E52" s="2">
        <v>0.37</v>
      </c>
      <c r="F52" s="2">
        <v>25</v>
      </c>
      <c r="G52" s="2">
        <v>25</v>
      </c>
      <c r="H52" s="8">
        <v>17760</v>
      </c>
      <c r="I52" s="133">
        <v>12458</v>
      </c>
    </row>
    <row r="53" spans="1:9" ht="18" customHeight="1" x14ac:dyDescent="0.35">
      <c r="A53" s="4">
        <v>47</v>
      </c>
      <c r="B53" s="6" t="s">
        <v>104</v>
      </c>
      <c r="C53" s="14" t="s">
        <v>105</v>
      </c>
      <c r="D53" s="2">
        <v>1</v>
      </c>
      <c r="E53" s="2">
        <v>0.75</v>
      </c>
      <c r="F53" s="2">
        <v>25</v>
      </c>
      <c r="G53" s="2">
        <v>25</v>
      </c>
      <c r="H53" s="8">
        <v>19120</v>
      </c>
      <c r="I53" s="133">
        <v>13415</v>
      </c>
    </row>
    <row r="54" spans="1:9" ht="18" customHeight="1" thickBot="1" x14ac:dyDescent="0.4">
      <c r="A54" s="6">
        <v>48</v>
      </c>
      <c r="B54" s="6" t="s">
        <v>106</v>
      </c>
      <c r="C54" s="14" t="s">
        <v>107</v>
      </c>
      <c r="D54" s="2">
        <v>1.1000000000000001</v>
      </c>
      <c r="E54" s="2">
        <v>0.8</v>
      </c>
      <c r="F54" s="2">
        <v>25</v>
      </c>
      <c r="G54" s="2">
        <v>25</v>
      </c>
      <c r="H54" s="8">
        <v>20900</v>
      </c>
      <c r="I54" s="134">
        <v>14661.35</v>
      </c>
    </row>
    <row r="55" spans="1:9" ht="18" customHeight="1" x14ac:dyDescent="0.35">
      <c r="A55" s="267" t="s">
        <v>108</v>
      </c>
      <c r="B55" s="268"/>
      <c r="C55" s="268"/>
      <c r="D55" s="268"/>
      <c r="E55" s="268"/>
      <c r="F55" s="268"/>
      <c r="G55" s="269"/>
      <c r="H55" s="207" t="s">
        <v>109</v>
      </c>
      <c r="I55" s="256" t="s">
        <v>8</v>
      </c>
    </row>
    <row r="56" spans="1:9" ht="18" customHeight="1" x14ac:dyDescent="0.35">
      <c r="A56" s="207" t="s">
        <v>2</v>
      </c>
      <c r="B56" s="207" t="s">
        <v>3</v>
      </c>
      <c r="C56" s="260" t="s">
        <v>4</v>
      </c>
      <c r="D56" s="209" t="s">
        <v>5</v>
      </c>
      <c r="E56" s="210"/>
      <c r="F56" s="209" t="s">
        <v>6</v>
      </c>
      <c r="G56" s="210"/>
      <c r="H56" s="259"/>
      <c r="I56" s="257"/>
    </row>
    <row r="57" spans="1:9" ht="18" customHeight="1" x14ac:dyDescent="0.35">
      <c r="A57" s="208"/>
      <c r="B57" s="208"/>
      <c r="C57" s="261"/>
      <c r="D57" s="11" t="s">
        <v>9</v>
      </c>
      <c r="E57" s="11" t="s">
        <v>10</v>
      </c>
      <c r="F57" s="11" t="s">
        <v>11</v>
      </c>
      <c r="G57" s="11" t="s">
        <v>12</v>
      </c>
      <c r="H57" s="208"/>
      <c r="I57" s="258"/>
    </row>
    <row r="58" spans="1:9" ht="18" customHeight="1" x14ac:dyDescent="0.35">
      <c r="A58" s="6">
        <v>1</v>
      </c>
      <c r="B58" s="6" t="s">
        <v>110</v>
      </c>
      <c r="C58" s="14" t="s">
        <v>111</v>
      </c>
      <c r="D58" s="264">
        <v>0.5</v>
      </c>
      <c r="E58" s="264">
        <v>0.37</v>
      </c>
      <c r="F58" s="2">
        <v>25</v>
      </c>
      <c r="G58" s="2">
        <v>25</v>
      </c>
      <c r="H58" s="8">
        <v>4680</v>
      </c>
      <c r="I58" s="133">
        <v>3283.0199999999995</v>
      </c>
    </row>
    <row r="59" spans="1:9" ht="18" customHeight="1" x14ac:dyDescent="0.35">
      <c r="A59" s="6">
        <v>2</v>
      </c>
      <c r="B59" s="6" t="s">
        <v>112</v>
      </c>
      <c r="C59" s="14" t="s">
        <v>113</v>
      </c>
      <c r="D59" s="265"/>
      <c r="E59" s="265"/>
      <c r="F59" s="2">
        <v>40</v>
      </c>
      <c r="G59" s="2">
        <v>40</v>
      </c>
      <c r="H59" s="8">
        <v>6430</v>
      </c>
      <c r="I59" s="133">
        <v>4510.6449999999995</v>
      </c>
    </row>
    <row r="60" spans="1:9" ht="18" customHeight="1" x14ac:dyDescent="0.35">
      <c r="A60" s="4">
        <v>3</v>
      </c>
      <c r="B60" s="4" t="s">
        <v>114</v>
      </c>
      <c r="C60" s="18" t="s">
        <v>115</v>
      </c>
      <c r="D60" s="2">
        <v>0.75</v>
      </c>
      <c r="E60" s="2">
        <v>0.56000000000000005</v>
      </c>
      <c r="F60" s="2">
        <v>40</v>
      </c>
      <c r="G60" s="2">
        <v>40</v>
      </c>
      <c r="H60" s="5">
        <v>6240</v>
      </c>
      <c r="I60" s="133">
        <v>4377.3600000000006</v>
      </c>
    </row>
    <row r="61" spans="1:9" ht="18" customHeight="1" x14ac:dyDescent="0.35">
      <c r="A61" s="6">
        <v>4</v>
      </c>
      <c r="B61" s="6" t="s">
        <v>116</v>
      </c>
      <c r="C61" s="14" t="s">
        <v>117</v>
      </c>
      <c r="D61" s="262">
        <v>1</v>
      </c>
      <c r="E61" s="262">
        <v>0.75</v>
      </c>
      <c r="F61" s="1">
        <v>25</v>
      </c>
      <c r="G61" s="1">
        <v>25</v>
      </c>
      <c r="H61" s="8">
        <v>7572</v>
      </c>
      <c r="I61" s="133">
        <v>5311.7579999999998</v>
      </c>
    </row>
    <row r="62" spans="1:9" ht="18" customHeight="1" x14ac:dyDescent="0.35">
      <c r="A62" s="6">
        <v>5</v>
      </c>
      <c r="B62" s="6" t="s">
        <v>118</v>
      </c>
      <c r="C62" s="14" t="s">
        <v>119</v>
      </c>
      <c r="D62" s="266"/>
      <c r="E62" s="266"/>
      <c r="F62" s="1">
        <v>50</v>
      </c>
      <c r="G62" s="1">
        <v>50</v>
      </c>
      <c r="H62" s="8">
        <v>8900</v>
      </c>
      <c r="I62" s="133">
        <v>6243.35</v>
      </c>
    </row>
    <row r="63" spans="1:9" ht="18" customHeight="1" x14ac:dyDescent="0.35">
      <c r="A63" s="4">
        <v>6</v>
      </c>
      <c r="B63" s="6" t="s">
        <v>120</v>
      </c>
      <c r="C63" s="14" t="s">
        <v>121</v>
      </c>
      <c r="D63" s="266"/>
      <c r="E63" s="266"/>
      <c r="F63" s="1">
        <v>50</v>
      </c>
      <c r="G63" s="1">
        <v>50</v>
      </c>
      <c r="H63" s="5">
        <v>9100</v>
      </c>
      <c r="I63" s="133">
        <v>6383.65</v>
      </c>
    </row>
    <row r="64" spans="1:9" ht="18" customHeight="1" x14ac:dyDescent="0.35">
      <c r="A64" s="6">
        <v>7</v>
      </c>
      <c r="B64" s="4" t="s">
        <v>122</v>
      </c>
      <c r="C64" s="18" t="s">
        <v>123</v>
      </c>
      <c r="D64" s="266"/>
      <c r="E64" s="266"/>
      <c r="F64" s="1">
        <v>50</v>
      </c>
      <c r="G64" s="1">
        <v>50</v>
      </c>
      <c r="H64" s="5">
        <v>9000</v>
      </c>
      <c r="I64" s="133">
        <v>6313.5</v>
      </c>
    </row>
    <row r="65" spans="1:9" ht="18" customHeight="1" x14ac:dyDescent="0.35">
      <c r="A65" s="6">
        <v>8</v>
      </c>
      <c r="B65" s="4" t="s">
        <v>124</v>
      </c>
      <c r="C65" s="19" t="s">
        <v>125</v>
      </c>
      <c r="D65" s="266"/>
      <c r="E65" s="266"/>
      <c r="F65" s="1">
        <v>75</v>
      </c>
      <c r="G65" s="1">
        <v>75</v>
      </c>
      <c r="H65" s="8">
        <v>10000</v>
      </c>
      <c r="I65" s="133">
        <v>7015</v>
      </c>
    </row>
    <row r="66" spans="1:9" ht="18" customHeight="1" x14ac:dyDescent="0.35">
      <c r="A66" s="4">
        <v>9</v>
      </c>
      <c r="B66" s="4"/>
      <c r="C66" s="18" t="s">
        <v>126</v>
      </c>
      <c r="D66" s="263"/>
      <c r="E66" s="263"/>
      <c r="F66" s="1">
        <v>75</v>
      </c>
      <c r="G66" s="1">
        <v>75</v>
      </c>
      <c r="H66" s="5">
        <v>10200</v>
      </c>
      <c r="I66" s="133">
        <v>7155.3</v>
      </c>
    </row>
    <row r="67" spans="1:9" ht="18" customHeight="1" x14ac:dyDescent="0.35">
      <c r="A67" s="6">
        <v>10</v>
      </c>
      <c r="B67" s="4" t="s">
        <v>127</v>
      </c>
      <c r="C67" s="19" t="s">
        <v>128</v>
      </c>
      <c r="D67" s="262">
        <v>1.5</v>
      </c>
      <c r="E67" s="262">
        <v>1.1000000000000001</v>
      </c>
      <c r="F67" s="1">
        <v>50</v>
      </c>
      <c r="G67" s="1">
        <v>50</v>
      </c>
      <c r="H67" s="5">
        <v>10420</v>
      </c>
      <c r="I67" s="133">
        <v>7309.63</v>
      </c>
    </row>
    <row r="68" spans="1:9" ht="18" customHeight="1" x14ac:dyDescent="0.35">
      <c r="A68" s="6">
        <v>11</v>
      </c>
      <c r="B68" s="4" t="s">
        <v>129</v>
      </c>
      <c r="C68" s="18" t="s">
        <v>130</v>
      </c>
      <c r="D68" s="266"/>
      <c r="E68" s="266"/>
      <c r="F68" s="1">
        <v>50</v>
      </c>
      <c r="G68" s="1">
        <v>50</v>
      </c>
      <c r="H68" s="5">
        <v>10600</v>
      </c>
      <c r="I68" s="133">
        <v>7435.9</v>
      </c>
    </row>
    <row r="69" spans="1:9" ht="18" customHeight="1" x14ac:dyDescent="0.35">
      <c r="A69" s="4">
        <v>12</v>
      </c>
      <c r="B69" s="4" t="s">
        <v>131</v>
      </c>
      <c r="C69" s="19" t="s">
        <v>132</v>
      </c>
      <c r="D69" s="266"/>
      <c r="E69" s="266"/>
      <c r="F69" s="1">
        <v>65</v>
      </c>
      <c r="G69" s="1">
        <v>50</v>
      </c>
      <c r="H69" s="5">
        <v>10600</v>
      </c>
      <c r="I69" s="133">
        <v>7435.9</v>
      </c>
    </row>
    <row r="70" spans="1:9" ht="18" customHeight="1" x14ac:dyDescent="0.35">
      <c r="A70" s="6">
        <v>13</v>
      </c>
      <c r="B70" s="4" t="s">
        <v>133</v>
      </c>
      <c r="C70" s="18" t="s">
        <v>134</v>
      </c>
      <c r="D70" s="266"/>
      <c r="E70" s="266"/>
      <c r="F70" s="1">
        <v>65</v>
      </c>
      <c r="G70" s="1">
        <v>50</v>
      </c>
      <c r="H70" s="5">
        <v>10800</v>
      </c>
      <c r="I70" s="133">
        <v>7576.2</v>
      </c>
    </row>
    <row r="71" spans="1:9" ht="18" customHeight="1" x14ac:dyDescent="0.35">
      <c r="A71" s="6">
        <v>14</v>
      </c>
      <c r="B71" s="4" t="s">
        <v>135</v>
      </c>
      <c r="C71" s="19" t="s">
        <v>136</v>
      </c>
      <c r="D71" s="266"/>
      <c r="E71" s="266"/>
      <c r="F71" s="1">
        <v>75</v>
      </c>
      <c r="G71" s="1">
        <v>75</v>
      </c>
      <c r="H71" s="8">
        <v>11000</v>
      </c>
      <c r="I71" s="133">
        <v>7716.5</v>
      </c>
    </row>
    <row r="72" spans="1:9" ht="18" customHeight="1" x14ac:dyDescent="0.35">
      <c r="A72" s="4">
        <v>15</v>
      </c>
      <c r="B72" s="4" t="s">
        <v>137</v>
      </c>
      <c r="C72" s="18" t="s">
        <v>138</v>
      </c>
      <c r="D72" s="266"/>
      <c r="E72" s="266"/>
      <c r="F72" s="1">
        <v>75</v>
      </c>
      <c r="G72" s="1">
        <v>75</v>
      </c>
      <c r="H72" s="5">
        <v>11200</v>
      </c>
      <c r="I72" s="133">
        <v>7856.8</v>
      </c>
    </row>
    <row r="73" spans="1:9" ht="18" customHeight="1" x14ac:dyDescent="0.35">
      <c r="A73" s="6">
        <v>16</v>
      </c>
      <c r="B73" s="4" t="s">
        <v>139</v>
      </c>
      <c r="C73" s="18" t="s">
        <v>140</v>
      </c>
      <c r="D73" s="263"/>
      <c r="E73" s="263"/>
      <c r="F73" s="1">
        <v>75</v>
      </c>
      <c r="G73" s="1">
        <v>75</v>
      </c>
      <c r="H73" s="5">
        <v>11200</v>
      </c>
      <c r="I73" s="133">
        <v>7856.8</v>
      </c>
    </row>
    <row r="74" spans="1:9" ht="18" customHeight="1" x14ac:dyDescent="0.35">
      <c r="A74" s="6">
        <v>17</v>
      </c>
      <c r="B74" s="4" t="s">
        <v>141</v>
      </c>
      <c r="C74" s="19" t="s">
        <v>142</v>
      </c>
      <c r="D74" s="262">
        <v>2</v>
      </c>
      <c r="E74" s="262">
        <v>1.5</v>
      </c>
      <c r="F74" s="1">
        <v>50</v>
      </c>
      <c r="G74" s="1">
        <v>40</v>
      </c>
      <c r="H74" s="8">
        <v>15000</v>
      </c>
      <c r="I74" s="133">
        <v>10522.5</v>
      </c>
    </row>
    <row r="75" spans="1:9" ht="18" customHeight="1" x14ac:dyDescent="0.35">
      <c r="A75" s="4">
        <v>18</v>
      </c>
      <c r="B75" s="4" t="s">
        <v>143</v>
      </c>
      <c r="C75" s="18" t="s">
        <v>144</v>
      </c>
      <c r="D75" s="266"/>
      <c r="E75" s="266"/>
      <c r="F75" s="1">
        <v>50</v>
      </c>
      <c r="G75" s="1">
        <v>40</v>
      </c>
      <c r="H75" s="5">
        <v>15200</v>
      </c>
      <c r="I75" s="133">
        <v>10662.8</v>
      </c>
    </row>
    <row r="76" spans="1:9" ht="18" customHeight="1" x14ac:dyDescent="0.35">
      <c r="A76" s="6">
        <v>19</v>
      </c>
      <c r="B76" s="6" t="s">
        <v>145</v>
      </c>
      <c r="C76" s="14" t="s">
        <v>146</v>
      </c>
      <c r="D76" s="266"/>
      <c r="E76" s="266"/>
      <c r="F76" s="1">
        <v>50</v>
      </c>
      <c r="G76" s="1">
        <v>50</v>
      </c>
      <c r="H76" s="8">
        <v>13000</v>
      </c>
      <c r="I76" s="133">
        <v>9119.5</v>
      </c>
    </row>
    <row r="77" spans="1:9" ht="18" customHeight="1" x14ac:dyDescent="0.35">
      <c r="A77" s="6">
        <v>20</v>
      </c>
      <c r="B77" s="4" t="s">
        <v>147</v>
      </c>
      <c r="C77" s="18" t="s">
        <v>148</v>
      </c>
      <c r="D77" s="266"/>
      <c r="E77" s="266"/>
      <c r="F77" s="1">
        <v>50</v>
      </c>
      <c r="G77" s="1">
        <v>50</v>
      </c>
      <c r="H77" s="5">
        <v>13200</v>
      </c>
      <c r="I77" s="133">
        <v>9259.7999999999993</v>
      </c>
    </row>
    <row r="78" spans="1:9" ht="18" customHeight="1" x14ac:dyDescent="0.35">
      <c r="A78" s="4">
        <v>21</v>
      </c>
      <c r="B78" s="6" t="s">
        <v>149</v>
      </c>
      <c r="C78" s="14" t="s">
        <v>150</v>
      </c>
      <c r="D78" s="266"/>
      <c r="E78" s="266"/>
      <c r="F78" s="1">
        <v>65</v>
      </c>
      <c r="G78" s="1">
        <v>50</v>
      </c>
      <c r="H78" s="8">
        <v>13300</v>
      </c>
      <c r="I78" s="133">
        <v>9329.9500000000007</v>
      </c>
    </row>
    <row r="79" spans="1:9" ht="18" customHeight="1" x14ac:dyDescent="0.35">
      <c r="A79" s="6">
        <v>22</v>
      </c>
      <c r="B79" s="6" t="s">
        <v>151</v>
      </c>
      <c r="C79" s="14" t="s">
        <v>152</v>
      </c>
      <c r="D79" s="266"/>
      <c r="E79" s="266"/>
      <c r="F79" s="1">
        <v>65</v>
      </c>
      <c r="G79" s="1">
        <v>50</v>
      </c>
      <c r="H79" s="5">
        <v>13500</v>
      </c>
      <c r="I79" s="133">
        <v>9470.25</v>
      </c>
    </row>
    <row r="80" spans="1:9" ht="18" customHeight="1" x14ac:dyDescent="0.35">
      <c r="A80" s="6">
        <v>23</v>
      </c>
      <c r="B80" s="4" t="s">
        <v>153</v>
      </c>
      <c r="C80" s="18" t="s">
        <v>154</v>
      </c>
      <c r="D80" s="266"/>
      <c r="E80" s="266"/>
      <c r="F80" s="1">
        <v>65</v>
      </c>
      <c r="G80" s="1">
        <v>50</v>
      </c>
      <c r="H80" s="5">
        <v>13340</v>
      </c>
      <c r="I80" s="133">
        <v>9358.01</v>
      </c>
    </row>
    <row r="81" spans="1:9" ht="18" customHeight="1" x14ac:dyDescent="0.35">
      <c r="A81" s="4">
        <v>24</v>
      </c>
      <c r="B81" s="6"/>
      <c r="C81" s="14" t="s">
        <v>155</v>
      </c>
      <c r="D81" s="266"/>
      <c r="E81" s="266"/>
      <c r="F81" s="1">
        <v>65</v>
      </c>
      <c r="G81" s="1">
        <v>50</v>
      </c>
      <c r="H81" s="8">
        <v>13300</v>
      </c>
      <c r="I81" s="133">
        <v>9329.9500000000007</v>
      </c>
    </row>
    <row r="82" spans="1:9" ht="18" customHeight="1" x14ac:dyDescent="0.35">
      <c r="A82" s="6">
        <v>25</v>
      </c>
      <c r="B82" s="4" t="s">
        <v>156</v>
      </c>
      <c r="C82" s="18" t="s">
        <v>157</v>
      </c>
      <c r="D82" s="266"/>
      <c r="E82" s="266"/>
      <c r="F82" s="1">
        <v>75</v>
      </c>
      <c r="G82" s="1">
        <v>75</v>
      </c>
      <c r="H82" s="5">
        <v>13600</v>
      </c>
      <c r="I82" s="133">
        <v>9540.4</v>
      </c>
    </row>
    <row r="83" spans="1:9" ht="18" customHeight="1" x14ac:dyDescent="0.35">
      <c r="A83" s="6">
        <v>26</v>
      </c>
      <c r="B83" s="6" t="s">
        <v>158</v>
      </c>
      <c r="C83" s="14" t="s">
        <v>159</v>
      </c>
      <c r="D83" s="266"/>
      <c r="E83" s="266"/>
      <c r="F83" s="1">
        <v>75</v>
      </c>
      <c r="G83" s="1">
        <v>75</v>
      </c>
      <c r="H83" s="8">
        <v>13450</v>
      </c>
      <c r="I83" s="133">
        <v>9435.1749999999993</v>
      </c>
    </row>
    <row r="84" spans="1:9" ht="18" customHeight="1" x14ac:dyDescent="0.35">
      <c r="A84" s="4">
        <v>27</v>
      </c>
      <c r="B84" s="6" t="s">
        <v>160</v>
      </c>
      <c r="C84" s="14" t="s">
        <v>161</v>
      </c>
      <c r="D84" s="266"/>
      <c r="E84" s="266"/>
      <c r="F84" s="1">
        <v>75</v>
      </c>
      <c r="G84" s="1">
        <v>75</v>
      </c>
      <c r="H84" s="5">
        <v>13800</v>
      </c>
      <c r="I84" s="133">
        <v>9680.7000000000007</v>
      </c>
    </row>
    <row r="85" spans="1:9" ht="18" customHeight="1" x14ac:dyDescent="0.35">
      <c r="A85" s="6">
        <v>28</v>
      </c>
      <c r="B85" s="6" t="s">
        <v>162</v>
      </c>
      <c r="C85" s="14" t="s">
        <v>163</v>
      </c>
      <c r="D85" s="266"/>
      <c r="E85" s="266"/>
      <c r="F85" s="1">
        <v>75</v>
      </c>
      <c r="G85" s="1">
        <v>75</v>
      </c>
      <c r="H85" s="5">
        <v>14000</v>
      </c>
      <c r="I85" s="133">
        <v>9821</v>
      </c>
    </row>
    <row r="86" spans="1:9" ht="18" customHeight="1" x14ac:dyDescent="0.35">
      <c r="A86" s="6">
        <v>29</v>
      </c>
      <c r="B86" s="6" t="s">
        <v>164</v>
      </c>
      <c r="C86" s="14" t="s">
        <v>165</v>
      </c>
      <c r="D86" s="266"/>
      <c r="E86" s="266"/>
      <c r="F86" s="1">
        <v>75</v>
      </c>
      <c r="G86" s="1">
        <v>75</v>
      </c>
      <c r="H86" s="5">
        <v>14500</v>
      </c>
      <c r="I86" s="133">
        <v>10171.75</v>
      </c>
    </row>
    <row r="87" spans="1:9" ht="18" customHeight="1" x14ac:dyDescent="0.35">
      <c r="A87" s="4">
        <v>30</v>
      </c>
      <c r="B87" s="4" t="s">
        <v>166</v>
      </c>
      <c r="C87" s="18" t="s">
        <v>167</v>
      </c>
      <c r="D87" s="266"/>
      <c r="E87" s="266"/>
      <c r="F87" s="1">
        <v>75</v>
      </c>
      <c r="G87" s="1">
        <v>75</v>
      </c>
      <c r="H87" s="5">
        <v>13550</v>
      </c>
      <c r="I87" s="133">
        <v>9505.3250000000007</v>
      </c>
    </row>
    <row r="88" spans="1:9" ht="18" customHeight="1" x14ac:dyDescent="0.35">
      <c r="A88" s="6">
        <v>31</v>
      </c>
      <c r="B88" s="6" t="s">
        <v>168</v>
      </c>
      <c r="C88" s="14" t="s">
        <v>169</v>
      </c>
      <c r="D88" s="266"/>
      <c r="E88" s="266"/>
      <c r="F88" s="1">
        <v>75</v>
      </c>
      <c r="G88" s="1">
        <v>65</v>
      </c>
      <c r="H88" s="8">
        <v>13450</v>
      </c>
      <c r="I88" s="133">
        <v>9435.1749999999993</v>
      </c>
    </row>
    <row r="89" spans="1:9" ht="18" customHeight="1" x14ac:dyDescent="0.35">
      <c r="A89" s="6">
        <v>32</v>
      </c>
      <c r="B89" s="6" t="s">
        <v>170</v>
      </c>
      <c r="C89" s="14" t="s">
        <v>171</v>
      </c>
      <c r="D89" s="266"/>
      <c r="E89" s="266"/>
      <c r="F89" s="1">
        <v>75</v>
      </c>
      <c r="G89" s="1">
        <v>65</v>
      </c>
      <c r="H89" s="5">
        <v>13740</v>
      </c>
      <c r="I89" s="133">
        <v>9638.6099999999988</v>
      </c>
    </row>
    <row r="90" spans="1:9" ht="18" customHeight="1" x14ac:dyDescent="0.35">
      <c r="A90" s="4">
        <v>33</v>
      </c>
      <c r="B90" s="4"/>
      <c r="C90" s="19" t="s">
        <v>172</v>
      </c>
      <c r="D90" s="266"/>
      <c r="E90" s="266"/>
      <c r="F90" s="1">
        <v>100</v>
      </c>
      <c r="G90" s="1">
        <v>100</v>
      </c>
      <c r="H90" s="8">
        <v>15000</v>
      </c>
      <c r="I90" s="133">
        <v>10522.5</v>
      </c>
    </row>
    <row r="91" spans="1:9" ht="18" customHeight="1" x14ac:dyDescent="0.35">
      <c r="A91" s="6">
        <v>34</v>
      </c>
      <c r="B91" s="4"/>
      <c r="C91" s="18" t="s">
        <v>173</v>
      </c>
      <c r="D91" s="263"/>
      <c r="E91" s="263"/>
      <c r="F91" s="1">
        <v>100</v>
      </c>
      <c r="G91" s="1">
        <v>100</v>
      </c>
      <c r="H91" s="5">
        <v>15200</v>
      </c>
      <c r="I91" s="133">
        <v>10662.8</v>
      </c>
    </row>
    <row r="92" spans="1:9" ht="18" customHeight="1" x14ac:dyDescent="0.35">
      <c r="A92" s="6">
        <v>35</v>
      </c>
      <c r="B92" s="4"/>
      <c r="C92" s="19" t="s">
        <v>174</v>
      </c>
      <c r="D92" s="262">
        <v>3</v>
      </c>
      <c r="E92" s="262">
        <v>2.25</v>
      </c>
      <c r="F92" s="1">
        <v>50</v>
      </c>
      <c r="G92" s="1">
        <v>40</v>
      </c>
      <c r="H92" s="8">
        <v>18000</v>
      </c>
      <c r="I92" s="133">
        <v>12627</v>
      </c>
    </row>
    <row r="93" spans="1:9" ht="18" customHeight="1" x14ac:dyDescent="0.35">
      <c r="A93" s="4">
        <v>36</v>
      </c>
      <c r="B93" s="4" t="s">
        <v>175</v>
      </c>
      <c r="C93" s="18" t="s">
        <v>176</v>
      </c>
      <c r="D93" s="266"/>
      <c r="E93" s="266"/>
      <c r="F93" s="1">
        <v>50</v>
      </c>
      <c r="G93" s="1">
        <v>40</v>
      </c>
      <c r="H93" s="5">
        <v>18560</v>
      </c>
      <c r="I93" s="133">
        <v>13019.84</v>
      </c>
    </row>
    <row r="94" spans="1:9" ht="18" customHeight="1" x14ac:dyDescent="0.35">
      <c r="A94" s="6">
        <v>37</v>
      </c>
      <c r="B94" s="4" t="s">
        <v>177</v>
      </c>
      <c r="C94" s="19" t="s">
        <v>178</v>
      </c>
      <c r="D94" s="266"/>
      <c r="E94" s="266"/>
      <c r="F94" s="1">
        <v>50</v>
      </c>
      <c r="G94" s="1">
        <v>50</v>
      </c>
      <c r="H94" s="8">
        <v>18250</v>
      </c>
      <c r="I94" s="133">
        <v>12802.375</v>
      </c>
    </row>
    <row r="95" spans="1:9" ht="18" customHeight="1" x14ac:dyDescent="0.35">
      <c r="A95" s="6">
        <v>38</v>
      </c>
      <c r="B95" s="4" t="s">
        <v>179</v>
      </c>
      <c r="C95" s="18" t="s">
        <v>180</v>
      </c>
      <c r="D95" s="266"/>
      <c r="E95" s="266"/>
      <c r="F95" s="1">
        <v>50</v>
      </c>
      <c r="G95" s="1">
        <v>50</v>
      </c>
      <c r="H95" s="5">
        <v>18670</v>
      </c>
      <c r="I95" s="133">
        <v>13097.004999999999</v>
      </c>
    </row>
    <row r="96" spans="1:9" ht="18" customHeight="1" x14ac:dyDescent="0.35">
      <c r="A96" s="4">
        <v>39</v>
      </c>
      <c r="B96" s="6" t="s">
        <v>181</v>
      </c>
      <c r="C96" s="14" t="s">
        <v>182</v>
      </c>
      <c r="D96" s="266"/>
      <c r="E96" s="266"/>
      <c r="F96" s="1">
        <v>65</v>
      </c>
      <c r="G96" s="1">
        <v>50</v>
      </c>
      <c r="H96" s="8">
        <v>18100</v>
      </c>
      <c r="I96" s="133">
        <v>12697.15</v>
      </c>
    </row>
    <row r="97" spans="1:9" ht="18" customHeight="1" x14ac:dyDescent="0.35">
      <c r="A97" s="6">
        <v>40</v>
      </c>
      <c r="B97" s="6" t="s">
        <v>183</v>
      </c>
      <c r="C97" s="14" t="s">
        <v>184</v>
      </c>
      <c r="D97" s="266"/>
      <c r="E97" s="266"/>
      <c r="F97" s="1">
        <v>65</v>
      </c>
      <c r="G97" s="1">
        <v>50</v>
      </c>
      <c r="H97" s="5">
        <v>18770</v>
      </c>
      <c r="I97" s="133">
        <v>13167.154999999999</v>
      </c>
    </row>
    <row r="98" spans="1:9" ht="18" customHeight="1" x14ac:dyDescent="0.35">
      <c r="A98" s="6">
        <v>41</v>
      </c>
      <c r="B98" s="6" t="s">
        <v>185</v>
      </c>
      <c r="C98" s="14" t="s">
        <v>186</v>
      </c>
      <c r="D98" s="266"/>
      <c r="E98" s="266"/>
      <c r="F98" s="1">
        <v>75</v>
      </c>
      <c r="G98" s="1">
        <v>75</v>
      </c>
      <c r="H98" s="8">
        <v>18020</v>
      </c>
      <c r="I98" s="133">
        <v>12641.029999999999</v>
      </c>
    </row>
    <row r="99" spans="1:9" ht="18" customHeight="1" x14ac:dyDescent="0.35">
      <c r="A99" s="4">
        <v>42</v>
      </c>
      <c r="B99" s="6" t="s">
        <v>187</v>
      </c>
      <c r="C99" s="14" t="s">
        <v>188</v>
      </c>
      <c r="D99" s="266"/>
      <c r="E99" s="266"/>
      <c r="F99" s="1">
        <v>75</v>
      </c>
      <c r="G99" s="1">
        <v>75</v>
      </c>
      <c r="H99" s="5">
        <v>18680</v>
      </c>
      <c r="I99" s="133">
        <v>13104.019999999999</v>
      </c>
    </row>
    <row r="100" spans="1:9" ht="18" customHeight="1" x14ac:dyDescent="0.35">
      <c r="A100" s="6">
        <v>43</v>
      </c>
      <c r="B100" s="6" t="s">
        <v>189</v>
      </c>
      <c r="C100" s="14" t="s">
        <v>190</v>
      </c>
      <c r="D100" s="266"/>
      <c r="E100" s="266"/>
      <c r="F100" s="1">
        <v>100</v>
      </c>
      <c r="G100" s="1">
        <v>100</v>
      </c>
      <c r="H100" s="8">
        <v>19100</v>
      </c>
      <c r="I100" s="133">
        <v>13398.65</v>
      </c>
    </row>
    <row r="101" spans="1:9" ht="18" customHeight="1" x14ac:dyDescent="0.35">
      <c r="A101" s="6">
        <v>44</v>
      </c>
      <c r="B101" s="6" t="s">
        <v>191</v>
      </c>
      <c r="C101" s="14" t="s">
        <v>192</v>
      </c>
      <c r="D101" s="266"/>
      <c r="E101" s="266"/>
      <c r="F101" s="1">
        <v>100</v>
      </c>
      <c r="G101" s="1">
        <v>100</v>
      </c>
      <c r="H101" s="5">
        <v>19500</v>
      </c>
      <c r="I101" s="133">
        <v>13679.25</v>
      </c>
    </row>
    <row r="102" spans="1:9" ht="18" customHeight="1" x14ac:dyDescent="0.35">
      <c r="A102" s="4">
        <v>45</v>
      </c>
      <c r="B102" s="6" t="s">
        <v>193</v>
      </c>
      <c r="C102" s="14" t="s">
        <v>194</v>
      </c>
      <c r="D102" s="266"/>
      <c r="E102" s="266"/>
      <c r="F102" s="1">
        <v>100</v>
      </c>
      <c r="G102" s="1">
        <v>100</v>
      </c>
      <c r="H102" s="5">
        <v>14800</v>
      </c>
      <c r="I102" s="133">
        <v>10382.200000000001</v>
      </c>
    </row>
    <row r="103" spans="1:9" ht="18" customHeight="1" x14ac:dyDescent="0.35">
      <c r="A103" s="6">
        <v>46</v>
      </c>
      <c r="B103" s="4" t="s">
        <v>195</v>
      </c>
      <c r="C103" s="18" t="s">
        <v>196</v>
      </c>
      <c r="D103" s="263"/>
      <c r="E103" s="263"/>
      <c r="F103" s="1">
        <v>100</v>
      </c>
      <c r="G103" s="1">
        <v>100</v>
      </c>
      <c r="H103" s="5">
        <v>15000</v>
      </c>
      <c r="I103" s="133">
        <v>10522.5</v>
      </c>
    </row>
    <row r="104" spans="1:9" ht="18" customHeight="1" x14ac:dyDescent="0.35">
      <c r="A104" s="6">
        <v>47</v>
      </c>
      <c r="B104" s="6" t="s">
        <v>197</v>
      </c>
      <c r="C104" s="14" t="s">
        <v>198</v>
      </c>
      <c r="D104" s="262">
        <v>5</v>
      </c>
      <c r="E104" s="262">
        <v>3.75</v>
      </c>
      <c r="F104" s="1">
        <v>80</v>
      </c>
      <c r="G104" s="1">
        <v>65</v>
      </c>
      <c r="H104" s="5">
        <v>24600</v>
      </c>
      <c r="I104" s="133">
        <v>17256.900000000001</v>
      </c>
    </row>
    <row r="105" spans="1:9" ht="18" customHeight="1" x14ac:dyDescent="0.35">
      <c r="A105" s="4">
        <v>48</v>
      </c>
      <c r="B105" s="4"/>
      <c r="C105" s="20" t="s">
        <v>199</v>
      </c>
      <c r="D105" s="266"/>
      <c r="E105" s="266"/>
      <c r="F105" s="1">
        <v>80</v>
      </c>
      <c r="G105" s="1">
        <v>65</v>
      </c>
      <c r="H105" s="5">
        <v>26000</v>
      </c>
      <c r="I105" s="133">
        <v>18239</v>
      </c>
    </row>
    <row r="106" spans="1:9" ht="18" customHeight="1" x14ac:dyDescent="0.35">
      <c r="A106" s="6">
        <v>49</v>
      </c>
      <c r="B106" s="6" t="s">
        <v>200</v>
      </c>
      <c r="C106" s="20" t="s">
        <v>201</v>
      </c>
      <c r="D106" s="263"/>
      <c r="E106" s="263"/>
      <c r="F106" s="1">
        <v>80</v>
      </c>
      <c r="G106" s="1">
        <v>65</v>
      </c>
      <c r="H106" s="5">
        <v>23600</v>
      </c>
      <c r="I106" s="133">
        <v>16555.400000000001</v>
      </c>
    </row>
    <row r="107" spans="1:9" ht="18" customHeight="1" x14ac:dyDescent="0.35">
      <c r="A107" s="6">
        <v>50</v>
      </c>
      <c r="B107" s="4" t="s">
        <v>202</v>
      </c>
      <c r="C107" s="18" t="s">
        <v>203</v>
      </c>
      <c r="D107" s="7">
        <v>0.75</v>
      </c>
      <c r="E107" s="7">
        <v>0.56000000000000005</v>
      </c>
      <c r="F107" s="2">
        <v>25</v>
      </c>
      <c r="G107" s="2">
        <v>25</v>
      </c>
      <c r="H107" s="5">
        <v>5170</v>
      </c>
      <c r="I107" s="133">
        <v>3626.7549999999997</v>
      </c>
    </row>
    <row r="108" spans="1:9" ht="18" customHeight="1" x14ac:dyDescent="0.35">
      <c r="A108" s="4">
        <v>51</v>
      </c>
      <c r="B108" s="4" t="s">
        <v>204</v>
      </c>
      <c r="C108" s="18" t="s">
        <v>205</v>
      </c>
      <c r="D108" s="262">
        <v>1</v>
      </c>
      <c r="E108" s="262">
        <v>0.75</v>
      </c>
      <c r="F108" s="1">
        <v>40</v>
      </c>
      <c r="G108" s="1">
        <v>40</v>
      </c>
      <c r="H108" s="5">
        <v>9000</v>
      </c>
      <c r="I108" s="133">
        <v>6313.5</v>
      </c>
    </row>
    <row r="109" spans="1:9" ht="18" customHeight="1" x14ac:dyDescent="0.35">
      <c r="A109" s="6">
        <v>52</v>
      </c>
      <c r="B109" s="4"/>
      <c r="C109" s="18" t="s">
        <v>206</v>
      </c>
      <c r="D109" s="263"/>
      <c r="E109" s="263"/>
      <c r="F109" s="1">
        <v>40</v>
      </c>
      <c r="G109" s="1">
        <v>40</v>
      </c>
      <c r="H109" s="5">
        <v>9000</v>
      </c>
      <c r="I109" s="133">
        <v>6313.5</v>
      </c>
    </row>
    <row r="110" spans="1:9" ht="18" customHeight="1" x14ac:dyDescent="0.35">
      <c r="A110" s="6">
        <v>53</v>
      </c>
      <c r="B110" s="4"/>
      <c r="C110" s="20" t="s">
        <v>207</v>
      </c>
      <c r="D110" s="262">
        <v>2</v>
      </c>
      <c r="E110" s="262">
        <v>1.5</v>
      </c>
      <c r="F110" s="1">
        <v>75</v>
      </c>
      <c r="G110" s="1">
        <v>75</v>
      </c>
      <c r="H110" s="5">
        <v>12500</v>
      </c>
      <c r="I110" s="133">
        <v>8768.75</v>
      </c>
    </row>
    <row r="111" spans="1:9" ht="18" customHeight="1" x14ac:dyDescent="0.35">
      <c r="A111" s="4">
        <v>54</v>
      </c>
      <c r="B111" s="4" t="s">
        <v>208</v>
      </c>
      <c r="C111" s="20" t="s">
        <v>209</v>
      </c>
      <c r="D111" s="266"/>
      <c r="E111" s="266"/>
      <c r="F111" s="1">
        <v>75</v>
      </c>
      <c r="G111" s="1">
        <v>75</v>
      </c>
      <c r="H111" s="5">
        <v>12500</v>
      </c>
      <c r="I111" s="133">
        <v>8768.75</v>
      </c>
    </row>
    <row r="112" spans="1:9" ht="18" customHeight="1" x14ac:dyDescent="0.35">
      <c r="A112" s="6">
        <v>55</v>
      </c>
      <c r="B112" s="4" t="s">
        <v>210</v>
      </c>
      <c r="C112" s="20" t="s">
        <v>211</v>
      </c>
      <c r="D112" s="266"/>
      <c r="E112" s="266"/>
      <c r="F112" s="1">
        <v>65</v>
      </c>
      <c r="G112" s="1">
        <v>50</v>
      </c>
      <c r="H112" s="5">
        <v>12200</v>
      </c>
      <c r="I112" s="133">
        <v>8558.2999999999993</v>
      </c>
    </row>
    <row r="113" spans="1:9" ht="18" customHeight="1" thickBot="1" x14ac:dyDescent="0.4">
      <c r="A113" s="6">
        <v>56</v>
      </c>
      <c r="B113" s="4" t="s">
        <v>212</v>
      </c>
      <c r="C113" s="20" t="s">
        <v>213</v>
      </c>
      <c r="D113" s="263"/>
      <c r="E113" s="263"/>
      <c r="F113" s="1">
        <v>50</v>
      </c>
      <c r="G113" s="1">
        <v>50</v>
      </c>
      <c r="H113" s="5">
        <v>12200</v>
      </c>
      <c r="I113" s="134">
        <v>8558.2999999999993</v>
      </c>
    </row>
    <row r="114" spans="1:9" ht="18" customHeight="1" x14ac:dyDescent="0.35">
      <c r="A114" s="267" t="s">
        <v>214</v>
      </c>
      <c r="B114" s="268"/>
      <c r="C114" s="268"/>
      <c r="D114" s="268"/>
      <c r="E114" s="268"/>
      <c r="F114" s="268"/>
      <c r="G114" s="269"/>
      <c r="H114" s="207" t="s">
        <v>109</v>
      </c>
      <c r="I114" s="256" t="s">
        <v>8</v>
      </c>
    </row>
    <row r="115" spans="1:9" ht="18" customHeight="1" x14ac:dyDescent="0.35">
      <c r="A115" s="207" t="s">
        <v>2</v>
      </c>
      <c r="B115" s="207" t="s">
        <v>3</v>
      </c>
      <c r="C115" s="260" t="s">
        <v>4</v>
      </c>
      <c r="D115" s="209" t="s">
        <v>5</v>
      </c>
      <c r="E115" s="210"/>
      <c r="F115" s="209" t="s">
        <v>6</v>
      </c>
      <c r="G115" s="210"/>
      <c r="H115" s="259"/>
      <c r="I115" s="257"/>
    </row>
    <row r="116" spans="1:9" ht="18" customHeight="1" thickBot="1" x14ac:dyDescent="0.4">
      <c r="A116" s="208"/>
      <c r="B116" s="208"/>
      <c r="C116" s="261"/>
      <c r="D116" s="11" t="s">
        <v>9</v>
      </c>
      <c r="E116" s="11" t="s">
        <v>10</v>
      </c>
      <c r="F116" s="11" t="s">
        <v>11</v>
      </c>
      <c r="G116" s="11" t="s">
        <v>12</v>
      </c>
      <c r="H116" s="208"/>
      <c r="I116" s="258"/>
    </row>
    <row r="117" spans="1:9" ht="18" customHeight="1" x14ac:dyDescent="0.35">
      <c r="A117" s="4">
        <v>1</v>
      </c>
      <c r="B117" s="4" t="s">
        <v>215</v>
      </c>
      <c r="C117" s="12" t="s">
        <v>216</v>
      </c>
      <c r="D117" s="2">
        <v>0.5</v>
      </c>
      <c r="E117" s="2">
        <v>0.37</v>
      </c>
      <c r="F117" s="2">
        <v>25</v>
      </c>
      <c r="G117" s="2">
        <v>25</v>
      </c>
      <c r="H117" s="13">
        <v>5370</v>
      </c>
      <c r="I117" s="135">
        <v>3890.5650000000001</v>
      </c>
    </row>
    <row r="118" spans="1:9" ht="18" customHeight="1" x14ac:dyDescent="0.35">
      <c r="A118" s="4">
        <v>2</v>
      </c>
      <c r="B118" s="4" t="s">
        <v>217</v>
      </c>
      <c r="C118" s="12" t="s">
        <v>218</v>
      </c>
      <c r="D118" s="2">
        <v>1</v>
      </c>
      <c r="E118" s="2">
        <v>0.75</v>
      </c>
      <c r="F118" s="2">
        <v>25</v>
      </c>
      <c r="G118" s="2">
        <v>25</v>
      </c>
      <c r="H118" s="13">
        <v>7070</v>
      </c>
      <c r="I118" s="133">
        <v>5122.2150000000001</v>
      </c>
    </row>
    <row r="119" spans="1:9" ht="18" customHeight="1" x14ac:dyDescent="0.35">
      <c r="A119" s="4">
        <v>3</v>
      </c>
      <c r="B119" s="21" t="s">
        <v>219</v>
      </c>
      <c r="C119" s="22" t="s">
        <v>220</v>
      </c>
      <c r="D119" s="23">
        <v>2</v>
      </c>
      <c r="E119" s="4">
        <v>1.5</v>
      </c>
      <c r="F119" s="4">
        <v>50</v>
      </c>
      <c r="G119" s="4">
        <v>50</v>
      </c>
      <c r="H119" s="4">
        <v>12200</v>
      </c>
      <c r="I119" s="133">
        <v>8558.2999999999993</v>
      </c>
    </row>
    <row r="120" spans="1:9" ht="18" customHeight="1" x14ac:dyDescent="0.35">
      <c r="A120" s="4">
        <v>4</v>
      </c>
      <c r="B120" s="21" t="s">
        <v>221</v>
      </c>
      <c r="C120" s="22" t="s">
        <v>222</v>
      </c>
      <c r="D120" s="23">
        <v>2</v>
      </c>
      <c r="E120" s="4">
        <v>1.5</v>
      </c>
      <c r="F120" s="4">
        <v>50</v>
      </c>
      <c r="G120" s="4">
        <v>50</v>
      </c>
      <c r="H120" s="4">
        <v>12200</v>
      </c>
      <c r="I120" s="133">
        <v>8558.2999999999993</v>
      </c>
    </row>
    <row r="121" spans="1:9" ht="18" customHeight="1" x14ac:dyDescent="0.35">
      <c r="A121" s="4">
        <v>5</v>
      </c>
      <c r="B121" s="21" t="s">
        <v>223</v>
      </c>
      <c r="C121" s="22" t="s">
        <v>224</v>
      </c>
      <c r="D121" s="23">
        <v>2</v>
      </c>
      <c r="E121" s="4">
        <v>1.5</v>
      </c>
      <c r="F121" s="4">
        <v>65</v>
      </c>
      <c r="G121" s="4">
        <v>50</v>
      </c>
      <c r="H121" s="4">
        <v>12300</v>
      </c>
      <c r="I121" s="133">
        <v>8628.4500000000007</v>
      </c>
    </row>
    <row r="122" spans="1:9" ht="18" customHeight="1" x14ac:dyDescent="0.35">
      <c r="A122" s="4">
        <v>6</v>
      </c>
      <c r="B122" s="21" t="s">
        <v>225</v>
      </c>
      <c r="C122" s="22" t="s">
        <v>226</v>
      </c>
      <c r="D122" s="23">
        <v>2</v>
      </c>
      <c r="E122" s="4">
        <v>1.5</v>
      </c>
      <c r="F122" s="4">
        <v>65</v>
      </c>
      <c r="G122" s="4">
        <v>50</v>
      </c>
      <c r="H122" s="4">
        <v>12300</v>
      </c>
      <c r="I122" s="133">
        <v>8628.4500000000007</v>
      </c>
    </row>
    <row r="123" spans="1:9" ht="18" customHeight="1" x14ac:dyDescent="0.35">
      <c r="A123" s="4">
        <v>7</v>
      </c>
      <c r="B123" s="21" t="s">
        <v>227</v>
      </c>
      <c r="C123" s="22" t="s">
        <v>228</v>
      </c>
      <c r="D123" s="21">
        <v>3</v>
      </c>
      <c r="E123" s="4">
        <v>2.25</v>
      </c>
      <c r="F123" s="4">
        <v>65</v>
      </c>
      <c r="G123" s="4">
        <v>50</v>
      </c>
      <c r="H123" s="4">
        <v>12900</v>
      </c>
      <c r="I123" s="133">
        <v>9049.35</v>
      </c>
    </row>
    <row r="124" spans="1:9" ht="18" customHeight="1" x14ac:dyDescent="0.35">
      <c r="A124" s="4">
        <v>8</v>
      </c>
      <c r="B124" s="21" t="s">
        <v>229</v>
      </c>
      <c r="C124" s="24" t="s">
        <v>230</v>
      </c>
      <c r="D124" s="21">
        <v>3</v>
      </c>
      <c r="E124" s="4">
        <v>2.25</v>
      </c>
      <c r="F124" s="4">
        <v>65</v>
      </c>
      <c r="G124" s="4">
        <v>50</v>
      </c>
      <c r="H124" s="4">
        <v>13000</v>
      </c>
      <c r="I124" s="133">
        <v>9119.5</v>
      </c>
    </row>
    <row r="125" spans="1:9" ht="18" customHeight="1" x14ac:dyDescent="0.35">
      <c r="A125" s="4">
        <v>9</v>
      </c>
      <c r="B125" s="21" t="s">
        <v>231</v>
      </c>
      <c r="C125" s="24" t="s">
        <v>232</v>
      </c>
      <c r="D125" s="21">
        <v>3</v>
      </c>
      <c r="E125" s="4">
        <v>2.25</v>
      </c>
      <c r="F125" s="4">
        <v>65</v>
      </c>
      <c r="G125" s="4">
        <v>50</v>
      </c>
      <c r="H125" s="4">
        <v>12900</v>
      </c>
      <c r="I125" s="133">
        <v>9049.35</v>
      </c>
    </row>
    <row r="126" spans="1:9" ht="18" customHeight="1" x14ac:dyDescent="0.35">
      <c r="A126" s="4">
        <v>10</v>
      </c>
      <c r="B126" s="21" t="s">
        <v>233</v>
      </c>
      <c r="C126" s="24" t="s">
        <v>234</v>
      </c>
      <c r="D126" s="21">
        <v>3</v>
      </c>
      <c r="E126" s="4">
        <v>2.25</v>
      </c>
      <c r="F126" s="4">
        <v>65</v>
      </c>
      <c r="G126" s="4">
        <v>50</v>
      </c>
      <c r="H126" s="4">
        <v>19300</v>
      </c>
      <c r="I126" s="133">
        <v>13538.95</v>
      </c>
    </row>
    <row r="127" spans="1:9" ht="18" customHeight="1" x14ac:dyDescent="0.35">
      <c r="A127" s="4">
        <v>11</v>
      </c>
      <c r="B127" s="21" t="s">
        <v>235</v>
      </c>
      <c r="C127" s="24" t="s">
        <v>236</v>
      </c>
      <c r="D127" s="21">
        <v>5</v>
      </c>
      <c r="E127" s="1">
        <v>3.75</v>
      </c>
      <c r="F127" s="4">
        <v>65</v>
      </c>
      <c r="G127" s="4">
        <v>50</v>
      </c>
      <c r="H127" s="4">
        <v>18700</v>
      </c>
      <c r="I127" s="133">
        <v>13118.05</v>
      </c>
    </row>
    <row r="128" spans="1:9" ht="18" customHeight="1" thickBot="1" x14ac:dyDescent="0.4">
      <c r="A128" s="4">
        <v>12</v>
      </c>
      <c r="B128" s="21" t="s">
        <v>237</v>
      </c>
      <c r="C128" s="24" t="s">
        <v>238</v>
      </c>
      <c r="D128" s="21">
        <v>5</v>
      </c>
      <c r="E128" s="1">
        <v>3.75</v>
      </c>
      <c r="F128" s="4">
        <v>65</v>
      </c>
      <c r="G128" s="4">
        <v>50</v>
      </c>
      <c r="H128" s="4">
        <v>22900</v>
      </c>
      <c r="I128" s="134">
        <v>16064.35</v>
      </c>
    </row>
    <row r="129" spans="1:9" ht="18" customHeight="1" x14ac:dyDescent="0.35">
      <c r="A129" s="267" t="s">
        <v>239</v>
      </c>
      <c r="B129" s="268"/>
      <c r="C129" s="268"/>
      <c r="D129" s="268"/>
      <c r="E129" s="268"/>
      <c r="F129" s="268"/>
      <c r="G129" s="269"/>
      <c r="H129" s="207" t="s">
        <v>109</v>
      </c>
      <c r="I129" s="256" t="s">
        <v>8</v>
      </c>
    </row>
    <row r="130" spans="1:9" ht="18" customHeight="1" x14ac:dyDescent="0.35">
      <c r="A130" s="207" t="s">
        <v>2</v>
      </c>
      <c r="B130" s="207" t="s">
        <v>3</v>
      </c>
      <c r="C130" s="260" t="s">
        <v>4</v>
      </c>
      <c r="D130" s="209" t="s">
        <v>5</v>
      </c>
      <c r="E130" s="210"/>
      <c r="F130" s="272" t="s">
        <v>6</v>
      </c>
      <c r="G130" s="273"/>
      <c r="H130" s="259"/>
      <c r="I130" s="257"/>
    </row>
    <row r="131" spans="1:9" ht="18" customHeight="1" x14ac:dyDescent="0.35">
      <c r="A131" s="208"/>
      <c r="B131" s="208"/>
      <c r="C131" s="261"/>
      <c r="D131" s="11" t="s">
        <v>9</v>
      </c>
      <c r="E131" s="11" t="s">
        <v>10</v>
      </c>
      <c r="F131" s="274"/>
      <c r="G131" s="275"/>
      <c r="H131" s="208"/>
      <c r="I131" s="258"/>
    </row>
    <row r="132" spans="1:9" ht="18" customHeight="1" x14ac:dyDescent="0.35">
      <c r="A132" s="4">
        <v>1</v>
      </c>
      <c r="B132" s="4" t="s">
        <v>240</v>
      </c>
      <c r="C132" s="25" t="s">
        <v>241</v>
      </c>
      <c r="D132" s="4">
        <v>0.5</v>
      </c>
      <c r="E132" s="4"/>
      <c r="F132" s="252">
        <v>32</v>
      </c>
      <c r="G132" s="253"/>
      <c r="H132" s="4">
        <v>8240</v>
      </c>
      <c r="I132" s="136">
        <v>5780.36</v>
      </c>
    </row>
    <row r="133" spans="1:9" ht="18" customHeight="1" x14ac:dyDescent="0.35">
      <c r="A133" s="4">
        <v>2</v>
      </c>
      <c r="B133" s="4" t="s">
        <v>242</v>
      </c>
      <c r="C133" s="25" t="s">
        <v>243</v>
      </c>
      <c r="D133" s="4">
        <v>0.5</v>
      </c>
      <c r="E133" s="4"/>
      <c r="F133" s="252">
        <v>32</v>
      </c>
      <c r="G133" s="253"/>
      <c r="H133" s="4">
        <v>8450</v>
      </c>
      <c r="I133" s="133">
        <v>5927.6750000000002</v>
      </c>
    </row>
    <row r="134" spans="1:9" ht="18" customHeight="1" x14ac:dyDescent="0.35">
      <c r="A134" s="4">
        <v>3</v>
      </c>
      <c r="B134" s="4" t="s">
        <v>244</v>
      </c>
      <c r="C134" s="25" t="s">
        <v>245</v>
      </c>
      <c r="D134" s="4">
        <v>0.75</v>
      </c>
      <c r="E134" s="4"/>
      <c r="F134" s="252">
        <v>32</v>
      </c>
      <c r="G134" s="253"/>
      <c r="H134" s="4">
        <v>8550</v>
      </c>
      <c r="I134" s="133">
        <v>5997.8249999999998</v>
      </c>
    </row>
    <row r="135" spans="1:9" ht="18" customHeight="1" x14ac:dyDescent="0.35">
      <c r="A135" s="4">
        <v>4</v>
      </c>
      <c r="B135" s="4" t="s">
        <v>246</v>
      </c>
      <c r="C135" s="25" t="s">
        <v>247</v>
      </c>
      <c r="D135" s="4">
        <v>0.75</v>
      </c>
      <c r="E135" s="4"/>
      <c r="F135" s="252">
        <v>32</v>
      </c>
      <c r="G135" s="253"/>
      <c r="H135" s="4">
        <v>8750</v>
      </c>
      <c r="I135" s="133">
        <v>6138.125</v>
      </c>
    </row>
    <row r="136" spans="1:9" ht="18" customHeight="1" x14ac:dyDescent="0.35">
      <c r="A136" s="4">
        <v>5</v>
      </c>
      <c r="B136" s="4" t="s">
        <v>248</v>
      </c>
      <c r="C136" s="25" t="s">
        <v>249</v>
      </c>
      <c r="D136" s="4">
        <v>1</v>
      </c>
      <c r="E136" s="4"/>
      <c r="F136" s="252">
        <v>32</v>
      </c>
      <c r="G136" s="253"/>
      <c r="H136" s="26">
        <v>8800</v>
      </c>
      <c r="I136" s="133">
        <v>6173.2</v>
      </c>
    </row>
    <row r="137" spans="1:9" ht="18" customHeight="1" x14ac:dyDescent="0.35">
      <c r="A137" s="4">
        <v>6</v>
      </c>
      <c r="B137" s="4" t="s">
        <v>250</v>
      </c>
      <c r="C137" s="25" t="s">
        <v>251</v>
      </c>
      <c r="D137" s="4">
        <v>1</v>
      </c>
      <c r="E137" s="4"/>
      <c r="F137" s="252">
        <v>32</v>
      </c>
      <c r="G137" s="253"/>
      <c r="H137" s="26">
        <v>9000</v>
      </c>
      <c r="I137" s="133">
        <v>6313.5</v>
      </c>
    </row>
    <row r="138" spans="1:9" ht="18" customHeight="1" x14ac:dyDescent="0.35">
      <c r="A138" s="4">
        <v>7</v>
      </c>
      <c r="B138" s="4" t="s">
        <v>252</v>
      </c>
      <c r="C138" s="25" t="s">
        <v>253</v>
      </c>
      <c r="D138" s="4">
        <v>1</v>
      </c>
      <c r="E138" s="4"/>
      <c r="F138" s="252">
        <v>32</v>
      </c>
      <c r="G138" s="253"/>
      <c r="H138" s="4">
        <v>9480</v>
      </c>
      <c r="I138" s="133">
        <v>6650.22</v>
      </c>
    </row>
    <row r="139" spans="1:9" ht="18" customHeight="1" x14ac:dyDescent="0.35">
      <c r="A139" s="4">
        <v>8</v>
      </c>
      <c r="B139" s="4" t="s">
        <v>254</v>
      </c>
      <c r="C139" s="25" t="s">
        <v>255</v>
      </c>
      <c r="D139" s="4">
        <v>1</v>
      </c>
      <c r="E139" s="4"/>
      <c r="F139" s="252">
        <v>32</v>
      </c>
      <c r="G139" s="253"/>
      <c r="H139" s="4">
        <v>9790</v>
      </c>
      <c r="I139" s="133">
        <v>6867.6849999999995</v>
      </c>
    </row>
    <row r="140" spans="1:9" ht="18" customHeight="1" x14ac:dyDescent="0.35">
      <c r="A140" s="4">
        <v>9</v>
      </c>
      <c r="B140" s="4" t="s">
        <v>256</v>
      </c>
      <c r="C140" s="25" t="s">
        <v>257</v>
      </c>
      <c r="D140" s="4">
        <v>1.5</v>
      </c>
      <c r="E140" s="4"/>
      <c r="F140" s="252">
        <v>32</v>
      </c>
      <c r="G140" s="253"/>
      <c r="H140" s="4">
        <v>11330</v>
      </c>
      <c r="I140" s="133">
        <v>7947.9949999999999</v>
      </c>
    </row>
    <row r="141" spans="1:9" ht="18" customHeight="1" x14ac:dyDescent="0.35">
      <c r="A141" s="4">
        <v>10</v>
      </c>
      <c r="B141" s="4" t="s">
        <v>258</v>
      </c>
      <c r="C141" s="25" t="s">
        <v>259</v>
      </c>
      <c r="D141" s="4">
        <v>1.5</v>
      </c>
      <c r="E141" s="4"/>
      <c r="F141" s="252">
        <v>32</v>
      </c>
      <c r="G141" s="253"/>
      <c r="H141" s="4">
        <v>11640</v>
      </c>
      <c r="I141" s="133">
        <v>8165.4599999999991</v>
      </c>
    </row>
    <row r="142" spans="1:9" ht="18" customHeight="1" x14ac:dyDescent="0.35">
      <c r="A142" s="4">
        <v>11</v>
      </c>
      <c r="B142" s="4" t="s">
        <v>260</v>
      </c>
      <c r="C142" s="25" t="s">
        <v>261</v>
      </c>
      <c r="D142" s="4">
        <v>1.5</v>
      </c>
      <c r="E142" s="4"/>
      <c r="F142" s="252">
        <v>32</v>
      </c>
      <c r="G142" s="253"/>
      <c r="H142" s="4">
        <v>11800</v>
      </c>
      <c r="I142" s="133">
        <v>8277.7000000000007</v>
      </c>
    </row>
    <row r="143" spans="1:9" ht="18" customHeight="1" x14ac:dyDescent="0.35">
      <c r="A143" s="4">
        <v>12</v>
      </c>
      <c r="B143" s="4" t="s">
        <v>262</v>
      </c>
      <c r="C143" s="25" t="s">
        <v>263</v>
      </c>
      <c r="D143" s="4">
        <v>1.5</v>
      </c>
      <c r="E143" s="4"/>
      <c r="F143" s="252">
        <v>32</v>
      </c>
      <c r="G143" s="253"/>
      <c r="H143" s="4">
        <v>12670</v>
      </c>
      <c r="I143" s="133">
        <v>8888.0049999999992</v>
      </c>
    </row>
    <row r="144" spans="1:9" ht="18" customHeight="1" x14ac:dyDescent="0.35">
      <c r="A144" s="4">
        <v>13</v>
      </c>
      <c r="B144" s="4" t="s">
        <v>264</v>
      </c>
      <c r="C144" s="25" t="s">
        <v>265</v>
      </c>
      <c r="D144" s="4">
        <v>2</v>
      </c>
      <c r="E144" s="4"/>
      <c r="F144" s="252">
        <v>40</v>
      </c>
      <c r="G144" s="253"/>
      <c r="H144" s="4">
        <v>14730</v>
      </c>
      <c r="I144" s="133">
        <v>10333.094999999999</v>
      </c>
    </row>
    <row r="145" spans="1:9" ht="18" customHeight="1" x14ac:dyDescent="0.35">
      <c r="A145" s="4">
        <v>14</v>
      </c>
      <c r="B145" s="4" t="s">
        <v>266</v>
      </c>
      <c r="C145" s="25" t="s">
        <v>267</v>
      </c>
      <c r="D145" s="4">
        <v>2</v>
      </c>
      <c r="E145" s="4"/>
      <c r="F145" s="252">
        <v>32</v>
      </c>
      <c r="G145" s="253"/>
      <c r="H145" s="4">
        <v>15250</v>
      </c>
      <c r="I145" s="133">
        <v>10697.875</v>
      </c>
    </row>
    <row r="146" spans="1:9" ht="18" customHeight="1" x14ac:dyDescent="0.35">
      <c r="A146" s="4">
        <v>15</v>
      </c>
      <c r="B146" s="4" t="s">
        <v>268</v>
      </c>
      <c r="C146" s="25" t="s">
        <v>269</v>
      </c>
      <c r="D146" s="4">
        <v>2</v>
      </c>
      <c r="E146" s="4"/>
      <c r="F146" s="252">
        <v>32</v>
      </c>
      <c r="G146" s="253"/>
      <c r="H146" s="4">
        <v>15860</v>
      </c>
      <c r="I146" s="133">
        <v>11125.79</v>
      </c>
    </row>
    <row r="147" spans="1:9" ht="18" customHeight="1" x14ac:dyDescent="0.35">
      <c r="A147" s="4">
        <v>16</v>
      </c>
      <c r="B147" s="4" t="s">
        <v>270</v>
      </c>
      <c r="C147" s="25" t="s">
        <v>271</v>
      </c>
      <c r="D147" s="4">
        <v>2</v>
      </c>
      <c r="E147" s="4"/>
      <c r="F147" s="252">
        <v>32</v>
      </c>
      <c r="G147" s="253"/>
      <c r="H147" s="4">
        <v>15970</v>
      </c>
      <c r="I147" s="133">
        <v>11202.954999999998</v>
      </c>
    </row>
    <row r="148" spans="1:9" ht="18" customHeight="1" x14ac:dyDescent="0.35">
      <c r="A148" s="4">
        <v>17</v>
      </c>
      <c r="B148" s="4" t="s">
        <v>272</v>
      </c>
      <c r="C148" s="25" t="s">
        <v>273</v>
      </c>
      <c r="D148" s="4">
        <v>2</v>
      </c>
      <c r="E148" s="4"/>
      <c r="F148" s="252">
        <v>32</v>
      </c>
      <c r="G148" s="253"/>
      <c r="H148" s="4">
        <v>16480</v>
      </c>
      <c r="I148" s="133">
        <v>11560.72</v>
      </c>
    </row>
    <row r="149" spans="1:9" ht="18" customHeight="1" x14ac:dyDescent="0.35">
      <c r="A149" s="4">
        <v>18</v>
      </c>
      <c r="B149" s="4" t="s">
        <v>274</v>
      </c>
      <c r="C149" s="25" t="s">
        <v>275</v>
      </c>
      <c r="D149" s="4">
        <v>2</v>
      </c>
      <c r="E149" s="4"/>
      <c r="F149" s="252">
        <v>65</v>
      </c>
      <c r="G149" s="253"/>
      <c r="H149" s="4">
        <v>14940</v>
      </c>
      <c r="I149" s="133">
        <v>10480.41</v>
      </c>
    </row>
    <row r="150" spans="1:9" ht="18" customHeight="1" x14ac:dyDescent="0.35">
      <c r="A150" s="4">
        <v>19</v>
      </c>
      <c r="B150" s="4" t="s">
        <v>276</v>
      </c>
      <c r="C150" s="25" t="s">
        <v>277</v>
      </c>
      <c r="D150" s="4">
        <v>3</v>
      </c>
      <c r="E150" s="4"/>
      <c r="F150" s="252">
        <v>32</v>
      </c>
      <c r="G150" s="253"/>
      <c r="H150" s="4">
        <v>23500</v>
      </c>
      <c r="I150" s="133">
        <v>16485.25</v>
      </c>
    </row>
    <row r="151" spans="1:9" ht="18" customHeight="1" x14ac:dyDescent="0.35">
      <c r="A151" s="4">
        <v>20</v>
      </c>
      <c r="B151" s="4" t="s">
        <v>278</v>
      </c>
      <c r="C151" s="25" t="s">
        <v>279</v>
      </c>
      <c r="D151" s="4">
        <v>3</v>
      </c>
      <c r="E151" s="4"/>
      <c r="F151" s="252">
        <v>32</v>
      </c>
      <c r="G151" s="253"/>
      <c r="H151" s="4">
        <v>24000</v>
      </c>
      <c r="I151" s="133">
        <v>16836</v>
      </c>
    </row>
    <row r="152" spans="1:9" ht="18" customHeight="1" x14ac:dyDescent="0.35">
      <c r="A152" s="4">
        <v>21</v>
      </c>
      <c r="B152" s="4" t="s">
        <v>280</v>
      </c>
      <c r="C152" s="25" t="s">
        <v>281</v>
      </c>
      <c r="D152" s="4">
        <v>3</v>
      </c>
      <c r="E152" s="4"/>
      <c r="F152" s="252">
        <v>32</v>
      </c>
      <c r="G152" s="253"/>
      <c r="H152" s="4">
        <v>24500</v>
      </c>
      <c r="I152" s="133">
        <v>17186.75</v>
      </c>
    </row>
    <row r="153" spans="1:9" ht="18" customHeight="1" x14ac:dyDescent="0.35">
      <c r="A153" s="4">
        <v>22</v>
      </c>
      <c r="B153" s="4" t="s">
        <v>282</v>
      </c>
      <c r="C153" s="25" t="s">
        <v>283</v>
      </c>
      <c r="D153" s="4">
        <v>3</v>
      </c>
      <c r="E153" s="4"/>
      <c r="F153" s="252">
        <v>65</v>
      </c>
      <c r="G153" s="253"/>
      <c r="H153" s="4">
        <v>23690</v>
      </c>
      <c r="I153" s="133">
        <v>16618.535</v>
      </c>
    </row>
    <row r="154" spans="1:9" ht="18" customHeight="1" thickBot="1" x14ac:dyDescent="0.4">
      <c r="A154" s="4">
        <v>23</v>
      </c>
      <c r="B154" s="4" t="s">
        <v>284</v>
      </c>
      <c r="C154" s="25" t="s">
        <v>283</v>
      </c>
      <c r="D154" s="4">
        <v>3</v>
      </c>
      <c r="E154" s="4"/>
      <c r="F154" s="252">
        <v>65</v>
      </c>
      <c r="G154" s="253"/>
      <c r="H154" s="4">
        <v>15450</v>
      </c>
      <c r="I154" s="134">
        <v>10838.174999999999</v>
      </c>
    </row>
    <row r="155" spans="1:9" ht="18" customHeight="1" x14ac:dyDescent="0.35">
      <c r="A155" s="267" t="s">
        <v>285</v>
      </c>
      <c r="B155" s="268"/>
      <c r="C155" s="268"/>
      <c r="D155" s="268"/>
      <c r="E155" s="268"/>
      <c r="F155" s="268"/>
      <c r="G155" s="269"/>
      <c r="H155" s="207" t="s">
        <v>109</v>
      </c>
      <c r="I155" s="256" t="s">
        <v>8</v>
      </c>
    </row>
    <row r="156" spans="1:9" ht="18" customHeight="1" x14ac:dyDescent="0.35">
      <c r="A156" s="207" t="s">
        <v>2</v>
      </c>
      <c r="B156" s="207" t="s">
        <v>3</v>
      </c>
      <c r="C156" s="260" t="s">
        <v>4</v>
      </c>
      <c r="D156" s="209" t="s">
        <v>5</v>
      </c>
      <c r="E156" s="210"/>
      <c r="F156" s="209" t="s">
        <v>6</v>
      </c>
      <c r="G156" s="210"/>
      <c r="H156" s="259"/>
      <c r="I156" s="257"/>
    </row>
    <row r="157" spans="1:9" ht="18" customHeight="1" x14ac:dyDescent="0.35">
      <c r="A157" s="208"/>
      <c r="B157" s="208"/>
      <c r="C157" s="261"/>
      <c r="D157" s="11" t="s">
        <v>9</v>
      </c>
      <c r="E157" s="11" t="s">
        <v>10</v>
      </c>
      <c r="F157" s="11" t="s">
        <v>11</v>
      </c>
      <c r="G157" s="11" t="s">
        <v>12</v>
      </c>
      <c r="H157" s="208"/>
      <c r="I157" s="258"/>
    </row>
    <row r="158" spans="1:9" ht="18" customHeight="1" x14ac:dyDescent="0.35">
      <c r="A158" s="4">
        <v>1</v>
      </c>
      <c r="B158" s="4" t="s">
        <v>286</v>
      </c>
      <c r="C158" s="25" t="s">
        <v>287</v>
      </c>
      <c r="D158" s="4">
        <v>0.5</v>
      </c>
      <c r="E158" s="4"/>
      <c r="F158" s="252">
        <v>32</v>
      </c>
      <c r="G158" s="253"/>
      <c r="H158" s="4">
        <v>6800</v>
      </c>
      <c r="I158" s="136">
        <v>4770.2</v>
      </c>
    </row>
    <row r="159" spans="1:9" ht="18" customHeight="1" x14ac:dyDescent="0.35">
      <c r="A159" s="4">
        <v>2</v>
      </c>
      <c r="B159" s="4" t="s">
        <v>288</v>
      </c>
      <c r="C159" s="25" t="s">
        <v>289</v>
      </c>
      <c r="D159" s="4">
        <v>0.5</v>
      </c>
      <c r="E159" s="4"/>
      <c r="F159" s="252">
        <v>32</v>
      </c>
      <c r="G159" s="253"/>
      <c r="H159" s="4">
        <v>7600</v>
      </c>
      <c r="I159" s="136">
        <v>5331.4</v>
      </c>
    </row>
    <row r="160" spans="1:9" ht="18" customHeight="1" x14ac:dyDescent="0.35">
      <c r="A160" s="4">
        <v>3</v>
      </c>
      <c r="B160" s="4" t="s">
        <v>290</v>
      </c>
      <c r="C160" s="25" t="s">
        <v>291</v>
      </c>
      <c r="D160" s="4">
        <v>0.75</v>
      </c>
      <c r="E160" s="4"/>
      <c r="F160" s="252">
        <v>32</v>
      </c>
      <c r="G160" s="253"/>
      <c r="H160" s="4">
        <v>7800</v>
      </c>
      <c r="I160" s="136">
        <v>5471.7</v>
      </c>
    </row>
    <row r="161" spans="1:9" ht="18" customHeight="1" x14ac:dyDescent="0.35">
      <c r="A161" s="4">
        <v>4</v>
      </c>
      <c r="B161" s="4" t="s">
        <v>292</v>
      </c>
      <c r="C161" s="25" t="s">
        <v>293</v>
      </c>
      <c r="D161" s="4">
        <v>0.75</v>
      </c>
      <c r="E161" s="4"/>
      <c r="F161" s="252">
        <v>32</v>
      </c>
      <c r="G161" s="253"/>
      <c r="H161" s="4">
        <v>8000</v>
      </c>
      <c r="I161" s="136">
        <v>5612</v>
      </c>
    </row>
    <row r="162" spans="1:9" ht="18" customHeight="1" x14ac:dyDescent="0.35">
      <c r="A162" s="4">
        <v>5</v>
      </c>
      <c r="B162" s="4" t="s">
        <v>294</v>
      </c>
      <c r="C162" s="25" t="s">
        <v>295</v>
      </c>
      <c r="D162" s="4">
        <v>1</v>
      </c>
      <c r="E162" s="4"/>
      <c r="F162" s="252">
        <v>32</v>
      </c>
      <c r="G162" s="253"/>
      <c r="H162" s="4">
        <v>8200</v>
      </c>
      <c r="I162" s="136">
        <v>5752.3</v>
      </c>
    </row>
    <row r="163" spans="1:9" ht="18" customHeight="1" x14ac:dyDescent="0.35">
      <c r="A163" s="4">
        <v>6</v>
      </c>
      <c r="B163" s="4" t="s">
        <v>296</v>
      </c>
      <c r="C163" s="25" t="s">
        <v>297</v>
      </c>
      <c r="D163" s="4">
        <v>1</v>
      </c>
      <c r="E163" s="4"/>
      <c r="F163" s="252">
        <v>32</v>
      </c>
      <c r="G163" s="253"/>
      <c r="H163" s="4">
        <v>8400</v>
      </c>
      <c r="I163" s="136">
        <v>5892.6</v>
      </c>
    </row>
    <row r="164" spans="1:9" ht="18" customHeight="1" x14ac:dyDescent="0.35">
      <c r="A164" s="4">
        <v>7</v>
      </c>
      <c r="B164" s="4" t="s">
        <v>298</v>
      </c>
      <c r="C164" s="25" t="s">
        <v>299</v>
      </c>
      <c r="D164" s="4">
        <v>1</v>
      </c>
      <c r="E164" s="4"/>
      <c r="F164" s="252">
        <v>32</v>
      </c>
      <c r="G164" s="253"/>
      <c r="H164" s="4">
        <v>8600</v>
      </c>
      <c r="I164" s="136">
        <v>6032.9</v>
      </c>
    </row>
    <row r="165" spans="1:9" ht="18" customHeight="1" x14ac:dyDescent="0.35">
      <c r="A165" s="4">
        <v>8</v>
      </c>
      <c r="B165" s="4" t="s">
        <v>300</v>
      </c>
      <c r="C165" s="25" t="s">
        <v>301</v>
      </c>
      <c r="D165" s="4">
        <v>1.5</v>
      </c>
      <c r="E165" s="4"/>
      <c r="F165" s="252">
        <v>32</v>
      </c>
      <c r="G165" s="253"/>
      <c r="H165" s="4">
        <v>9000</v>
      </c>
      <c r="I165" s="136">
        <v>6313.5</v>
      </c>
    </row>
    <row r="166" spans="1:9" ht="18" customHeight="1" x14ac:dyDescent="0.35">
      <c r="A166" s="4">
        <v>9</v>
      </c>
      <c r="B166" s="4" t="s">
        <v>302</v>
      </c>
      <c r="C166" s="25" t="s">
        <v>303</v>
      </c>
      <c r="D166" s="4">
        <v>1.5</v>
      </c>
      <c r="E166" s="4"/>
      <c r="F166" s="252">
        <v>32</v>
      </c>
      <c r="G166" s="253"/>
      <c r="H166" s="4">
        <v>10600</v>
      </c>
      <c r="I166" s="136">
        <v>7435.9</v>
      </c>
    </row>
    <row r="167" spans="1:9" ht="18" customHeight="1" x14ac:dyDescent="0.35">
      <c r="A167" s="4">
        <v>10</v>
      </c>
      <c r="B167" s="4" t="s">
        <v>304</v>
      </c>
      <c r="C167" s="25" t="s">
        <v>305</v>
      </c>
      <c r="D167" s="4">
        <v>1.5</v>
      </c>
      <c r="E167" s="4"/>
      <c r="F167" s="252">
        <v>32</v>
      </c>
      <c r="G167" s="253"/>
      <c r="H167" s="4">
        <v>11000</v>
      </c>
      <c r="I167" s="136">
        <v>7716.5</v>
      </c>
    </row>
    <row r="168" spans="1:9" ht="18" customHeight="1" x14ac:dyDescent="0.35">
      <c r="A168" s="4">
        <v>11</v>
      </c>
      <c r="B168" s="4" t="s">
        <v>306</v>
      </c>
      <c r="C168" s="25" t="s">
        <v>307</v>
      </c>
      <c r="D168" s="4">
        <v>2</v>
      </c>
      <c r="E168" s="4"/>
      <c r="F168" s="252">
        <v>32</v>
      </c>
      <c r="G168" s="253"/>
      <c r="H168" s="4">
        <v>13000</v>
      </c>
      <c r="I168" s="136">
        <v>9119.5</v>
      </c>
    </row>
    <row r="169" spans="1:9" ht="18" customHeight="1" x14ac:dyDescent="0.35">
      <c r="A169" s="4">
        <v>12</v>
      </c>
      <c r="B169" s="4" t="s">
        <v>308</v>
      </c>
      <c r="C169" s="25" t="s">
        <v>309</v>
      </c>
      <c r="D169" s="4">
        <v>2</v>
      </c>
      <c r="E169" s="4"/>
      <c r="F169" s="252">
        <v>32</v>
      </c>
      <c r="G169" s="253"/>
      <c r="H169" s="4">
        <v>15500</v>
      </c>
      <c r="I169" s="136">
        <v>10873.25</v>
      </c>
    </row>
    <row r="170" spans="1:9" ht="18" customHeight="1" x14ac:dyDescent="0.35">
      <c r="A170" s="4">
        <v>13</v>
      </c>
      <c r="B170" s="152" t="s">
        <v>310</v>
      </c>
      <c r="C170" s="25" t="s">
        <v>311</v>
      </c>
      <c r="D170" s="4">
        <v>3</v>
      </c>
      <c r="E170" s="4"/>
      <c r="F170" s="252">
        <v>32</v>
      </c>
      <c r="G170" s="253"/>
      <c r="H170" s="4">
        <v>19000</v>
      </c>
      <c r="I170" s="136">
        <v>13328.5</v>
      </c>
    </row>
    <row r="171" spans="1:9" ht="18" customHeight="1" x14ac:dyDescent="0.35">
      <c r="A171" s="4">
        <v>14</v>
      </c>
      <c r="B171" s="4" t="s">
        <v>312</v>
      </c>
      <c r="C171" s="25" t="s">
        <v>313</v>
      </c>
      <c r="D171" s="4">
        <v>3</v>
      </c>
      <c r="E171" s="4"/>
      <c r="F171" s="252">
        <v>32</v>
      </c>
      <c r="G171" s="253"/>
      <c r="H171" s="4">
        <v>20000</v>
      </c>
      <c r="I171" s="136">
        <v>14030</v>
      </c>
    </row>
    <row r="172" spans="1:9" ht="18" customHeight="1" x14ac:dyDescent="0.35">
      <c r="A172" s="4">
        <v>15</v>
      </c>
      <c r="B172" s="152" t="s">
        <v>314</v>
      </c>
      <c r="C172" s="25" t="s">
        <v>315</v>
      </c>
      <c r="D172" s="4">
        <v>3</v>
      </c>
      <c r="E172" s="4"/>
      <c r="F172" s="252">
        <v>32</v>
      </c>
      <c r="G172" s="253"/>
      <c r="H172" s="4">
        <v>20500</v>
      </c>
      <c r="I172" s="136">
        <v>14380.75</v>
      </c>
    </row>
    <row r="173" spans="1:9" ht="18" customHeight="1" x14ac:dyDescent="0.35">
      <c r="A173" s="28">
        <v>14</v>
      </c>
      <c r="B173" s="28" t="s">
        <v>312</v>
      </c>
      <c r="C173" s="27" t="s">
        <v>313</v>
      </c>
      <c r="D173" s="28">
        <v>3</v>
      </c>
      <c r="E173" s="28"/>
      <c r="F173" s="254">
        <v>32</v>
      </c>
      <c r="G173" s="255"/>
      <c r="H173" s="29">
        <v>12600</v>
      </c>
      <c r="I173" s="136">
        <v>14030</v>
      </c>
    </row>
    <row r="174" spans="1:9" ht="18" customHeight="1" x14ac:dyDescent="0.35">
      <c r="A174" s="28">
        <v>15</v>
      </c>
      <c r="B174" s="28" t="s">
        <v>314</v>
      </c>
      <c r="C174" s="27" t="s">
        <v>315</v>
      </c>
      <c r="D174" s="28">
        <v>3</v>
      </c>
      <c r="E174" s="28"/>
      <c r="F174" s="254">
        <v>32</v>
      </c>
      <c r="G174" s="255"/>
      <c r="H174" s="29">
        <v>12915</v>
      </c>
      <c r="I174" s="136">
        <v>14380.75</v>
      </c>
    </row>
    <row r="175" spans="1:9" ht="18" customHeight="1" x14ac:dyDescent="0.35">
      <c r="I175" s="137"/>
    </row>
  </sheetData>
  <mergeCells count="97">
    <mergeCell ref="I129:I131"/>
    <mergeCell ref="I5:I6"/>
    <mergeCell ref="H5:H6"/>
    <mergeCell ref="A129:G129"/>
    <mergeCell ref="A130:A131"/>
    <mergeCell ref="B130:B131"/>
    <mergeCell ref="C130:C131"/>
    <mergeCell ref="D130:E130"/>
    <mergeCell ref="F130:G131"/>
    <mergeCell ref="E58:E59"/>
    <mergeCell ref="E67:E73"/>
    <mergeCell ref="D67:D73"/>
    <mergeCell ref="E61:E66"/>
    <mergeCell ref="D61:D66"/>
    <mergeCell ref="A5:A6"/>
    <mergeCell ref="B5:B6"/>
    <mergeCell ref="C5:C6"/>
    <mergeCell ref="D5:E5"/>
    <mergeCell ref="F5:G5"/>
    <mergeCell ref="D110:D113"/>
    <mergeCell ref="E108:E109"/>
    <mergeCell ref="E110:E113"/>
    <mergeCell ref="A55:G55"/>
    <mergeCell ref="F144:G144"/>
    <mergeCell ref="F132:G132"/>
    <mergeCell ref="F135:G135"/>
    <mergeCell ref="F134:G134"/>
    <mergeCell ref="F133:G133"/>
    <mergeCell ref="A114:G114"/>
    <mergeCell ref="F138:G138"/>
    <mergeCell ref="F139:G139"/>
    <mergeCell ref="A155:G155"/>
    <mergeCell ref="A156:A157"/>
    <mergeCell ref="F145:G145"/>
    <mergeCell ref="F148:G148"/>
    <mergeCell ref="F149:G149"/>
    <mergeCell ref="F150:G150"/>
    <mergeCell ref="F146:G146"/>
    <mergeCell ref="F147:G147"/>
    <mergeCell ref="B156:B157"/>
    <mergeCell ref="C156:C157"/>
    <mergeCell ref="D156:E156"/>
    <mergeCell ref="F152:G152"/>
    <mergeCell ref="F153:G153"/>
    <mergeCell ref="A1:I3"/>
    <mergeCell ref="A4:I4"/>
    <mergeCell ref="B115:B116"/>
    <mergeCell ref="C115:C116"/>
    <mergeCell ref="D115:E115"/>
    <mergeCell ref="D108:D109"/>
    <mergeCell ref="D58:D59"/>
    <mergeCell ref="D74:D91"/>
    <mergeCell ref="F115:G115"/>
    <mergeCell ref="A115:A116"/>
    <mergeCell ref="E74:E91"/>
    <mergeCell ref="D92:D103"/>
    <mergeCell ref="E92:E103"/>
    <mergeCell ref="D104:D106"/>
    <mergeCell ref="E104:E106"/>
    <mergeCell ref="F56:G56"/>
    <mergeCell ref="I55:I57"/>
    <mergeCell ref="A56:A57"/>
    <mergeCell ref="B56:B57"/>
    <mergeCell ref="C56:C57"/>
    <mergeCell ref="D56:E56"/>
    <mergeCell ref="H55:H57"/>
    <mergeCell ref="I114:I116"/>
    <mergeCell ref="F158:G158"/>
    <mergeCell ref="F164:G164"/>
    <mergeCell ref="H114:H116"/>
    <mergeCell ref="H129:H131"/>
    <mergeCell ref="H155:H157"/>
    <mergeCell ref="F136:G136"/>
    <mergeCell ref="F137:G137"/>
    <mergeCell ref="F151:G151"/>
    <mergeCell ref="I155:I157"/>
    <mergeCell ref="F140:G140"/>
    <mergeCell ref="F141:G141"/>
    <mergeCell ref="F142:G142"/>
    <mergeCell ref="F143:G143"/>
    <mergeCell ref="F154:G154"/>
    <mergeCell ref="F156:G156"/>
    <mergeCell ref="F173:G173"/>
    <mergeCell ref="F174:G174"/>
    <mergeCell ref="F166:G166"/>
    <mergeCell ref="F167:G167"/>
    <mergeCell ref="F168:G168"/>
    <mergeCell ref="F169:G169"/>
    <mergeCell ref="F170:G170"/>
    <mergeCell ref="F171:G171"/>
    <mergeCell ref="F162:G162"/>
    <mergeCell ref="F163:G163"/>
    <mergeCell ref="F165:G165"/>
    <mergeCell ref="F172:G172"/>
    <mergeCell ref="F159:G159"/>
    <mergeCell ref="F160:G160"/>
    <mergeCell ref="F161:G16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5" tint="-0.249977111117893"/>
  </sheetPr>
  <dimension ref="A1:C151"/>
  <sheetViews>
    <sheetView topLeftCell="A16" workbookViewId="0">
      <selection activeCell="G7" sqref="G7"/>
    </sheetView>
  </sheetViews>
  <sheetFormatPr defaultRowHeight="15.75" customHeight="1" x14ac:dyDescent="0.35"/>
  <cols>
    <col min="2" max="2" width="13.26953125" customWidth="1"/>
    <col min="3" max="3" width="41.26953125" customWidth="1"/>
  </cols>
  <sheetData>
    <row r="1" spans="1:3" ht="15.75" customHeight="1" thickBot="1" x14ac:dyDescent="0.4"/>
    <row r="2" spans="1:3" ht="24" customHeight="1" thickBot="1" x14ac:dyDescent="0.65">
      <c r="A2" s="276" t="s">
        <v>338</v>
      </c>
      <c r="B2" s="277"/>
      <c r="C2" s="278"/>
    </row>
    <row r="3" spans="1:3" ht="15.75" customHeight="1" thickBot="1" x14ac:dyDescent="0.4"/>
    <row r="4" spans="1:3" ht="20.25" customHeight="1" thickBot="1" x14ac:dyDescent="0.5">
      <c r="A4" s="118" t="s">
        <v>320</v>
      </c>
      <c r="B4" s="119" t="s">
        <v>319</v>
      </c>
      <c r="C4" s="120" t="s">
        <v>318</v>
      </c>
    </row>
    <row r="5" spans="1:3" ht="15.75" customHeight="1" x14ac:dyDescent="0.35">
      <c r="A5" s="107">
        <v>1</v>
      </c>
      <c r="B5" s="32" t="s">
        <v>339</v>
      </c>
      <c r="C5" s="33" t="s">
        <v>340</v>
      </c>
    </row>
    <row r="6" spans="1:3" ht="15.75" customHeight="1" x14ac:dyDescent="0.35">
      <c r="A6" s="107">
        <v>2</v>
      </c>
      <c r="B6" s="72">
        <v>2000717</v>
      </c>
      <c r="C6" s="33" t="s">
        <v>341</v>
      </c>
    </row>
    <row r="7" spans="1:3" ht="15.75" customHeight="1" x14ac:dyDescent="0.35">
      <c r="A7" s="107">
        <v>3</v>
      </c>
      <c r="B7" s="32" t="s">
        <v>342</v>
      </c>
      <c r="C7" s="33" t="s">
        <v>343</v>
      </c>
    </row>
    <row r="8" spans="1:3" ht="15.75" customHeight="1" x14ac:dyDescent="0.35">
      <c r="A8" s="107">
        <v>4</v>
      </c>
      <c r="B8" s="32" t="s">
        <v>344</v>
      </c>
      <c r="C8" s="33" t="s">
        <v>345</v>
      </c>
    </row>
    <row r="9" spans="1:3" ht="15.75" customHeight="1" x14ac:dyDescent="0.35">
      <c r="A9" s="107">
        <v>5</v>
      </c>
      <c r="B9" s="32" t="s">
        <v>346</v>
      </c>
      <c r="C9" s="33" t="s">
        <v>347</v>
      </c>
    </row>
    <row r="10" spans="1:3" ht="15.75" customHeight="1" x14ac:dyDescent="0.35">
      <c r="A10" s="107">
        <v>6</v>
      </c>
      <c r="B10" s="32" t="s">
        <v>348</v>
      </c>
      <c r="C10" s="33" t="s">
        <v>349</v>
      </c>
    </row>
    <row r="11" spans="1:3" ht="15.75" customHeight="1" x14ac:dyDescent="0.35">
      <c r="A11" s="107">
        <v>7</v>
      </c>
      <c r="B11" s="32" t="s">
        <v>350</v>
      </c>
      <c r="C11" s="33" t="s">
        <v>351</v>
      </c>
    </row>
    <row r="12" spans="1:3" ht="15.75" customHeight="1" x14ac:dyDescent="0.35">
      <c r="A12" s="107">
        <v>8</v>
      </c>
      <c r="B12" s="32">
        <v>2000306</v>
      </c>
      <c r="C12" s="33" t="s">
        <v>352</v>
      </c>
    </row>
    <row r="13" spans="1:3" ht="15.75" customHeight="1" x14ac:dyDescent="0.35">
      <c r="A13" s="107">
        <v>9</v>
      </c>
      <c r="B13" s="32" t="s">
        <v>353</v>
      </c>
      <c r="C13" s="33" t="s">
        <v>354</v>
      </c>
    </row>
    <row r="14" spans="1:3" ht="15.75" customHeight="1" x14ac:dyDescent="0.35">
      <c r="A14" s="107">
        <v>10</v>
      </c>
      <c r="B14" s="32" t="s">
        <v>355</v>
      </c>
      <c r="C14" s="33" t="s">
        <v>356</v>
      </c>
    </row>
    <row r="15" spans="1:3" ht="15.75" customHeight="1" x14ac:dyDescent="0.35">
      <c r="A15" s="107">
        <v>11</v>
      </c>
      <c r="B15" s="32" t="s">
        <v>357</v>
      </c>
      <c r="C15" s="33" t="s">
        <v>358</v>
      </c>
    </row>
    <row r="16" spans="1:3" ht="15.75" customHeight="1" x14ac:dyDescent="0.35">
      <c r="A16" s="107">
        <v>12</v>
      </c>
      <c r="B16" s="32" t="s">
        <v>359</v>
      </c>
      <c r="C16" s="33" t="s">
        <v>360</v>
      </c>
    </row>
    <row r="17" spans="1:3" ht="15.75" customHeight="1" x14ac:dyDescent="0.35">
      <c r="A17" s="107">
        <v>13</v>
      </c>
      <c r="B17" s="32" t="s">
        <v>361</v>
      </c>
      <c r="C17" s="33" t="s">
        <v>362</v>
      </c>
    </row>
    <row r="18" spans="1:3" ht="15.75" customHeight="1" x14ac:dyDescent="0.35">
      <c r="A18" s="107">
        <v>14</v>
      </c>
      <c r="B18" s="32" t="s">
        <v>363</v>
      </c>
      <c r="C18" s="33" t="s">
        <v>364</v>
      </c>
    </row>
    <row r="19" spans="1:3" ht="15.75" customHeight="1" x14ac:dyDescent="0.35">
      <c r="A19" s="107">
        <v>15</v>
      </c>
      <c r="B19" s="32" t="s">
        <v>365</v>
      </c>
      <c r="C19" s="33" t="s">
        <v>366</v>
      </c>
    </row>
    <row r="20" spans="1:3" ht="15.75" customHeight="1" x14ac:dyDescent="0.35">
      <c r="A20" s="107">
        <v>16</v>
      </c>
      <c r="B20" s="32" t="s">
        <v>367</v>
      </c>
      <c r="C20" s="33" t="s">
        <v>368</v>
      </c>
    </row>
    <row r="21" spans="1:3" ht="15.75" customHeight="1" x14ac:dyDescent="0.35">
      <c r="A21" s="107">
        <v>17</v>
      </c>
      <c r="B21" s="32" t="s">
        <v>369</v>
      </c>
      <c r="C21" s="33" t="s">
        <v>370</v>
      </c>
    </row>
    <row r="22" spans="1:3" ht="15.75" customHeight="1" x14ac:dyDescent="0.35">
      <c r="A22" s="107">
        <v>18</v>
      </c>
      <c r="B22" s="32" t="s">
        <v>371</v>
      </c>
      <c r="C22" s="33" t="s">
        <v>372</v>
      </c>
    </row>
    <row r="23" spans="1:3" ht="15.75" customHeight="1" x14ac:dyDescent="0.35">
      <c r="A23" s="107">
        <v>19</v>
      </c>
      <c r="B23" s="32" t="s">
        <v>373</v>
      </c>
      <c r="C23" s="33" t="s">
        <v>374</v>
      </c>
    </row>
    <row r="24" spans="1:3" ht="15.75" customHeight="1" x14ac:dyDescent="0.35">
      <c r="A24" s="107">
        <v>20</v>
      </c>
      <c r="B24" s="34">
        <v>2000422</v>
      </c>
      <c r="C24" s="35" t="s">
        <v>496</v>
      </c>
    </row>
    <row r="25" spans="1:3" ht="15.75" customHeight="1" x14ac:dyDescent="0.35">
      <c r="A25" s="107">
        <v>21</v>
      </c>
      <c r="B25" s="34">
        <v>2000466</v>
      </c>
      <c r="C25" s="35" t="s">
        <v>375</v>
      </c>
    </row>
    <row r="26" spans="1:3" ht="15.75" customHeight="1" x14ac:dyDescent="0.35">
      <c r="A26" s="107">
        <v>22</v>
      </c>
      <c r="B26" s="34">
        <v>2000107</v>
      </c>
      <c r="C26" s="35" t="s">
        <v>376</v>
      </c>
    </row>
    <row r="27" spans="1:3" ht="15.75" customHeight="1" x14ac:dyDescent="0.35">
      <c r="A27" s="107">
        <v>23</v>
      </c>
      <c r="B27" s="34">
        <v>2000182</v>
      </c>
      <c r="C27" s="35" t="s">
        <v>377</v>
      </c>
    </row>
    <row r="28" spans="1:3" ht="15.75" customHeight="1" x14ac:dyDescent="0.35">
      <c r="A28" s="107">
        <v>24</v>
      </c>
      <c r="B28" s="34">
        <v>2000157</v>
      </c>
      <c r="C28" s="35" t="s">
        <v>358</v>
      </c>
    </row>
    <row r="29" spans="1:3" ht="15.75" customHeight="1" x14ac:dyDescent="0.35">
      <c r="A29" s="107">
        <v>25</v>
      </c>
      <c r="B29" s="34">
        <v>2000621</v>
      </c>
      <c r="C29" s="35" t="s">
        <v>364</v>
      </c>
    </row>
    <row r="30" spans="1:3" ht="15.75" customHeight="1" x14ac:dyDescent="0.35">
      <c r="A30" s="107">
        <v>26</v>
      </c>
      <c r="B30" s="34">
        <v>2000304</v>
      </c>
      <c r="C30" s="35" t="s">
        <v>378</v>
      </c>
    </row>
    <row r="31" spans="1:3" ht="15.75" customHeight="1" x14ac:dyDescent="0.35">
      <c r="A31" s="107">
        <v>27</v>
      </c>
      <c r="B31" s="34">
        <v>2000457</v>
      </c>
      <c r="C31" s="35" t="s">
        <v>379</v>
      </c>
    </row>
    <row r="32" spans="1:3" ht="15.75" customHeight="1" x14ac:dyDescent="0.35">
      <c r="A32" s="107">
        <v>28</v>
      </c>
      <c r="B32" s="34">
        <v>2000689</v>
      </c>
      <c r="C32" s="35" t="s">
        <v>380</v>
      </c>
    </row>
    <row r="33" spans="1:3" ht="15.75" customHeight="1" x14ac:dyDescent="0.35">
      <c r="A33" s="107">
        <v>29</v>
      </c>
      <c r="B33" s="34">
        <v>2000546</v>
      </c>
      <c r="C33" s="35" t="s">
        <v>381</v>
      </c>
    </row>
    <row r="34" spans="1:3" ht="15.75" customHeight="1" x14ac:dyDescent="0.35">
      <c r="A34" s="107">
        <v>30</v>
      </c>
      <c r="B34" s="34">
        <v>2000523</v>
      </c>
      <c r="C34" s="35" t="s">
        <v>362</v>
      </c>
    </row>
    <row r="35" spans="1:3" ht="15.75" customHeight="1" x14ac:dyDescent="0.35">
      <c r="A35" s="107">
        <v>31</v>
      </c>
      <c r="B35" s="34">
        <v>2000555</v>
      </c>
      <c r="C35" s="35" t="s">
        <v>372</v>
      </c>
    </row>
    <row r="36" spans="1:3" ht="15.75" customHeight="1" x14ac:dyDescent="0.35">
      <c r="A36" s="107">
        <v>32</v>
      </c>
      <c r="B36" s="34">
        <v>2000127</v>
      </c>
      <c r="C36" s="35" t="s">
        <v>382</v>
      </c>
    </row>
    <row r="37" spans="1:3" ht="15.75" customHeight="1" x14ac:dyDescent="0.35">
      <c r="A37" s="107">
        <v>33</v>
      </c>
      <c r="B37" s="34">
        <v>2000446</v>
      </c>
      <c r="C37" s="35" t="s">
        <v>374</v>
      </c>
    </row>
    <row r="38" spans="1:3" ht="15.75" customHeight="1" x14ac:dyDescent="0.35">
      <c r="A38" s="107">
        <v>34</v>
      </c>
      <c r="B38" s="34">
        <v>2000386</v>
      </c>
      <c r="C38" s="35" t="s">
        <v>383</v>
      </c>
    </row>
    <row r="39" spans="1:3" ht="15.75" customHeight="1" x14ac:dyDescent="0.35">
      <c r="A39" s="107">
        <v>35</v>
      </c>
      <c r="B39" s="34">
        <v>2000646</v>
      </c>
      <c r="C39" s="35" t="s">
        <v>366</v>
      </c>
    </row>
    <row r="40" spans="1:3" ht="15.75" customHeight="1" x14ac:dyDescent="0.35">
      <c r="A40" s="107">
        <v>36</v>
      </c>
      <c r="B40" s="34">
        <v>2000575</v>
      </c>
      <c r="C40" s="35" t="s">
        <v>384</v>
      </c>
    </row>
    <row r="41" spans="1:3" ht="15.75" customHeight="1" x14ac:dyDescent="0.35">
      <c r="A41" s="107">
        <v>37</v>
      </c>
      <c r="B41" s="34">
        <v>2000299</v>
      </c>
      <c r="C41" s="35" t="s">
        <v>385</v>
      </c>
    </row>
    <row r="42" spans="1:3" ht="15.75" customHeight="1" x14ac:dyDescent="0.35">
      <c r="A42" s="107">
        <v>38</v>
      </c>
      <c r="B42" s="34">
        <v>2000201</v>
      </c>
      <c r="C42" s="35" t="s">
        <v>386</v>
      </c>
    </row>
    <row r="43" spans="1:3" ht="15.75" customHeight="1" x14ac:dyDescent="0.35">
      <c r="A43" s="107">
        <v>39</v>
      </c>
      <c r="B43" s="34">
        <v>2000324</v>
      </c>
      <c r="C43" s="35" t="s">
        <v>387</v>
      </c>
    </row>
    <row r="44" spans="1:3" ht="15.75" customHeight="1" x14ac:dyDescent="0.35">
      <c r="A44" s="107">
        <v>40</v>
      </c>
      <c r="B44" s="34">
        <v>2000511</v>
      </c>
      <c r="C44" s="35" t="s">
        <v>388</v>
      </c>
    </row>
    <row r="45" spans="1:3" ht="15.75" customHeight="1" x14ac:dyDescent="0.35">
      <c r="A45" s="107">
        <v>41</v>
      </c>
      <c r="B45" s="34">
        <v>2000686</v>
      </c>
      <c r="C45" s="35" t="s">
        <v>389</v>
      </c>
    </row>
    <row r="46" spans="1:3" ht="15.75" customHeight="1" x14ac:dyDescent="0.35">
      <c r="A46" s="107">
        <v>42</v>
      </c>
      <c r="B46" s="34">
        <v>2000613</v>
      </c>
      <c r="C46" s="35" t="s">
        <v>390</v>
      </c>
    </row>
    <row r="47" spans="1:3" ht="15.75" customHeight="1" x14ac:dyDescent="0.35">
      <c r="A47" s="107">
        <v>43</v>
      </c>
      <c r="B47" s="34">
        <v>2000203</v>
      </c>
      <c r="C47" s="35" t="s">
        <v>391</v>
      </c>
    </row>
    <row r="48" spans="1:3" ht="15.75" customHeight="1" x14ac:dyDescent="0.35">
      <c r="A48" s="107">
        <v>44</v>
      </c>
      <c r="B48" s="34">
        <v>2000702</v>
      </c>
      <c r="C48" s="35" t="s">
        <v>392</v>
      </c>
    </row>
    <row r="49" spans="1:3" ht="15.75" customHeight="1" x14ac:dyDescent="0.35">
      <c r="A49" s="107">
        <v>45</v>
      </c>
      <c r="B49" s="34">
        <v>2000130</v>
      </c>
      <c r="C49" s="35" t="s">
        <v>393</v>
      </c>
    </row>
    <row r="50" spans="1:3" ht="15.75" customHeight="1" x14ac:dyDescent="0.35">
      <c r="A50" s="107">
        <v>46</v>
      </c>
      <c r="B50" s="34">
        <v>2000499</v>
      </c>
      <c r="C50" s="35" t="s">
        <v>394</v>
      </c>
    </row>
    <row r="51" spans="1:3" ht="15.75" customHeight="1" x14ac:dyDescent="0.35">
      <c r="A51" s="107">
        <v>47</v>
      </c>
      <c r="B51" s="34">
        <v>2000603</v>
      </c>
      <c r="C51" s="35" t="s">
        <v>395</v>
      </c>
    </row>
    <row r="52" spans="1:3" ht="15.75" customHeight="1" x14ac:dyDescent="0.35">
      <c r="A52" s="107">
        <v>48</v>
      </c>
      <c r="B52" s="34">
        <v>2000433</v>
      </c>
      <c r="C52" s="35" t="s">
        <v>396</v>
      </c>
    </row>
    <row r="53" spans="1:3" ht="15.75" customHeight="1" x14ac:dyDescent="0.35">
      <c r="A53" s="107">
        <v>49</v>
      </c>
      <c r="B53" s="34">
        <v>2000275</v>
      </c>
      <c r="C53" s="35" t="s">
        <v>397</v>
      </c>
    </row>
    <row r="54" spans="1:3" ht="15.75" customHeight="1" x14ac:dyDescent="0.35">
      <c r="A54" s="107">
        <v>50</v>
      </c>
      <c r="B54" s="34">
        <v>2000389</v>
      </c>
      <c r="C54" s="35" t="s">
        <v>398</v>
      </c>
    </row>
    <row r="55" spans="1:3" ht="15.75" customHeight="1" x14ac:dyDescent="0.35">
      <c r="A55" s="107">
        <v>51</v>
      </c>
      <c r="B55" s="34">
        <v>2000564</v>
      </c>
      <c r="C55" s="35" t="s">
        <v>399</v>
      </c>
    </row>
    <row r="56" spans="1:3" ht="15.75" customHeight="1" x14ac:dyDescent="0.35">
      <c r="A56" s="107">
        <v>52</v>
      </c>
      <c r="B56" s="34">
        <v>2000665</v>
      </c>
      <c r="C56" s="35" t="s">
        <v>400</v>
      </c>
    </row>
    <row r="57" spans="1:3" ht="15.75" customHeight="1" x14ac:dyDescent="0.35">
      <c r="A57" s="107">
        <v>53</v>
      </c>
      <c r="B57" s="34">
        <v>2000619</v>
      </c>
      <c r="C57" s="35" t="s">
        <v>401</v>
      </c>
    </row>
    <row r="58" spans="1:3" ht="15.75" customHeight="1" x14ac:dyDescent="0.35">
      <c r="A58" s="107">
        <v>54</v>
      </c>
      <c r="B58" s="34">
        <v>2000154</v>
      </c>
      <c r="C58" s="35" t="s">
        <v>402</v>
      </c>
    </row>
    <row r="59" spans="1:3" ht="15.75" customHeight="1" x14ac:dyDescent="0.35">
      <c r="A59" s="107">
        <v>55</v>
      </c>
      <c r="B59" s="34">
        <v>2000213</v>
      </c>
      <c r="C59" s="35" t="s">
        <v>403</v>
      </c>
    </row>
    <row r="60" spans="1:3" ht="15.75" customHeight="1" x14ac:dyDescent="0.35">
      <c r="A60" s="107">
        <v>56</v>
      </c>
      <c r="B60" s="34">
        <v>2000473</v>
      </c>
      <c r="C60" s="35" t="s">
        <v>404</v>
      </c>
    </row>
    <row r="61" spans="1:3" ht="15.75" customHeight="1" x14ac:dyDescent="0.35">
      <c r="A61" s="107">
        <v>57</v>
      </c>
      <c r="B61" s="34">
        <v>2000326</v>
      </c>
      <c r="C61" s="35" t="s">
        <v>405</v>
      </c>
    </row>
    <row r="62" spans="1:3" ht="15.75" customHeight="1" x14ac:dyDescent="0.35">
      <c r="A62" s="107">
        <v>58</v>
      </c>
      <c r="B62" s="34">
        <v>2000587</v>
      </c>
      <c r="C62" s="35" t="s">
        <v>406</v>
      </c>
    </row>
    <row r="63" spans="1:3" ht="15.75" customHeight="1" x14ac:dyDescent="0.35">
      <c r="A63" s="107">
        <v>59</v>
      </c>
      <c r="B63" s="34">
        <v>2000464</v>
      </c>
      <c r="C63" s="35" t="s">
        <v>407</v>
      </c>
    </row>
    <row r="64" spans="1:3" ht="15.75" customHeight="1" x14ac:dyDescent="0.35">
      <c r="A64" s="107">
        <v>60</v>
      </c>
      <c r="B64" s="34">
        <v>2000477</v>
      </c>
      <c r="C64" s="35" t="s">
        <v>408</v>
      </c>
    </row>
    <row r="65" spans="1:3" ht="15.75" customHeight="1" x14ac:dyDescent="0.35">
      <c r="A65" s="107">
        <v>61</v>
      </c>
      <c r="B65" s="34">
        <v>2000434</v>
      </c>
      <c r="C65" s="35" t="s">
        <v>409</v>
      </c>
    </row>
    <row r="66" spans="1:3" ht="15.75" customHeight="1" x14ac:dyDescent="0.35">
      <c r="A66" s="107">
        <v>62</v>
      </c>
      <c r="B66" s="34">
        <v>2000581</v>
      </c>
      <c r="C66" s="35" t="s">
        <v>410</v>
      </c>
    </row>
    <row r="67" spans="1:3" ht="15.75" customHeight="1" x14ac:dyDescent="0.35">
      <c r="A67" s="107">
        <v>63</v>
      </c>
      <c r="B67" s="34">
        <v>2000155</v>
      </c>
      <c r="C67" s="35" t="s">
        <v>411</v>
      </c>
    </row>
    <row r="68" spans="1:3" ht="15.75" customHeight="1" x14ac:dyDescent="0.35">
      <c r="A68" s="107">
        <v>64</v>
      </c>
      <c r="B68" s="34">
        <v>2000641</v>
      </c>
      <c r="C68" s="35" t="s">
        <v>412</v>
      </c>
    </row>
    <row r="69" spans="1:3" ht="15.75" customHeight="1" x14ac:dyDescent="0.35">
      <c r="A69" s="107">
        <v>65</v>
      </c>
      <c r="B69" s="34">
        <v>2000159</v>
      </c>
      <c r="C69" s="35" t="s">
        <v>413</v>
      </c>
    </row>
    <row r="70" spans="1:3" ht="15.75" customHeight="1" x14ac:dyDescent="0.35">
      <c r="A70" s="107">
        <v>66</v>
      </c>
      <c r="B70" s="34">
        <v>2000189</v>
      </c>
      <c r="C70" s="35" t="s">
        <v>414</v>
      </c>
    </row>
    <row r="71" spans="1:3" ht="15.75" customHeight="1" x14ac:dyDescent="0.35">
      <c r="A71" s="107">
        <v>67</v>
      </c>
      <c r="B71" s="34">
        <v>2000569</v>
      </c>
      <c r="C71" s="35" t="s">
        <v>415</v>
      </c>
    </row>
    <row r="72" spans="1:3" ht="15.75" customHeight="1" x14ac:dyDescent="0.35">
      <c r="A72" s="107">
        <v>68</v>
      </c>
      <c r="B72" s="34">
        <v>2000502</v>
      </c>
      <c r="C72" s="35" t="s">
        <v>416</v>
      </c>
    </row>
    <row r="73" spans="1:3" ht="15.75" customHeight="1" x14ac:dyDescent="0.35">
      <c r="A73" s="107">
        <v>69</v>
      </c>
      <c r="B73" s="34">
        <v>2000180</v>
      </c>
      <c r="C73" s="35" t="s">
        <v>417</v>
      </c>
    </row>
    <row r="74" spans="1:3" ht="15.75" customHeight="1" x14ac:dyDescent="0.35">
      <c r="A74" s="107">
        <v>70</v>
      </c>
      <c r="B74" s="34">
        <v>2000150</v>
      </c>
      <c r="C74" s="35" t="s">
        <v>418</v>
      </c>
    </row>
    <row r="75" spans="1:3" ht="15.75" customHeight="1" x14ac:dyDescent="0.35">
      <c r="A75" s="107">
        <v>71</v>
      </c>
      <c r="B75" s="34">
        <v>2000644</v>
      </c>
      <c r="C75" s="35" t="s">
        <v>419</v>
      </c>
    </row>
    <row r="76" spans="1:3" ht="15.75" customHeight="1" x14ac:dyDescent="0.35">
      <c r="A76" s="107">
        <v>72</v>
      </c>
      <c r="B76" s="34">
        <v>2000416</v>
      </c>
      <c r="C76" s="35" t="s">
        <v>420</v>
      </c>
    </row>
    <row r="77" spans="1:3" ht="15.75" customHeight="1" x14ac:dyDescent="0.35">
      <c r="A77" s="107">
        <v>73</v>
      </c>
      <c r="B77" s="34">
        <v>2000539</v>
      </c>
      <c r="C77" s="35" t="s">
        <v>421</v>
      </c>
    </row>
    <row r="78" spans="1:3" ht="15.75" customHeight="1" x14ac:dyDescent="0.35">
      <c r="A78" s="107">
        <v>74</v>
      </c>
      <c r="B78" s="34">
        <v>2000459</v>
      </c>
      <c r="C78" s="35" t="s">
        <v>422</v>
      </c>
    </row>
    <row r="79" spans="1:3" ht="15.75" customHeight="1" x14ac:dyDescent="0.35">
      <c r="A79" s="107">
        <v>75</v>
      </c>
      <c r="B79" s="34">
        <v>2000141</v>
      </c>
      <c r="C79" s="35" t="s">
        <v>423</v>
      </c>
    </row>
    <row r="80" spans="1:3" ht="15.75" customHeight="1" x14ac:dyDescent="0.35">
      <c r="A80" s="107">
        <v>76</v>
      </c>
      <c r="B80" s="34">
        <v>2000414</v>
      </c>
      <c r="C80" s="35" t="s">
        <v>424</v>
      </c>
    </row>
    <row r="81" spans="1:3" ht="15.75" customHeight="1" x14ac:dyDescent="0.35">
      <c r="A81" s="107">
        <v>77</v>
      </c>
      <c r="B81" s="34">
        <v>2000538</v>
      </c>
      <c r="C81" s="35" t="s">
        <v>425</v>
      </c>
    </row>
    <row r="82" spans="1:3" ht="15.75" customHeight="1" x14ac:dyDescent="0.35">
      <c r="A82" s="107">
        <v>78</v>
      </c>
      <c r="B82" s="34">
        <v>2000200</v>
      </c>
      <c r="C82" s="35" t="s">
        <v>426</v>
      </c>
    </row>
    <row r="83" spans="1:3" ht="15.75" customHeight="1" x14ac:dyDescent="0.35">
      <c r="A83" s="107">
        <v>79</v>
      </c>
      <c r="B83" s="34">
        <v>2000591</v>
      </c>
      <c r="C83" s="35" t="s">
        <v>427</v>
      </c>
    </row>
    <row r="84" spans="1:3" ht="15.75" customHeight="1" x14ac:dyDescent="0.35">
      <c r="A84" s="107">
        <v>80</v>
      </c>
      <c r="B84" s="34">
        <v>2000639</v>
      </c>
      <c r="C84" s="35" t="s">
        <v>428</v>
      </c>
    </row>
    <row r="85" spans="1:3" ht="15.75" customHeight="1" x14ac:dyDescent="0.35">
      <c r="A85" s="107">
        <v>81</v>
      </c>
      <c r="B85" s="34">
        <v>2000645</v>
      </c>
      <c r="C85" s="35" t="s">
        <v>429</v>
      </c>
    </row>
    <row r="86" spans="1:3" ht="15.75" customHeight="1" x14ac:dyDescent="0.35">
      <c r="A86" s="107">
        <v>82</v>
      </c>
      <c r="B86" s="34">
        <v>2000558</v>
      </c>
      <c r="C86" s="35" t="s">
        <v>430</v>
      </c>
    </row>
    <row r="87" spans="1:3" ht="15.75" customHeight="1" x14ac:dyDescent="0.35">
      <c r="A87" s="107">
        <v>83</v>
      </c>
      <c r="B87" s="34">
        <v>2000696</v>
      </c>
      <c r="C87" s="35" t="s">
        <v>431</v>
      </c>
    </row>
    <row r="88" spans="1:3" ht="15.75" customHeight="1" x14ac:dyDescent="0.35">
      <c r="A88" s="107">
        <v>84</v>
      </c>
      <c r="B88" s="34">
        <v>2000531</v>
      </c>
      <c r="C88" s="35" t="s">
        <v>432</v>
      </c>
    </row>
    <row r="89" spans="1:3" ht="15.75" customHeight="1" x14ac:dyDescent="0.35">
      <c r="A89" s="107">
        <v>85</v>
      </c>
      <c r="B89" s="34">
        <v>2000425</v>
      </c>
      <c r="C89" s="35" t="s">
        <v>433</v>
      </c>
    </row>
    <row r="90" spans="1:3" ht="15.75" customHeight="1" x14ac:dyDescent="0.35">
      <c r="A90" s="107">
        <v>86</v>
      </c>
      <c r="B90" s="34">
        <v>2000451</v>
      </c>
      <c r="C90" s="35" t="s">
        <v>434</v>
      </c>
    </row>
    <row r="91" spans="1:3" ht="15.75" customHeight="1" x14ac:dyDescent="0.35">
      <c r="A91" s="107">
        <v>87</v>
      </c>
      <c r="B91" s="34">
        <v>2000570</v>
      </c>
      <c r="C91" s="35" t="s">
        <v>435</v>
      </c>
    </row>
    <row r="92" spans="1:3" ht="15.75" customHeight="1" x14ac:dyDescent="0.35">
      <c r="A92" s="107">
        <v>88</v>
      </c>
      <c r="B92" s="34">
        <v>2000242</v>
      </c>
      <c r="C92" s="35" t="s">
        <v>436</v>
      </c>
    </row>
    <row r="93" spans="1:3" ht="15.75" customHeight="1" x14ac:dyDescent="0.35">
      <c r="A93" s="107">
        <v>89</v>
      </c>
      <c r="B93" s="34">
        <v>2000458</v>
      </c>
      <c r="C93" s="35" t="s">
        <v>437</v>
      </c>
    </row>
    <row r="94" spans="1:3" ht="15.75" customHeight="1" x14ac:dyDescent="0.35">
      <c r="A94" s="107">
        <v>90</v>
      </c>
      <c r="B94" s="34">
        <v>2000607</v>
      </c>
      <c r="C94" s="35" t="s">
        <v>438</v>
      </c>
    </row>
    <row r="95" spans="1:3" ht="15.75" customHeight="1" x14ac:dyDescent="0.35">
      <c r="A95" s="107">
        <v>91</v>
      </c>
      <c r="B95" s="34">
        <v>2000278</v>
      </c>
      <c r="C95" s="35" t="s">
        <v>439</v>
      </c>
    </row>
    <row r="96" spans="1:3" ht="15.75" customHeight="1" x14ac:dyDescent="0.35">
      <c r="A96" s="107">
        <v>92</v>
      </c>
      <c r="B96" s="34">
        <v>2000554</v>
      </c>
      <c r="C96" s="35" t="s">
        <v>440</v>
      </c>
    </row>
    <row r="97" spans="1:3" ht="15.75" customHeight="1" x14ac:dyDescent="0.35">
      <c r="A97" s="107">
        <v>93</v>
      </c>
      <c r="B97" s="34">
        <v>2000454</v>
      </c>
      <c r="C97" s="35" t="s">
        <v>441</v>
      </c>
    </row>
    <row r="98" spans="1:3" ht="15.75" customHeight="1" x14ac:dyDescent="0.35">
      <c r="A98" s="107">
        <v>94</v>
      </c>
      <c r="B98" s="34">
        <v>2000430</v>
      </c>
      <c r="C98" s="35" t="s">
        <v>442</v>
      </c>
    </row>
    <row r="99" spans="1:3" ht="15.75" customHeight="1" x14ac:dyDescent="0.35">
      <c r="A99" s="107">
        <v>95</v>
      </c>
      <c r="B99" s="34">
        <v>2000536</v>
      </c>
      <c r="C99" s="35" t="s">
        <v>443</v>
      </c>
    </row>
    <row r="100" spans="1:3" ht="15.75" customHeight="1" x14ac:dyDescent="0.35">
      <c r="A100" s="107">
        <v>96</v>
      </c>
      <c r="B100" s="34">
        <v>2000380</v>
      </c>
      <c r="C100" s="35" t="s">
        <v>444</v>
      </c>
    </row>
    <row r="101" spans="1:3" ht="15.75" customHeight="1" x14ac:dyDescent="0.35">
      <c r="A101" s="107">
        <v>97</v>
      </c>
      <c r="B101" s="34">
        <v>2000693</v>
      </c>
      <c r="C101" s="35" t="s">
        <v>445</v>
      </c>
    </row>
    <row r="102" spans="1:3" ht="15.75" customHeight="1" x14ac:dyDescent="0.35">
      <c r="A102" s="107">
        <v>98</v>
      </c>
      <c r="B102" s="34">
        <v>2000417</v>
      </c>
      <c r="C102" s="35" t="s">
        <v>446</v>
      </c>
    </row>
    <row r="103" spans="1:3" ht="15.75" customHeight="1" x14ac:dyDescent="0.35">
      <c r="A103" s="107">
        <v>99</v>
      </c>
      <c r="B103" s="34">
        <v>2000622</v>
      </c>
      <c r="C103" s="35" t="s">
        <v>447</v>
      </c>
    </row>
    <row r="104" spans="1:3" ht="15.75" customHeight="1" x14ac:dyDescent="0.35">
      <c r="A104" s="107">
        <v>100</v>
      </c>
      <c r="B104" s="34">
        <v>2000599</v>
      </c>
      <c r="C104" s="35" t="s">
        <v>448</v>
      </c>
    </row>
    <row r="105" spans="1:3" ht="15.75" customHeight="1" x14ac:dyDescent="0.35">
      <c r="A105" s="107">
        <v>101</v>
      </c>
      <c r="B105" s="34">
        <v>2000586</v>
      </c>
      <c r="C105" s="35" t="s">
        <v>449</v>
      </c>
    </row>
    <row r="106" spans="1:3" ht="15.75" customHeight="1" x14ac:dyDescent="0.35">
      <c r="A106" s="107">
        <v>102</v>
      </c>
      <c r="B106" s="34">
        <v>2000442</v>
      </c>
      <c r="C106" s="35" t="s">
        <v>450</v>
      </c>
    </row>
    <row r="107" spans="1:3" ht="15.75" customHeight="1" x14ac:dyDescent="0.35">
      <c r="A107" s="107">
        <v>103</v>
      </c>
      <c r="B107" s="34">
        <v>2000149</v>
      </c>
      <c r="C107" s="35" t="s">
        <v>451</v>
      </c>
    </row>
    <row r="108" spans="1:3" ht="15.75" customHeight="1" x14ac:dyDescent="0.35">
      <c r="A108" s="107">
        <v>104</v>
      </c>
      <c r="B108" s="34">
        <v>2000560</v>
      </c>
      <c r="C108" s="35" t="s">
        <v>452</v>
      </c>
    </row>
    <row r="109" spans="1:3" ht="15.75" customHeight="1" x14ac:dyDescent="0.35">
      <c r="A109" s="107">
        <v>105</v>
      </c>
      <c r="B109" s="34">
        <v>2000371</v>
      </c>
      <c r="C109" s="35" t="s">
        <v>453</v>
      </c>
    </row>
    <row r="110" spans="1:3" ht="15.75" customHeight="1" x14ac:dyDescent="0.35">
      <c r="A110" s="107">
        <v>106</v>
      </c>
      <c r="B110" s="34">
        <v>2000471</v>
      </c>
      <c r="C110" s="35" t="s">
        <v>454</v>
      </c>
    </row>
    <row r="111" spans="1:3" ht="15.75" customHeight="1" x14ac:dyDescent="0.35">
      <c r="A111" s="107">
        <v>107</v>
      </c>
      <c r="B111" s="34">
        <v>2000488</v>
      </c>
      <c r="C111" s="35" t="s">
        <v>455</v>
      </c>
    </row>
    <row r="112" spans="1:3" ht="15.75" customHeight="1" x14ac:dyDescent="0.35">
      <c r="A112" s="107">
        <v>108</v>
      </c>
      <c r="B112" s="34">
        <v>2000245</v>
      </c>
      <c r="C112" s="35" t="s">
        <v>456</v>
      </c>
    </row>
    <row r="113" spans="1:3" ht="15.75" customHeight="1" x14ac:dyDescent="0.35">
      <c r="A113" s="107">
        <v>109</v>
      </c>
      <c r="B113" s="34">
        <v>2000573</v>
      </c>
      <c r="C113" s="35" t="s">
        <v>457</v>
      </c>
    </row>
    <row r="114" spans="1:3" ht="15.75" customHeight="1" x14ac:dyDescent="0.35">
      <c r="A114" s="107">
        <v>110</v>
      </c>
      <c r="B114" s="34">
        <v>2000532</v>
      </c>
      <c r="C114" s="35" t="s">
        <v>458</v>
      </c>
    </row>
    <row r="115" spans="1:3" ht="15.75" customHeight="1" x14ac:dyDescent="0.35">
      <c r="A115" s="107">
        <v>111</v>
      </c>
      <c r="B115" s="34">
        <v>2000673</v>
      </c>
      <c r="C115" s="35" t="s">
        <v>459</v>
      </c>
    </row>
    <row r="116" spans="1:3" ht="15.75" customHeight="1" x14ac:dyDescent="0.35">
      <c r="A116" s="107">
        <v>112</v>
      </c>
      <c r="B116" s="34">
        <v>2000697</v>
      </c>
      <c r="C116" s="35" t="s">
        <v>460</v>
      </c>
    </row>
    <row r="117" spans="1:3" ht="15.75" customHeight="1" x14ac:dyDescent="0.35">
      <c r="A117" s="107">
        <v>113</v>
      </c>
      <c r="B117" s="34">
        <v>2000520</v>
      </c>
      <c r="C117" s="35" t="s">
        <v>461</v>
      </c>
    </row>
    <row r="118" spans="1:3" ht="15.75" customHeight="1" x14ac:dyDescent="0.35">
      <c r="A118" s="107">
        <v>114</v>
      </c>
      <c r="B118" s="34">
        <v>2000516</v>
      </c>
      <c r="C118" s="35" t="s">
        <v>462</v>
      </c>
    </row>
    <row r="119" spans="1:3" ht="15.75" customHeight="1" x14ac:dyDescent="0.35">
      <c r="A119" s="107">
        <v>115</v>
      </c>
      <c r="B119" s="34">
        <v>2000279</v>
      </c>
      <c r="C119" s="35" t="s">
        <v>463</v>
      </c>
    </row>
    <row r="120" spans="1:3" ht="15.75" customHeight="1" x14ac:dyDescent="0.35">
      <c r="A120" s="107">
        <v>116</v>
      </c>
      <c r="B120" s="34">
        <v>2000594</v>
      </c>
      <c r="C120" s="35" t="s">
        <v>464</v>
      </c>
    </row>
    <row r="121" spans="1:3" ht="15.75" customHeight="1" x14ac:dyDescent="0.35">
      <c r="A121" s="107">
        <v>117</v>
      </c>
      <c r="B121" s="34">
        <v>2000340</v>
      </c>
      <c r="C121" s="35" t="s">
        <v>465</v>
      </c>
    </row>
    <row r="122" spans="1:3" ht="15.75" customHeight="1" x14ac:dyDescent="0.35">
      <c r="A122" s="107">
        <v>118</v>
      </c>
      <c r="B122" s="34">
        <v>2000654</v>
      </c>
      <c r="C122" s="35" t="s">
        <v>466</v>
      </c>
    </row>
    <row r="123" spans="1:3" ht="15.75" customHeight="1" x14ac:dyDescent="0.35">
      <c r="A123" s="107">
        <v>119</v>
      </c>
      <c r="B123" s="34">
        <v>2000657</v>
      </c>
      <c r="C123" s="35" t="s">
        <v>467</v>
      </c>
    </row>
    <row r="124" spans="1:3" ht="15.75" customHeight="1" x14ac:dyDescent="0.35">
      <c r="A124" s="107">
        <v>120</v>
      </c>
      <c r="B124" s="34">
        <v>2000671</v>
      </c>
      <c r="C124" s="35" t="s">
        <v>468</v>
      </c>
    </row>
    <row r="125" spans="1:3" ht="15.75" customHeight="1" x14ac:dyDescent="0.35">
      <c r="A125" s="107">
        <v>121</v>
      </c>
      <c r="B125" s="34">
        <v>2000704</v>
      </c>
      <c r="C125" s="35" t="s">
        <v>469</v>
      </c>
    </row>
    <row r="126" spans="1:3" ht="15.75" customHeight="1" x14ac:dyDescent="0.35">
      <c r="A126" s="107">
        <v>122</v>
      </c>
      <c r="B126" s="34">
        <v>2000372</v>
      </c>
      <c r="C126" s="35" t="s">
        <v>470</v>
      </c>
    </row>
    <row r="127" spans="1:3" ht="15.75" customHeight="1" x14ac:dyDescent="0.35">
      <c r="A127" s="107">
        <v>123</v>
      </c>
      <c r="B127" s="34">
        <v>2000472</v>
      </c>
      <c r="C127" s="35" t="s">
        <v>471</v>
      </c>
    </row>
    <row r="128" spans="1:3" ht="15.75" customHeight="1" x14ac:dyDescent="0.35">
      <c r="A128" s="107">
        <v>124</v>
      </c>
      <c r="B128" s="34">
        <v>2000503</v>
      </c>
      <c r="C128" s="35" t="s">
        <v>472</v>
      </c>
    </row>
    <row r="129" spans="1:3" ht="15.75" customHeight="1" x14ac:dyDescent="0.35">
      <c r="A129" s="107">
        <v>125</v>
      </c>
      <c r="B129" s="34">
        <v>2000638</v>
      </c>
      <c r="C129" s="35" t="s">
        <v>473</v>
      </c>
    </row>
    <row r="130" spans="1:3" ht="15.75" customHeight="1" x14ac:dyDescent="0.35">
      <c r="A130" s="107">
        <v>126</v>
      </c>
      <c r="B130" s="34">
        <v>2000692</v>
      </c>
      <c r="C130" s="35" t="s">
        <v>474</v>
      </c>
    </row>
    <row r="131" spans="1:3" ht="15.75" customHeight="1" x14ac:dyDescent="0.35">
      <c r="A131" s="107">
        <v>127</v>
      </c>
      <c r="B131" s="34">
        <v>2000517</v>
      </c>
      <c r="C131" s="35" t="s">
        <v>475</v>
      </c>
    </row>
    <row r="132" spans="1:3" ht="15.75" customHeight="1" x14ac:dyDescent="0.35">
      <c r="A132" s="107">
        <v>128</v>
      </c>
      <c r="B132" s="34">
        <v>2000551</v>
      </c>
      <c r="C132" s="35" t="s">
        <v>476</v>
      </c>
    </row>
    <row r="133" spans="1:3" ht="15.75" customHeight="1" x14ac:dyDescent="0.35">
      <c r="A133" s="107">
        <v>129</v>
      </c>
      <c r="B133" s="34">
        <v>2000690</v>
      </c>
      <c r="C133" s="35" t="s">
        <v>477</v>
      </c>
    </row>
    <row r="134" spans="1:3" ht="15.75" customHeight="1" x14ac:dyDescent="0.35">
      <c r="A134" s="107">
        <v>130</v>
      </c>
      <c r="B134" s="34">
        <v>2000642</v>
      </c>
      <c r="C134" s="35" t="s">
        <v>478</v>
      </c>
    </row>
    <row r="135" spans="1:3" ht="15.75" customHeight="1" x14ac:dyDescent="0.35">
      <c r="A135" s="107">
        <v>131</v>
      </c>
      <c r="B135" s="34">
        <v>2000535</v>
      </c>
      <c r="C135" s="35" t="s">
        <v>479</v>
      </c>
    </row>
    <row r="136" spans="1:3" ht="15.75" customHeight="1" x14ac:dyDescent="0.35">
      <c r="A136" s="107">
        <v>132</v>
      </c>
      <c r="B136" s="34">
        <v>2000368</v>
      </c>
      <c r="C136" s="35" t="s">
        <v>480</v>
      </c>
    </row>
    <row r="137" spans="1:3" ht="15.75" customHeight="1" x14ac:dyDescent="0.35">
      <c r="A137" s="107">
        <v>133</v>
      </c>
      <c r="B137" s="34">
        <v>2000481</v>
      </c>
      <c r="C137" s="35" t="s">
        <v>481</v>
      </c>
    </row>
    <row r="138" spans="1:3" ht="15.75" customHeight="1" x14ac:dyDescent="0.35">
      <c r="A138" s="107">
        <v>134</v>
      </c>
      <c r="B138" s="34">
        <v>2000652</v>
      </c>
      <c r="C138" s="35" t="s">
        <v>482</v>
      </c>
    </row>
    <row r="139" spans="1:3" ht="15.75" customHeight="1" x14ac:dyDescent="0.35">
      <c r="A139" s="107">
        <v>135</v>
      </c>
      <c r="B139" s="34">
        <v>2000636</v>
      </c>
      <c r="C139" s="35" t="s">
        <v>483</v>
      </c>
    </row>
    <row r="140" spans="1:3" ht="15.75" customHeight="1" x14ac:dyDescent="0.35">
      <c r="A140" s="107">
        <v>136</v>
      </c>
      <c r="B140" s="34">
        <v>2000656</v>
      </c>
      <c r="C140" s="35" t="s">
        <v>484</v>
      </c>
    </row>
    <row r="141" spans="1:3" ht="15.75" customHeight="1" x14ac:dyDescent="0.35">
      <c r="A141" s="107">
        <v>137</v>
      </c>
      <c r="B141" s="34">
        <v>2000684</v>
      </c>
      <c r="C141" s="35" t="s">
        <v>485</v>
      </c>
    </row>
    <row r="142" spans="1:3" ht="15.75" customHeight="1" x14ac:dyDescent="0.35">
      <c r="A142" s="107">
        <v>138</v>
      </c>
      <c r="B142" s="34">
        <v>2000713</v>
      </c>
      <c r="C142" s="35" t="s">
        <v>486</v>
      </c>
    </row>
    <row r="143" spans="1:3" ht="15.75" customHeight="1" x14ac:dyDescent="0.35">
      <c r="A143" s="107">
        <v>139</v>
      </c>
      <c r="B143" s="34">
        <v>2000505</v>
      </c>
      <c r="C143" s="35" t="s">
        <v>487</v>
      </c>
    </row>
    <row r="144" spans="1:3" ht="15.75" customHeight="1" x14ac:dyDescent="0.35">
      <c r="A144" s="107">
        <v>140</v>
      </c>
      <c r="B144" s="34">
        <v>2000510</v>
      </c>
      <c r="C144" s="35" t="s">
        <v>488</v>
      </c>
    </row>
    <row r="145" spans="1:3" ht="15.75" customHeight="1" x14ac:dyDescent="0.35">
      <c r="A145" s="107">
        <v>141</v>
      </c>
      <c r="B145" s="34">
        <v>2000618</v>
      </c>
      <c r="C145" s="35" t="s">
        <v>489</v>
      </c>
    </row>
    <row r="146" spans="1:3" ht="15.75" customHeight="1" x14ac:dyDescent="0.35">
      <c r="A146" s="107">
        <v>142</v>
      </c>
      <c r="B146" s="34">
        <v>2000670</v>
      </c>
      <c r="C146" s="35" t="s">
        <v>490</v>
      </c>
    </row>
    <row r="147" spans="1:3" ht="15.75" customHeight="1" x14ac:dyDescent="0.35">
      <c r="A147" s="107">
        <v>143</v>
      </c>
      <c r="B147" s="34">
        <v>2000691</v>
      </c>
      <c r="C147" s="35" t="s">
        <v>491</v>
      </c>
    </row>
    <row r="148" spans="1:3" ht="15.75" customHeight="1" x14ac:dyDescent="0.35">
      <c r="A148" s="107">
        <v>144</v>
      </c>
      <c r="B148" s="34">
        <v>2000694</v>
      </c>
      <c r="C148" s="35" t="s">
        <v>492</v>
      </c>
    </row>
    <row r="149" spans="1:3" ht="15.75" customHeight="1" x14ac:dyDescent="0.35">
      <c r="A149" s="107">
        <v>145</v>
      </c>
      <c r="B149" s="34">
        <v>2000545</v>
      </c>
      <c r="C149" s="35" t="s">
        <v>493</v>
      </c>
    </row>
    <row r="150" spans="1:3" ht="15.75" customHeight="1" x14ac:dyDescent="0.35">
      <c r="A150" s="107">
        <v>146</v>
      </c>
      <c r="B150" s="34">
        <v>2000714</v>
      </c>
      <c r="C150" s="35" t="s">
        <v>494</v>
      </c>
    </row>
    <row r="151" spans="1:3" ht="15.75" customHeight="1" x14ac:dyDescent="0.35">
      <c r="A151" s="107">
        <v>147</v>
      </c>
      <c r="B151" s="34">
        <v>2000628</v>
      </c>
      <c r="C151" s="35" t="s">
        <v>495</v>
      </c>
    </row>
  </sheetData>
  <mergeCells count="1">
    <mergeCell ref="A2:C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92"/>
  <sheetViews>
    <sheetView topLeftCell="A58" workbookViewId="0">
      <selection activeCell="N120" sqref="N120"/>
    </sheetView>
  </sheetViews>
  <sheetFormatPr defaultRowHeight="23.25" customHeight="1" x14ac:dyDescent="0.35"/>
  <cols>
    <col min="2" max="2" width="14.54296875" customWidth="1"/>
    <col min="3" max="3" width="18.1796875" customWidth="1"/>
    <col min="9" max="9" width="9.1796875" style="112"/>
  </cols>
  <sheetData>
    <row r="1" spans="1:9" ht="23.25" customHeight="1" x14ac:dyDescent="0.35">
      <c r="A1" s="203" t="s">
        <v>0</v>
      </c>
      <c r="B1" s="204"/>
      <c r="C1" s="204"/>
      <c r="D1" s="204"/>
      <c r="E1" s="204"/>
      <c r="F1" s="204"/>
      <c r="G1" s="204"/>
      <c r="H1" s="204"/>
      <c r="I1" s="204"/>
    </row>
    <row r="2" spans="1:9" ht="23.25" customHeight="1" x14ac:dyDescent="0.35">
      <c r="A2" s="203"/>
      <c r="B2" s="204"/>
      <c r="C2" s="204"/>
      <c r="D2" s="204"/>
      <c r="E2" s="204"/>
      <c r="F2" s="204"/>
      <c r="G2" s="204"/>
      <c r="H2" s="204"/>
      <c r="I2" s="204"/>
    </row>
    <row r="3" spans="1:9" ht="7.5" customHeight="1" x14ac:dyDescent="0.35">
      <c r="A3" s="203"/>
      <c r="B3" s="204"/>
      <c r="C3" s="204"/>
      <c r="D3" s="204"/>
      <c r="E3" s="204"/>
      <c r="F3" s="204"/>
      <c r="G3" s="204"/>
      <c r="H3" s="204"/>
      <c r="I3" s="204"/>
    </row>
    <row r="4" spans="1:9" ht="23.25" customHeight="1" x14ac:dyDescent="0.35">
      <c r="A4" s="205" t="s">
        <v>529</v>
      </c>
      <c r="B4" s="206"/>
      <c r="C4" s="206"/>
      <c r="D4" s="206"/>
      <c r="E4" s="206"/>
      <c r="F4" s="206"/>
      <c r="G4" s="206"/>
      <c r="H4" s="206"/>
      <c r="I4" s="206"/>
    </row>
    <row r="5" spans="1:9" ht="23.25" customHeight="1" x14ac:dyDescent="0.35">
      <c r="A5" s="287" t="s">
        <v>2</v>
      </c>
      <c r="B5" s="287" t="s">
        <v>3</v>
      </c>
      <c r="C5" s="287" t="s">
        <v>4</v>
      </c>
      <c r="D5" s="287" t="s">
        <v>5</v>
      </c>
      <c r="E5" s="287"/>
      <c r="F5" s="287" t="s">
        <v>6</v>
      </c>
      <c r="G5" s="287"/>
      <c r="H5" s="287" t="s">
        <v>7</v>
      </c>
      <c r="I5" s="288" t="s">
        <v>497</v>
      </c>
    </row>
    <row r="6" spans="1:9" ht="23.25" customHeight="1" x14ac:dyDescent="0.35">
      <c r="A6" s="287"/>
      <c r="B6" s="287"/>
      <c r="C6" s="287"/>
      <c r="D6" s="11" t="s">
        <v>9</v>
      </c>
      <c r="E6" s="11" t="s">
        <v>10</v>
      </c>
      <c r="F6" s="11" t="s">
        <v>11</v>
      </c>
      <c r="G6" s="11" t="s">
        <v>12</v>
      </c>
      <c r="H6" s="287"/>
      <c r="I6" s="289"/>
    </row>
    <row r="7" spans="1:9" ht="23.25" customHeight="1" x14ac:dyDescent="0.35">
      <c r="A7" s="42">
        <v>1</v>
      </c>
      <c r="B7" s="43" t="s">
        <v>13</v>
      </c>
      <c r="C7" s="44" t="s">
        <v>14</v>
      </c>
      <c r="D7" s="45">
        <v>0.5</v>
      </c>
      <c r="E7" s="45">
        <v>0.37</v>
      </c>
      <c r="F7" s="45">
        <v>25</v>
      </c>
      <c r="G7" s="45">
        <v>25</v>
      </c>
      <c r="H7" s="46">
        <v>2640</v>
      </c>
      <c r="I7" s="71">
        <f>H7*0.63</f>
        <v>1663.2</v>
      </c>
    </row>
    <row r="8" spans="1:9" ht="23.25" customHeight="1" x14ac:dyDescent="0.35">
      <c r="A8" s="42">
        <v>2</v>
      </c>
      <c r="B8" s="43" t="s">
        <v>15</v>
      </c>
      <c r="C8" s="44" t="s">
        <v>16</v>
      </c>
      <c r="D8" s="45">
        <v>1</v>
      </c>
      <c r="E8" s="45">
        <v>0.75</v>
      </c>
      <c r="F8" s="45">
        <v>25</v>
      </c>
      <c r="G8" s="45">
        <v>25</v>
      </c>
      <c r="H8" s="46">
        <v>3420</v>
      </c>
      <c r="I8" s="71">
        <f t="shared" ref="I8:I53" si="0">H8*0.63</f>
        <v>2154.6</v>
      </c>
    </row>
    <row r="9" spans="1:9" ht="23.25" customHeight="1" x14ac:dyDescent="0.35">
      <c r="A9" s="43">
        <v>3</v>
      </c>
      <c r="B9" s="43" t="s">
        <v>17</v>
      </c>
      <c r="C9" s="44" t="s">
        <v>18</v>
      </c>
      <c r="D9" s="45">
        <v>0.5</v>
      </c>
      <c r="E9" s="45">
        <v>0.37</v>
      </c>
      <c r="F9" s="45">
        <v>25</v>
      </c>
      <c r="G9" s="45">
        <v>25</v>
      </c>
      <c r="H9" s="46">
        <v>2840</v>
      </c>
      <c r="I9" s="71">
        <f t="shared" si="0"/>
        <v>1789.2</v>
      </c>
    </row>
    <row r="10" spans="1:9" ht="23.25" customHeight="1" x14ac:dyDescent="0.35">
      <c r="A10" s="42">
        <v>4</v>
      </c>
      <c r="B10" s="43" t="s">
        <v>19</v>
      </c>
      <c r="C10" s="44" t="s">
        <v>20</v>
      </c>
      <c r="D10" s="45">
        <v>1</v>
      </c>
      <c r="E10" s="45">
        <v>0.75</v>
      </c>
      <c r="F10" s="45">
        <v>25</v>
      </c>
      <c r="G10" s="45">
        <v>25</v>
      </c>
      <c r="H10" s="46">
        <v>3660</v>
      </c>
      <c r="I10" s="71">
        <f t="shared" si="0"/>
        <v>2305.8000000000002</v>
      </c>
    </row>
    <row r="11" spans="1:9" ht="23.25" customHeight="1" x14ac:dyDescent="0.35">
      <c r="A11" s="42">
        <v>5</v>
      </c>
      <c r="B11" s="42" t="s">
        <v>21</v>
      </c>
      <c r="C11" s="48" t="s">
        <v>22</v>
      </c>
      <c r="D11" s="45">
        <v>0.5</v>
      </c>
      <c r="E11" s="45">
        <v>0.37</v>
      </c>
      <c r="F11" s="45">
        <v>25</v>
      </c>
      <c r="G11" s="45">
        <v>25</v>
      </c>
      <c r="H11" s="73">
        <v>3160</v>
      </c>
      <c r="I11" s="71">
        <f t="shared" si="0"/>
        <v>1990.8</v>
      </c>
    </row>
    <row r="12" spans="1:9" ht="23.25" customHeight="1" x14ac:dyDescent="0.35">
      <c r="A12" s="42">
        <v>6</v>
      </c>
      <c r="B12" s="42" t="s">
        <v>23</v>
      </c>
      <c r="C12" s="48" t="s">
        <v>24</v>
      </c>
      <c r="D12" s="45">
        <v>1</v>
      </c>
      <c r="E12" s="45">
        <v>0.75</v>
      </c>
      <c r="F12" s="45">
        <v>25</v>
      </c>
      <c r="G12" s="45">
        <v>25</v>
      </c>
      <c r="H12" s="73">
        <v>4120</v>
      </c>
      <c r="I12" s="71">
        <f t="shared" si="0"/>
        <v>2595.6</v>
      </c>
    </row>
    <row r="13" spans="1:9" ht="23.25" customHeight="1" x14ac:dyDescent="0.35">
      <c r="A13" s="43">
        <v>7</v>
      </c>
      <c r="B13" s="43" t="s">
        <v>25</v>
      </c>
      <c r="C13" s="44" t="s">
        <v>26</v>
      </c>
      <c r="D13" s="45">
        <v>1.5</v>
      </c>
      <c r="E13" s="45">
        <v>1</v>
      </c>
      <c r="F13" s="45">
        <v>25</v>
      </c>
      <c r="G13" s="45">
        <v>25</v>
      </c>
      <c r="H13" s="73">
        <v>5750</v>
      </c>
      <c r="I13" s="71">
        <f t="shared" si="0"/>
        <v>3622.5</v>
      </c>
    </row>
    <row r="14" spans="1:9" ht="23.25" customHeight="1" x14ac:dyDescent="0.35">
      <c r="A14" s="42">
        <v>8</v>
      </c>
      <c r="B14" s="42" t="s">
        <v>27</v>
      </c>
      <c r="C14" s="48" t="s">
        <v>28</v>
      </c>
      <c r="D14" s="45">
        <v>0.5</v>
      </c>
      <c r="E14" s="45">
        <v>0.37</v>
      </c>
      <c r="F14" s="45">
        <v>25</v>
      </c>
      <c r="G14" s="45">
        <v>25</v>
      </c>
      <c r="H14" s="73">
        <v>3520</v>
      </c>
      <c r="I14" s="71">
        <f t="shared" si="0"/>
        <v>2217.6</v>
      </c>
    </row>
    <row r="15" spans="1:9" ht="23.25" customHeight="1" x14ac:dyDescent="0.35">
      <c r="A15" s="42">
        <v>9</v>
      </c>
      <c r="B15" s="43" t="s">
        <v>29</v>
      </c>
      <c r="C15" s="50" t="s">
        <v>30</v>
      </c>
      <c r="D15" s="45">
        <v>1</v>
      </c>
      <c r="E15" s="45">
        <v>0.75</v>
      </c>
      <c r="F15" s="45">
        <v>25</v>
      </c>
      <c r="G15" s="45">
        <v>25</v>
      </c>
      <c r="H15" s="73">
        <v>3660</v>
      </c>
      <c r="I15" s="71">
        <f t="shared" si="0"/>
        <v>2305.8000000000002</v>
      </c>
    </row>
    <row r="16" spans="1:9" ht="23.25" customHeight="1" x14ac:dyDescent="0.35">
      <c r="A16" s="42">
        <v>10</v>
      </c>
      <c r="B16" s="43" t="s">
        <v>31</v>
      </c>
      <c r="C16" s="44" t="s">
        <v>32</v>
      </c>
      <c r="D16" s="45">
        <v>1</v>
      </c>
      <c r="E16" s="45">
        <v>0.75</v>
      </c>
      <c r="F16" s="45">
        <v>25</v>
      </c>
      <c r="G16" s="45">
        <v>25</v>
      </c>
      <c r="H16" s="73">
        <v>4220</v>
      </c>
      <c r="I16" s="71">
        <f t="shared" si="0"/>
        <v>2658.6</v>
      </c>
    </row>
    <row r="17" spans="1:9" ht="23.25" customHeight="1" x14ac:dyDescent="0.35">
      <c r="A17" s="43">
        <v>11</v>
      </c>
      <c r="B17" s="42" t="s">
        <v>33</v>
      </c>
      <c r="C17" s="48" t="s">
        <v>34</v>
      </c>
      <c r="D17" s="45">
        <v>0.75</v>
      </c>
      <c r="E17" s="45">
        <v>0.56000000000000005</v>
      </c>
      <c r="F17" s="45">
        <v>25</v>
      </c>
      <c r="G17" s="45">
        <v>25</v>
      </c>
      <c r="H17" s="73">
        <v>4080</v>
      </c>
      <c r="I17" s="71">
        <f t="shared" si="0"/>
        <v>2570.4</v>
      </c>
    </row>
    <row r="18" spans="1:9" ht="23.25" customHeight="1" x14ac:dyDescent="0.35">
      <c r="A18" s="42">
        <v>12</v>
      </c>
      <c r="B18" s="43" t="s">
        <v>35</v>
      </c>
      <c r="C18" s="51" t="s">
        <v>36</v>
      </c>
      <c r="D18" s="45">
        <v>1</v>
      </c>
      <c r="E18" s="45">
        <v>0.75</v>
      </c>
      <c r="F18" s="45">
        <v>25</v>
      </c>
      <c r="G18" s="45">
        <v>25</v>
      </c>
      <c r="H18" s="73">
        <v>4730</v>
      </c>
      <c r="I18" s="71">
        <f t="shared" si="0"/>
        <v>2979.9</v>
      </c>
    </row>
    <row r="19" spans="1:9" ht="23.25" customHeight="1" x14ac:dyDescent="0.35">
      <c r="A19" s="42">
        <v>13</v>
      </c>
      <c r="B19" s="43" t="s">
        <v>37</v>
      </c>
      <c r="C19" s="51" t="s">
        <v>38</v>
      </c>
      <c r="D19" s="45">
        <v>1</v>
      </c>
      <c r="E19" s="45">
        <v>0.75</v>
      </c>
      <c r="F19" s="45">
        <v>25</v>
      </c>
      <c r="G19" s="45">
        <v>25</v>
      </c>
      <c r="H19" s="73">
        <v>4730</v>
      </c>
      <c r="I19" s="71">
        <f t="shared" si="0"/>
        <v>2979.9</v>
      </c>
    </row>
    <row r="20" spans="1:9" ht="23.25" customHeight="1" x14ac:dyDescent="0.35">
      <c r="A20" s="42">
        <v>14</v>
      </c>
      <c r="B20" s="42" t="s">
        <v>39</v>
      </c>
      <c r="C20" s="48" t="s">
        <v>40</v>
      </c>
      <c r="D20" s="45">
        <v>1</v>
      </c>
      <c r="E20" s="45">
        <v>0.75</v>
      </c>
      <c r="F20" s="45">
        <v>25</v>
      </c>
      <c r="G20" s="45">
        <v>25</v>
      </c>
      <c r="H20" s="73">
        <v>5170</v>
      </c>
      <c r="I20" s="71">
        <f t="shared" si="0"/>
        <v>3257.1</v>
      </c>
    </row>
    <row r="21" spans="1:9" ht="23.25" customHeight="1" x14ac:dyDescent="0.35">
      <c r="A21" s="43">
        <v>15</v>
      </c>
      <c r="B21" s="42" t="s">
        <v>41</v>
      </c>
      <c r="C21" s="48" t="s">
        <v>42</v>
      </c>
      <c r="D21" s="45">
        <v>1</v>
      </c>
      <c r="E21" s="45">
        <v>0.75</v>
      </c>
      <c r="F21" s="45">
        <v>25</v>
      </c>
      <c r="G21" s="45">
        <v>25</v>
      </c>
      <c r="H21" s="73">
        <v>4670</v>
      </c>
      <c r="I21" s="71">
        <f t="shared" si="0"/>
        <v>2942.1</v>
      </c>
    </row>
    <row r="22" spans="1:9" ht="23.25" customHeight="1" x14ac:dyDescent="0.35">
      <c r="A22" s="42">
        <v>16</v>
      </c>
      <c r="B22" s="43" t="s">
        <v>43</v>
      </c>
      <c r="C22" s="44" t="s">
        <v>44</v>
      </c>
      <c r="D22" s="45">
        <v>1.2</v>
      </c>
      <c r="E22" s="45">
        <v>0.9</v>
      </c>
      <c r="F22" s="45">
        <v>25</v>
      </c>
      <c r="G22" s="45">
        <v>25</v>
      </c>
      <c r="H22" s="73">
        <v>6650</v>
      </c>
      <c r="I22" s="71">
        <f t="shared" si="0"/>
        <v>4189.5</v>
      </c>
    </row>
    <row r="23" spans="1:9" ht="23.25" customHeight="1" x14ac:dyDescent="0.35">
      <c r="A23" s="42">
        <v>17</v>
      </c>
      <c r="B23" s="42" t="s">
        <v>45</v>
      </c>
      <c r="C23" s="48" t="s">
        <v>46</v>
      </c>
      <c r="D23" s="45">
        <v>1.5</v>
      </c>
      <c r="E23" s="45">
        <v>1.1000000000000001</v>
      </c>
      <c r="F23" s="45">
        <v>25</v>
      </c>
      <c r="G23" s="45">
        <v>25</v>
      </c>
      <c r="H23" s="73">
        <v>8150</v>
      </c>
      <c r="I23" s="71">
        <f t="shared" si="0"/>
        <v>5134.5</v>
      </c>
    </row>
    <row r="24" spans="1:9" ht="23.25" customHeight="1" x14ac:dyDescent="0.35">
      <c r="A24" s="42">
        <v>18</v>
      </c>
      <c r="B24" s="42" t="s">
        <v>47</v>
      </c>
      <c r="C24" s="48" t="s">
        <v>48</v>
      </c>
      <c r="D24" s="45">
        <v>2</v>
      </c>
      <c r="E24" s="45">
        <v>1.5</v>
      </c>
      <c r="F24" s="45">
        <v>25</v>
      </c>
      <c r="G24" s="45">
        <v>25</v>
      </c>
      <c r="H24" s="73">
        <v>9190</v>
      </c>
      <c r="I24" s="71">
        <f t="shared" si="0"/>
        <v>5789.7</v>
      </c>
    </row>
    <row r="25" spans="1:9" ht="23.25" customHeight="1" x14ac:dyDescent="0.35">
      <c r="A25" s="43">
        <v>19</v>
      </c>
      <c r="B25" s="42" t="s">
        <v>49</v>
      </c>
      <c r="C25" s="48" t="s">
        <v>50</v>
      </c>
      <c r="D25" s="45">
        <v>0.5</v>
      </c>
      <c r="E25" s="45">
        <v>0.37</v>
      </c>
      <c r="F25" s="45">
        <v>25</v>
      </c>
      <c r="G25" s="45">
        <v>25</v>
      </c>
      <c r="H25" s="73">
        <v>3310</v>
      </c>
      <c r="I25" s="71">
        <f t="shared" si="0"/>
        <v>2085.3000000000002</v>
      </c>
    </row>
    <row r="26" spans="1:9" ht="23.25" customHeight="1" x14ac:dyDescent="0.35">
      <c r="A26" s="42">
        <v>20</v>
      </c>
      <c r="B26" s="43" t="s">
        <v>51</v>
      </c>
      <c r="C26" s="44" t="s">
        <v>52</v>
      </c>
      <c r="D26" s="45">
        <v>0.5</v>
      </c>
      <c r="E26" s="45">
        <v>0.37</v>
      </c>
      <c r="F26" s="45">
        <v>25</v>
      </c>
      <c r="G26" s="45">
        <v>25</v>
      </c>
      <c r="H26" s="74">
        <v>4380</v>
      </c>
      <c r="I26" s="71">
        <f t="shared" si="0"/>
        <v>2759.4</v>
      </c>
    </row>
    <row r="27" spans="1:9" ht="23.25" customHeight="1" x14ac:dyDescent="0.35">
      <c r="A27" s="42">
        <v>21</v>
      </c>
      <c r="B27" s="43" t="s">
        <v>53</v>
      </c>
      <c r="C27" s="44" t="s">
        <v>54</v>
      </c>
      <c r="D27" s="45">
        <v>1</v>
      </c>
      <c r="E27" s="45">
        <v>0.75</v>
      </c>
      <c r="F27" s="45">
        <v>25</v>
      </c>
      <c r="G27" s="45">
        <v>25</v>
      </c>
      <c r="H27" s="74">
        <v>5300</v>
      </c>
      <c r="I27" s="71">
        <f t="shared" si="0"/>
        <v>3339</v>
      </c>
    </row>
    <row r="28" spans="1:9" ht="23.25" customHeight="1" x14ac:dyDescent="0.35">
      <c r="A28" s="42">
        <v>22</v>
      </c>
      <c r="B28" s="42" t="s">
        <v>55</v>
      </c>
      <c r="C28" s="48" t="s">
        <v>56</v>
      </c>
      <c r="D28" s="45">
        <v>1.1000000000000001</v>
      </c>
      <c r="E28" s="45">
        <v>0.8</v>
      </c>
      <c r="F28" s="45">
        <v>25</v>
      </c>
      <c r="G28" s="45">
        <v>25</v>
      </c>
      <c r="H28" s="73">
        <v>5040</v>
      </c>
      <c r="I28" s="71">
        <f t="shared" si="0"/>
        <v>3175.2</v>
      </c>
    </row>
    <row r="29" spans="1:9" ht="23.25" customHeight="1" x14ac:dyDescent="0.35">
      <c r="A29" s="43">
        <v>23</v>
      </c>
      <c r="B29" s="42" t="s">
        <v>57</v>
      </c>
      <c r="C29" s="48" t="s">
        <v>58</v>
      </c>
      <c r="D29" s="45">
        <v>1.1000000000000001</v>
      </c>
      <c r="E29" s="45">
        <v>0.8</v>
      </c>
      <c r="F29" s="45">
        <v>25</v>
      </c>
      <c r="G29" s="45">
        <v>25</v>
      </c>
      <c r="H29" s="73">
        <v>5150</v>
      </c>
      <c r="I29" s="71">
        <f t="shared" si="0"/>
        <v>3244.5</v>
      </c>
    </row>
    <row r="30" spans="1:9" ht="23.25" customHeight="1" x14ac:dyDescent="0.35">
      <c r="A30" s="42">
        <v>24</v>
      </c>
      <c r="B30" s="43" t="s">
        <v>59</v>
      </c>
      <c r="C30" s="51" t="s">
        <v>60</v>
      </c>
      <c r="D30" s="45">
        <v>1.25</v>
      </c>
      <c r="E30" s="45">
        <v>0.94</v>
      </c>
      <c r="F30" s="45">
        <v>25</v>
      </c>
      <c r="G30" s="45">
        <v>25</v>
      </c>
      <c r="H30" s="73">
        <v>6630</v>
      </c>
      <c r="I30" s="71">
        <f t="shared" si="0"/>
        <v>4176.8999999999996</v>
      </c>
    </row>
    <row r="31" spans="1:9" ht="23.25" customHeight="1" x14ac:dyDescent="0.35">
      <c r="A31" s="42">
        <v>25</v>
      </c>
      <c r="B31" s="42" t="s">
        <v>61</v>
      </c>
      <c r="C31" s="48" t="s">
        <v>62</v>
      </c>
      <c r="D31" s="53">
        <v>0.5</v>
      </c>
      <c r="E31" s="53">
        <v>0.37</v>
      </c>
      <c r="F31" s="53">
        <v>25</v>
      </c>
      <c r="G31" s="53">
        <v>25</v>
      </c>
      <c r="H31" s="75">
        <v>4950</v>
      </c>
      <c r="I31" s="71">
        <f t="shared" si="0"/>
        <v>3118.5</v>
      </c>
    </row>
    <row r="32" spans="1:9" ht="23.25" customHeight="1" x14ac:dyDescent="0.35">
      <c r="A32" s="42">
        <v>26</v>
      </c>
      <c r="B32" s="42" t="s">
        <v>63</v>
      </c>
      <c r="C32" s="48" t="s">
        <v>64</v>
      </c>
      <c r="D32" s="53">
        <v>0.5</v>
      </c>
      <c r="E32" s="53">
        <v>0.37</v>
      </c>
      <c r="F32" s="53">
        <v>25</v>
      </c>
      <c r="G32" s="53">
        <v>25</v>
      </c>
      <c r="H32" s="75">
        <v>5000</v>
      </c>
      <c r="I32" s="71">
        <f t="shared" si="0"/>
        <v>3150</v>
      </c>
    </row>
    <row r="33" spans="1:9" ht="23.25" customHeight="1" x14ac:dyDescent="0.35">
      <c r="A33" s="43">
        <v>27</v>
      </c>
      <c r="B33" s="42" t="s">
        <v>65</v>
      </c>
      <c r="C33" s="48" t="s">
        <v>66</v>
      </c>
      <c r="D33" s="45">
        <v>1</v>
      </c>
      <c r="E33" s="45">
        <v>0.75</v>
      </c>
      <c r="F33" s="45">
        <v>25</v>
      </c>
      <c r="G33" s="45">
        <v>25</v>
      </c>
      <c r="H33" s="73">
        <v>5560</v>
      </c>
      <c r="I33" s="71">
        <f t="shared" si="0"/>
        <v>3502.8</v>
      </c>
    </row>
    <row r="34" spans="1:9" ht="23.25" customHeight="1" x14ac:dyDescent="0.35">
      <c r="A34" s="42">
        <v>28</v>
      </c>
      <c r="B34" s="42" t="s">
        <v>67</v>
      </c>
      <c r="C34" s="48" t="s">
        <v>68</v>
      </c>
      <c r="D34" s="45">
        <v>1</v>
      </c>
      <c r="E34" s="45">
        <v>0.75</v>
      </c>
      <c r="F34" s="45">
        <v>25</v>
      </c>
      <c r="G34" s="45">
        <v>25</v>
      </c>
      <c r="H34" s="73">
        <v>5650</v>
      </c>
      <c r="I34" s="71">
        <f t="shared" si="0"/>
        <v>3559.5</v>
      </c>
    </row>
    <row r="35" spans="1:9" ht="23.25" customHeight="1" x14ac:dyDescent="0.35">
      <c r="A35" s="42">
        <v>29</v>
      </c>
      <c r="B35" s="42" t="s">
        <v>69</v>
      </c>
      <c r="C35" s="48" t="s">
        <v>70</v>
      </c>
      <c r="D35" s="45">
        <v>1.5</v>
      </c>
      <c r="E35" s="45">
        <v>1.1000000000000001</v>
      </c>
      <c r="F35" s="45">
        <v>25</v>
      </c>
      <c r="G35" s="45">
        <v>25</v>
      </c>
      <c r="H35" s="73">
        <v>7840</v>
      </c>
      <c r="I35" s="71">
        <f t="shared" si="0"/>
        <v>4939.2</v>
      </c>
    </row>
    <row r="36" spans="1:9" ht="23.25" customHeight="1" x14ac:dyDescent="0.35">
      <c r="A36" s="42">
        <v>30</v>
      </c>
      <c r="B36" s="42" t="s">
        <v>71</v>
      </c>
      <c r="C36" s="48" t="s">
        <v>72</v>
      </c>
      <c r="D36" s="45">
        <v>1.5</v>
      </c>
      <c r="E36" s="45">
        <v>1.1000000000000001</v>
      </c>
      <c r="F36" s="45">
        <v>25</v>
      </c>
      <c r="G36" s="45">
        <v>25</v>
      </c>
      <c r="H36" s="73">
        <v>8170</v>
      </c>
      <c r="I36" s="71">
        <f t="shared" si="0"/>
        <v>5147.1000000000004</v>
      </c>
    </row>
    <row r="37" spans="1:9" ht="23.25" customHeight="1" x14ac:dyDescent="0.35">
      <c r="A37" s="43">
        <v>31</v>
      </c>
      <c r="B37" s="43" t="s">
        <v>73</v>
      </c>
      <c r="C37" s="44" t="s">
        <v>74</v>
      </c>
      <c r="D37" s="45">
        <v>0.5</v>
      </c>
      <c r="E37" s="45">
        <v>0.37</v>
      </c>
      <c r="F37" s="45">
        <v>25</v>
      </c>
      <c r="G37" s="45">
        <v>25</v>
      </c>
      <c r="H37" s="73">
        <v>6450</v>
      </c>
      <c r="I37" s="71">
        <f t="shared" si="0"/>
        <v>4063.5</v>
      </c>
    </row>
    <row r="38" spans="1:9" ht="23.25" customHeight="1" x14ac:dyDescent="0.35">
      <c r="A38" s="42">
        <v>32</v>
      </c>
      <c r="B38" s="42" t="s">
        <v>75</v>
      </c>
      <c r="C38" s="48" t="s">
        <v>76</v>
      </c>
      <c r="D38" s="55">
        <v>0.9</v>
      </c>
      <c r="E38" s="55">
        <v>0.7</v>
      </c>
      <c r="F38" s="55">
        <v>25</v>
      </c>
      <c r="G38" s="55">
        <v>25</v>
      </c>
      <c r="H38" s="73">
        <v>6640</v>
      </c>
      <c r="I38" s="71">
        <f t="shared" si="0"/>
        <v>4183.2</v>
      </c>
    </row>
    <row r="39" spans="1:9" ht="23.25" customHeight="1" x14ac:dyDescent="0.35">
      <c r="A39" s="42">
        <v>33</v>
      </c>
      <c r="B39" s="42" t="s">
        <v>77</v>
      </c>
      <c r="C39" s="48" t="s">
        <v>78</v>
      </c>
      <c r="D39" s="55">
        <v>1</v>
      </c>
      <c r="E39" s="55">
        <v>0.75</v>
      </c>
      <c r="F39" s="55">
        <v>25</v>
      </c>
      <c r="G39" s="55">
        <v>25</v>
      </c>
      <c r="H39" s="73">
        <v>7100</v>
      </c>
      <c r="I39" s="71">
        <f t="shared" si="0"/>
        <v>4473</v>
      </c>
    </row>
    <row r="40" spans="1:9" ht="23.25" customHeight="1" x14ac:dyDescent="0.35">
      <c r="A40" s="42">
        <v>34</v>
      </c>
      <c r="B40" s="43" t="s">
        <v>79</v>
      </c>
      <c r="C40" s="50" t="s">
        <v>80</v>
      </c>
      <c r="D40" s="55">
        <v>0.5</v>
      </c>
      <c r="E40" s="55">
        <v>0.37</v>
      </c>
      <c r="F40" s="55">
        <v>25</v>
      </c>
      <c r="G40" s="55">
        <v>25</v>
      </c>
      <c r="H40" s="73">
        <v>5500</v>
      </c>
      <c r="I40" s="71">
        <f t="shared" si="0"/>
        <v>3465</v>
      </c>
    </row>
    <row r="41" spans="1:9" ht="23.25" customHeight="1" x14ac:dyDescent="0.35">
      <c r="A41" s="43">
        <v>35</v>
      </c>
      <c r="B41" s="43"/>
      <c r="C41" s="50" t="s">
        <v>81</v>
      </c>
      <c r="D41" s="55">
        <v>1</v>
      </c>
      <c r="E41" s="55">
        <v>0.75</v>
      </c>
      <c r="F41" s="55">
        <v>25</v>
      </c>
      <c r="G41" s="55">
        <v>25</v>
      </c>
      <c r="H41" s="73">
        <v>6200</v>
      </c>
      <c r="I41" s="71">
        <f t="shared" si="0"/>
        <v>3906</v>
      </c>
    </row>
    <row r="42" spans="1:9" ht="23.25" customHeight="1" x14ac:dyDescent="0.35">
      <c r="A42" s="42">
        <v>36</v>
      </c>
      <c r="B42" s="43" t="s">
        <v>82</v>
      </c>
      <c r="C42" s="44" t="s">
        <v>83</v>
      </c>
      <c r="D42" s="56">
        <v>0.5</v>
      </c>
      <c r="E42" s="56">
        <v>0.37</v>
      </c>
      <c r="F42" s="56">
        <v>25</v>
      </c>
      <c r="G42" s="56">
        <v>25</v>
      </c>
      <c r="H42" s="73">
        <v>7140</v>
      </c>
      <c r="I42" s="71">
        <f t="shared" si="0"/>
        <v>4498.2</v>
      </c>
    </row>
    <row r="43" spans="1:9" ht="23.25" customHeight="1" x14ac:dyDescent="0.35">
      <c r="A43" s="42">
        <v>37</v>
      </c>
      <c r="B43" s="42" t="s">
        <v>84</v>
      </c>
      <c r="C43" s="48" t="s">
        <v>85</v>
      </c>
      <c r="D43" s="56">
        <v>1.1000000000000001</v>
      </c>
      <c r="E43" s="56">
        <v>0.8</v>
      </c>
      <c r="F43" s="56">
        <v>25</v>
      </c>
      <c r="G43" s="56">
        <v>25</v>
      </c>
      <c r="H43" s="73">
        <v>7700</v>
      </c>
      <c r="I43" s="71">
        <f t="shared" si="0"/>
        <v>4851</v>
      </c>
    </row>
    <row r="44" spans="1:9" ht="23.25" customHeight="1" x14ac:dyDescent="0.35">
      <c r="A44" s="42">
        <v>38</v>
      </c>
      <c r="B44" s="42" t="s">
        <v>86</v>
      </c>
      <c r="C44" s="48" t="s">
        <v>87</v>
      </c>
      <c r="D44" s="56">
        <v>1.5</v>
      </c>
      <c r="E44" s="56">
        <v>1.1000000000000001</v>
      </c>
      <c r="F44" s="56">
        <v>25</v>
      </c>
      <c r="G44" s="56">
        <v>25</v>
      </c>
      <c r="H44" s="73">
        <v>8690</v>
      </c>
      <c r="I44" s="71">
        <f t="shared" si="0"/>
        <v>5474.7</v>
      </c>
    </row>
    <row r="45" spans="1:9" ht="23.25" customHeight="1" x14ac:dyDescent="0.35">
      <c r="A45" s="43">
        <v>39</v>
      </c>
      <c r="B45" s="43" t="s">
        <v>88</v>
      </c>
      <c r="C45" s="44" t="s">
        <v>89</v>
      </c>
      <c r="D45" s="45">
        <v>0.5</v>
      </c>
      <c r="E45" s="45">
        <v>0.37</v>
      </c>
      <c r="F45" s="45">
        <v>25</v>
      </c>
      <c r="G45" s="45">
        <v>12</v>
      </c>
      <c r="H45" s="73">
        <v>4860</v>
      </c>
      <c r="I45" s="71">
        <f t="shared" si="0"/>
        <v>3061.8</v>
      </c>
    </row>
    <row r="46" spans="1:9" ht="23.25" customHeight="1" x14ac:dyDescent="0.35">
      <c r="A46" s="42">
        <v>40</v>
      </c>
      <c r="B46" s="43" t="s">
        <v>90</v>
      </c>
      <c r="C46" s="44" t="s">
        <v>91</v>
      </c>
      <c r="D46" s="45">
        <v>1</v>
      </c>
      <c r="E46" s="45">
        <v>0.75</v>
      </c>
      <c r="F46" s="45">
        <v>25</v>
      </c>
      <c r="G46" s="45">
        <v>25</v>
      </c>
      <c r="H46" s="73">
        <v>5600</v>
      </c>
      <c r="I46" s="71">
        <f t="shared" si="0"/>
        <v>3528</v>
      </c>
    </row>
    <row r="47" spans="1:9" ht="23.25" customHeight="1" x14ac:dyDescent="0.35">
      <c r="A47" s="42">
        <v>41</v>
      </c>
      <c r="B47" s="42" t="s">
        <v>92</v>
      </c>
      <c r="C47" s="48" t="s">
        <v>93</v>
      </c>
      <c r="D47" s="53">
        <v>1</v>
      </c>
      <c r="E47" s="53">
        <v>0.75</v>
      </c>
      <c r="F47" s="53">
        <v>25</v>
      </c>
      <c r="G47" s="53">
        <v>25</v>
      </c>
      <c r="H47" s="75">
        <v>8420</v>
      </c>
      <c r="I47" s="71">
        <f t="shared" si="0"/>
        <v>5304.6</v>
      </c>
    </row>
    <row r="48" spans="1:9" ht="23.25" customHeight="1" x14ac:dyDescent="0.35">
      <c r="A48" s="42">
        <v>42</v>
      </c>
      <c r="B48" s="42" t="s">
        <v>94</v>
      </c>
      <c r="C48" s="48" t="s">
        <v>95</v>
      </c>
      <c r="D48" s="45">
        <v>1.1000000000000001</v>
      </c>
      <c r="E48" s="45">
        <v>0.8</v>
      </c>
      <c r="F48" s="45">
        <v>25</v>
      </c>
      <c r="G48" s="45">
        <v>25</v>
      </c>
      <c r="H48" s="73">
        <v>12020</v>
      </c>
      <c r="I48" s="71">
        <f t="shared" si="0"/>
        <v>7572.6</v>
      </c>
    </row>
    <row r="49" spans="1:9" ht="23.25" customHeight="1" x14ac:dyDescent="0.35">
      <c r="A49" s="43">
        <v>43</v>
      </c>
      <c r="B49" s="43" t="s">
        <v>96</v>
      </c>
      <c r="C49" s="44" t="s">
        <v>97</v>
      </c>
      <c r="D49" s="45">
        <v>0.5</v>
      </c>
      <c r="E49" s="45">
        <v>0.37</v>
      </c>
      <c r="F49" s="45">
        <v>25</v>
      </c>
      <c r="G49" s="45">
        <v>25</v>
      </c>
      <c r="H49" s="73">
        <v>7530</v>
      </c>
      <c r="I49" s="71">
        <f t="shared" si="0"/>
        <v>4743.8999999999996</v>
      </c>
    </row>
    <row r="50" spans="1:9" ht="23.25" customHeight="1" x14ac:dyDescent="0.35">
      <c r="A50" s="42">
        <v>44</v>
      </c>
      <c r="B50" s="43" t="s">
        <v>98</v>
      </c>
      <c r="C50" s="44" t="s">
        <v>99</v>
      </c>
      <c r="D50" s="45">
        <v>1</v>
      </c>
      <c r="E50" s="45">
        <v>0.75</v>
      </c>
      <c r="F50" s="45">
        <v>25</v>
      </c>
      <c r="G50" s="45">
        <v>25</v>
      </c>
      <c r="H50" s="73">
        <v>9150</v>
      </c>
      <c r="I50" s="71">
        <f t="shared" si="0"/>
        <v>5764.5</v>
      </c>
    </row>
    <row r="51" spans="1:9" ht="23.25" customHeight="1" x14ac:dyDescent="0.35">
      <c r="A51" s="42">
        <v>45</v>
      </c>
      <c r="B51" s="43" t="s">
        <v>100</v>
      </c>
      <c r="C51" s="44" t="s">
        <v>101</v>
      </c>
      <c r="D51" s="45">
        <v>1</v>
      </c>
      <c r="E51" s="45">
        <v>0.75</v>
      </c>
      <c r="F51" s="45">
        <v>25</v>
      </c>
      <c r="G51" s="45">
        <v>25</v>
      </c>
      <c r="H51" s="76">
        <v>16800</v>
      </c>
      <c r="I51" s="71">
        <f t="shared" si="0"/>
        <v>10584</v>
      </c>
    </row>
    <row r="52" spans="1:9" ht="23.25" customHeight="1" x14ac:dyDescent="0.35">
      <c r="A52" s="42">
        <v>46</v>
      </c>
      <c r="B52" s="42" t="s">
        <v>102</v>
      </c>
      <c r="C52" s="48" t="s">
        <v>103</v>
      </c>
      <c r="D52" s="45">
        <v>0.5</v>
      </c>
      <c r="E52" s="45">
        <v>0.37</v>
      </c>
      <c r="F52" s="45">
        <v>25</v>
      </c>
      <c r="G52" s="45">
        <v>25</v>
      </c>
      <c r="H52" s="73">
        <v>17760</v>
      </c>
      <c r="I52" s="71">
        <f t="shared" si="0"/>
        <v>11188.8</v>
      </c>
    </row>
    <row r="53" spans="1:9" ht="23.25" customHeight="1" x14ac:dyDescent="0.35">
      <c r="A53" s="43">
        <v>47</v>
      </c>
      <c r="B53" s="42" t="s">
        <v>104</v>
      </c>
      <c r="C53" s="48" t="s">
        <v>105</v>
      </c>
      <c r="D53" s="45">
        <v>1</v>
      </c>
      <c r="E53" s="45">
        <v>0.75</v>
      </c>
      <c r="F53" s="45">
        <v>25</v>
      </c>
      <c r="G53" s="45">
        <v>25</v>
      </c>
      <c r="H53" s="73">
        <v>19120</v>
      </c>
      <c r="I53" s="71">
        <f t="shared" si="0"/>
        <v>12045.6</v>
      </c>
    </row>
    <row r="54" spans="1:9" ht="23.25" customHeight="1" x14ac:dyDescent="0.35">
      <c r="A54" s="42">
        <v>48</v>
      </c>
      <c r="B54" s="42" t="s">
        <v>106</v>
      </c>
      <c r="C54" s="48" t="s">
        <v>107</v>
      </c>
      <c r="D54" s="45">
        <v>1.1000000000000001</v>
      </c>
      <c r="E54" s="45">
        <v>0.8</v>
      </c>
      <c r="F54" s="45">
        <v>25</v>
      </c>
      <c r="G54" s="45">
        <v>25</v>
      </c>
      <c r="H54" s="73">
        <v>20900</v>
      </c>
      <c r="I54" s="71">
        <f>H54*0.63</f>
        <v>13167</v>
      </c>
    </row>
    <row r="55" spans="1:9" ht="23.25" customHeight="1" x14ac:dyDescent="0.35">
      <c r="A55" s="284" t="s">
        <v>108</v>
      </c>
      <c r="B55" s="284"/>
      <c r="C55" s="284"/>
      <c r="D55" s="284"/>
      <c r="E55" s="284"/>
      <c r="F55" s="284"/>
      <c r="G55" s="284"/>
      <c r="H55" s="281" t="s">
        <v>109</v>
      </c>
      <c r="I55" s="282" t="s">
        <v>498</v>
      </c>
    </row>
    <row r="56" spans="1:9" ht="23.25" customHeight="1" x14ac:dyDescent="0.35">
      <c r="A56" s="281" t="s">
        <v>2</v>
      </c>
      <c r="B56" s="281" t="s">
        <v>3</v>
      </c>
      <c r="C56" s="283" t="s">
        <v>4</v>
      </c>
      <c r="D56" s="281" t="s">
        <v>5</v>
      </c>
      <c r="E56" s="281"/>
      <c r="F56" s="281" t="s">
        <v>6</v>
      </c>
      <c r="G56" s="281"/>
      <c r="H56" s="281"/>
      <c r="I56" s="282"/>
    </row>
    <row r="57" spans="1:9" ht="23.25" customHeight="1" x14ac:dyDescent="0.35">
      <c r="A57" s="281"/>
      <c r="B57" s="281"/>
      <c r="C57" s="283"/>
      <c r="D57" s="58" t="s">
        <v>9</v>
      </c>
      <c r="E57" s="58" t="s">
        <v>10</v>
      </c>
      <c r="F57" s="58" t="s">
        <v>11</v>
      </c>
      <c r="G57" s="58" t="s">
        <v>12</v>
      </c>
      <c r="H57" s="281"/>
      <c r="I57" s="282"/>
    </row>
    <row r="58" spans="1:9" ht="23.25" customHeight="1" x14ac:dyDescent="0.35">
      <c r="A58" s="42">
        <v>1</v>
      </c>
      <c r="B58" s="42" t="s">
        <v>110</v>
      </c>
      <c r="C58" s="48" t="s">
        <v>111</v>
      </c>
      <c r="D58" s="286">
        <v>0.5</v>
      </c>
      <c r="E58" s="286">
        <v>0.37</v>
      </c>
      <c r="F58" s="45">
        <v>25</v>
      </c>
      <c r="G58" s="45">
        <v>25</v>
      </c>
      <c r="H58" s="73">
        <v>4680</v>
      </c>
      <c r="I58" s="71">
        <f>H58*0.63</f>
        <v>2948.4</v>
      </c>
    </row>
    <row r="59" spans="1:9" ht="23.25" customHeight="1" x14ac:dyDescent="0.35">
      <c r="A59" s="42">
        <v>2</v>
      </c>
      <c r="B59" s="42" t="s">
        <v>112</v>
      </c>
      <c r="C59" s="48" t="s">
        <v>113</v>
      </c>
      <c r="D59" s="286"/>
      <c r="E59" s="286"/>
      <c r="F59" s="45">
        <v>40</v>
      </c>
      <c r="G59" s="45">
        <v>40</v>
      </c>
      <c r="H59" s="73">
        <v>6430</v>
      </c>
      <c r="I59" s="71">
        <f t="shared" ref="I59:I113" si="1">H59*0.63</f>
        <v>4050.9</v>
      </c>
    </row>
    <row r="60" spans="1:9" ht="23.25" customHeight="1" x14ac:dyDescent="0.35">
      <c r="A60" s="43">
        <v>3</v>
      </c>
      <c r="B60" s="43" t="s">
        <v>114</v>
      </c>
      <c r="C60" s="60" t="s">
        <v>115</v>
      </c>
      <c r="D60" s="45">
        <v>0.75</v>
      </c>
      <c r="E60" s="45">
        <v>0.56000000000000005</v>
      </c>
      <c r="F60" s="45">
        <v>40</v>
      </c>
      <c r="G60" s="45">
        <v>40</v>
      </c>
      <c r="H60" s="76">
        <v>6240</v>
      </c>
      <c r="I60" s="71">
        <f t="shared" si="1"/>
        <v>3931.2</v>
      </c>
    </row>
    <row r="61" spans="1:9" ht="23.25" customHeight="1" x14ac:dyDescent="0.35">
      <c r="A61" s="42">
        <v>4</v>
      </c>
      <c r="B61" s="42" t="s">
        <v>116</v>
      </c>
      <c r="C61" s="48" t="s">
        <v>117</v>
      </c>
      <c r="D61" s="285">
        <v>1</v>
      </c>
      <c r="E61" s="285">
        <v>0.75</v>
      </c>
      <c r="F61" s="56">
        <v>25</v>
      </c>
      <c r="G61" s="56">
        <v>25</v>
      </c>
      <c r="H61" s="73">
        <v>7572</v>
      </c>
      <c r="I61" s="71">
        <f t="shared" si="1"/>
        <v>4770.3599999999997</v>
      </c>
    </row>
    <row r="62" spans="1:9" ht="23.25" customHeight="1" x14ac:dyDescent="0.35">
      <c r="A62" s="42">
        <v>5</v>
      </c>
      <c r="B62" s="42" t="s">
        <v>118</v>
      </c>
      <c r="C62" s="48" t="s">
        <v>119</v>
      </c>
      <c r="D62" s="285"/>
      <c r="E62" s="285"/>
      <c r="F62" s="56">
        <v>50</v>
      </c>
      <c r="G62" s="56">
        <v>50</v>
      </c>
      <c r="H62" s="73">
        <v>8900</v>
      </c>
      <c r="I62" s="71">
        <f t="shared" si="1"/>
        <v>5607</v>
      </c>
    </row>
    <row r="63" spans="1:9" ht="23.25" customHeight="1" x14ac:dyDescent="0.35">
      <c r="A63" s="43">
        <v>6</v>
      </c>
      <c r="B63" s="42" t="s">
        <v>120</v>
      </c>
      <c r="C63" s="48" t="s">
        <v>121</v>
      </c>
      <c r="D63" s="285"/>
      <c r="E63" s="285"/>
      <c r="F63" s="56">
        <v>50</v>
      </c>
      <c r="G63" s="56">
        <v>50</v>
      </c>
      <c r="H63" s="76">
        <v>9100</v>
      </c>
      <c r="I63" s="71">
        <f t="shared" si="1"/>
        <v>5733</v>
      </c>
    </row>
    <row r="64" spans="1:9" ht="23.25" customHeight="1" x14ac:dyDescent="0.35">
      <c r="A64" s="42">
        <v>7</v>
      </c>
      <c r="B64" s="43" t="s">
        <v>122</v>
      </c>
      <c r="C64" s="60" t="s">
        <v>123</v>
      </c>
      <c r="D64" s="285"/>
      <c r="E64" s="285"/>
      <c r="F64" s="56">
        <v>50</v>
      </c>
      <c r="G64" s="56">
        <v>50</v>
      </c>
      <c r="H64" s="76">
        <v>9000</v>
      </c>
      <c r="I64" s="71">
        <f t="shared" si="1"/>
        <v>5670</v>
      </c>
    </row>
    <row r="65" spans="1:9" ht="23.25" customHeight="1" x14ac:dyDescent="0.35">
      <c r="A65" s="42">
        <v>8</v>
      </c>
      <c r="B65" s="43" t="s">
        <v>124</v>
      </c>
      <c r="C65" s="61" t="s">
        <v>125</v>
      </c>
      <c r="D65" s="285"/>
      <c r="E65" s="285"/>
      <c r="F65" s="56">
        <v>75</v>
      </c>
      <c r="G65" s="56">
        <v>75</v>
      </c>
      <c r="H65" s="73">
        <v>10000</v>
      </c>
      <c r="I65" s="71">
        <f t="shared" si="1"/>
        <v>6300</v>
      </c>
    </row>
    <row r="66" spans="1:9" ht="23.25" customHeight="1" x14ac:dyDescent="0.35">
      <c r="A66" s="43">
        <v>9</v>
      </c>
      <c r="B66" s="43"/>
      <c r="C66" s="60" t="s">
        <v>126</v>
      </c>
      <c r="D66" s="285"/>
      <c r="E66" s="285"/>
      <c r="F66" s="56">
        <v>75</v>
      </c>
      <c r="G66" s="56">
        <v>75</v>
      </c>
      <c r="H66" s="76">
        <v>10200</v>
      </c>
      <c r="I66" s="71">
        <f t="shared" si="1"/>
        <v>6426</v>
      </c>
    </row>
    <row r="67" spans="1:9" ht="23.25" customHeight="1" x14ac:dyDescent="0.35">
      <c r="A67" s="42">
        <v>10</v>
      </c>
      <c r="B67" s="43" t="s">
        <v>127</v>
      </c>
      <c r="C67" s="61" t="s">
        <v>128</v>
      </c>
      <c r="D67" s="285">
        <v>1.5</v>
      </c>
      <c r="E67" s="285">
        <v>1.1000000000000001</v>
      </c>
      <c r="F67" s="56">
        <v>50</v>
      </c>
      <c r="G67" s="56">
        <v>50</v>
      </c>
      <c r="H67" s="76">
        <v>10420</v>
      </c>
      <c r="I67" s="71">
        <f t="shared" si="1"/>
        <v>6564.6</v>
      </c>
    </row>
    <row r="68" spans="1:9" ht="23.25" customHeight="1" x14ac:dyDescent="0.35">
      <c r="A68" s="42">
        <v>11</v>
      </c>
      <c r="B68" s="43" t="s">
        <v>129</v>
      </c>
      <c r="C68" s="60" t="s">
        <v>130</v>
      </c>
      <c r="D68" s="285"/>
      <c r="E68" s="285"/>
      <c r="F68" s="56">
        <v>50</v>
      </c>
      <c r="G68" s="56">
        <v>50</v>
      </c>
      <c r="H68" s="76">
        <v>10600</v>
      </c>
      <c r="I68" s="71">
        <f t="shared" si="1"/>
        <v>6678</v>
      </c>
    </row>
    <row r="69" spans="1:9" ht="23.25" customHeight="1" x14ac:dyDescent="0.35">
      <c r="A69" s="43">
        <v>12</v>
      </c>
      <c r="B69" s="43" t="s">
        <v>131</v>
      </c>
      <c r="C69" s="61" t="s">
        <v>132</v>
      </c>
      <c r="D69" s="285"/>
      <c r="E69" s="285"/>
      <c r="F69" s="56">
        <v>65</v>
      </c>
      <c r="G69" s="56">
        <v>50</v>
      </c>
      <c r="H69" s="76">
        <v>10600</v>
      </c>
      <c r="I69" s="71">
        <f t="shared" si="1"/>
        <v>6678</v>
      </c>
    </row>
    <row r="70" spans="1:9" ht="23.25" customHeight="1" x14ac:dyDescent="0.35">
      <c r="A70" s="42">
        <v>13</v>
      </c>
      <c r="B70" s="43" t="s">
        <v>133</v>
      </c>
      <c r="C70" s="60" t="s">
        <v>134</v>
      </c>
      <c r="D70" s="285"/>
      <c r="E70" s="285"/>
      <c r="F70" s="56">
        <v>65</v>
      </c>
      <c r="G70" s="56">
        <v>50</v>
      </c>
      <c r="H70" s="76">
        <v>10800</v>
      </c>
      <c r="I70" s="71">
        <f t="shared" si="1"/>
        <v>6804</v>
      </c>
    </row>
    <row r="71" spans="1:9" ht="23.25" customHeight="1" x14ac:dyDescent="0.35">
      <c r="A71" s="42">
        <v>14</v>
      </c>
      <c r="B71" s="43" t="s">
        <v>135</v>
      </c>
      <c r="C71" s="61" t="s">
        <v>136</v>
      </c>
      <c r="D71" s="285"/>
      <c r="E71" s="285"/>
      <c r="F71" s="56">
        <v>75</v>
      </c>
      <c r="G71" s="56">
        <v>75</v>
      </c>
      <c r="H71" s="73">
        <v>11000</v>
      </c>
      <c r="I71" s="71">
        <f t="shared" si="1"/>
        <v>6930</v>
      </c>
    </row>
    <row r="72" spans="1:9" ht="23.25" customHeight="1" x14ac:dyDescent="0.35">
      <c r="A72" s="43">
        <v>15</v>
      </c>
      <c r="B72" s="43" t="s">
        <v>137</v>
      </c>
      <c r="C72" s="60" t="s">
        <v>138</v>
      </c>
      <c r="D72" s="285"/>
      <c r="E72" s="285"/>
      <c r="F72" s="56">
        <v>75</v>
      </c>
      <c r="G72" s="56">
        <v>75</v>
      </c>
      <c r="H72" s="76">
        <v>11200</v>
      </c>
      <c r="I72" s="71">
        <f t="shared" si="1"/>
        <v>7056</v>
      </c>
    </row>
    <row r="73" spans="1:9" ht="23.25" customHeight="1" x14ac:dyDescent="0.35">
      <c r="A73" s="42">
        <v>16</v>
      </c>
      <c r="B73" s="43" t="s">
        <v>139</v>
      </c>
      <c r="C73" s="60" t="s">
        <v>140</v>
      </c>
      <c r="D73" s="285"/>
      <c r="E73" s="285"/>
      <c r="F73" s="56">
        <v>75</v>
      </c>
      <c r="G73" s="56">
        <v>75</v>
      </c>
      <c r="H73" s="76">
        <v>11200</v>
      </c>
      <c r="I73" s="71">
        <f t="shared" si="1"/>
        <v>7056</v>
      </c>
    </row>
    <row r="74" spans="1:9" ht="23.25" customHeight="1" x14ac:dyDescent="0.35">
      <c r="A74" s="42">
        <v>17</v>
      </c>
      <c r="B74" s="43" t="s">
        <v>141</v>
      </c>
      <c r="C74" s="61" t="s">
        <v>142</v>
      </c>
      <c r="D74" s="285">
        <v>2</v>
      </c>
      <c r="E74" s="285">
        <v>1.5</v>
      </c>
      <c r="F74" s="56">
        <v>50</v>
      </c>
      <c r="G74" s="56">
        <v>40</v>
      </c>
      <c r="H74" s="73">
        <v>15000</v>
      </c>
      <c r="I74" s="71">
        <f t="shared" si="1"/>
        <v>9450</v>
      </c>
    </row>
    <row r="75" spans="1:9" ht="23.25" customHeight="1" x14ac:dyDescent="0.35">
      <c r="A75" s="43">
        <v>18</v>
      </c>
      <c r="B75" s="43" t="s">
        <v>143</v>
      </c>
      <c r="C75" s="60" t="s">
        <v>144</v>
      </c>
      <c r="D75" s="285"/>
      <c r="E75" s="285"/>
      <c r="F75" s="56">
        <v>50</v>
      </c>
      <c r="G75" s="56">
        <v>40</v>
      </c>
      <c r="H75" s="76">
        <v>15200</v>
      </c>
      <c r="I75" s="71">
        <f t="shared" si="1"/>
        <v>9576</v>
      </c>
    </row>
    <row r="76" spans="1:9" ht="23.25" customHeight="1" x14ac:dyDescent="0.35">
      <c r="A76" s="42">
        <v>19</v>
      </c>
      <c r="B76" s="42" t="s">
        <v>145</v>
      </c>
      <c r="C76" s="48" t="s">
        <v>146</v>
      </c>
      <c r="D76" s="285"/>
      <c r="E76" s="285"/>
      <c r="F76" s="56">
        <v>50</v>
      </c>
      <c r="G76" s="56">
        <v>50</v>
      </c>
      <c r="H76" s="73">
        <v>13000</v>
      </c>
      <c r="I76" s="71">
        <f t="shared" si="1"/>
        <v>8190</v>
      </c>
    </row>
    <row r="77" spans="1:9" ht="23.25" customHeight="1" x14ac:dyDescent="0.35">
      <c r="A77" s="42">
        <v>20</v>
      </c>
      <c r="B77" s="43" t="s">
        <v>147</v>
      </c>
      <c r="C77" s="60" t="s">
        <v>148</v>
      </c>
      <c r="D77" s="285"/>
      <c r="E77" s="285"/>
      <c r="F77" s="56">
        <v>50</v>
      </c>
      <c r="G77" s="56">
        <v>50</v>
      </c>
      <c r="H77" s="76">
        <v>13200</v>
      </c>
      <c r="I77" s="71">
        <f t="shared" si="1"/>
        <v>8316</v>
      </c>
    </row>
    <row r="78" spans="1:9" ht="23.25" customHeight="1" x14ac:dyDescent="0.35">
      <c r="A78" s="43">
        <v>21</v>
      </c>
      <c r="B78" s="42" t="s">
        <v>149</v>
      </c>
      <c r="C78" s="48" t="s">
        <v>150</v>
      </c>
      <c r="D78" s="285"/>
      <c r="E78" s="285"/>
      <c r="F78" s="56">
        <v>65</v>
      </c>
      <c r="G78" s="56">
        <v>50</v>
      </c>
      <c r="H78" s="73">
        <v>13300</v>
      </c>
      <c r="I78" s="71">
        <f t="shared" si="1"/>
        <v>8379</v>
      </c>
    </row>
    <row r="79" spans="1:9" ht="23.25" customHeight="1" x14ac:dyDescent="0.35">
      <c r="A79" s="42">
        <v>22</v>
      </c>
      <c r="B79" s="42" t="s">
        <v>151</v>
      </c>
      <c r="C79" s="48" t="s">
        <v>152</v>
      </c>
      <c r="D79" s="285"/>
      <c r="E79" s="285"/>
      <c r="F79" s="56">
        <v>65</v>
      </c>
      <c r="G79" s="56">
        <v>50</v>
      </c>
      <c r="H79" s="76">
        <v>13500</v>
      </c>
      <c r="I79" s="71">
        <f t="shared" si="1"/>
        <v>8505</v>
      </c>
    </row>
    <row r="80" spans="1:9" ht="23.25" customHeight="1" x14ac:dyDescent="0.35">
      <c r="A80" s="42">
        <v>23</v>
      </c>
      <c r="B80" s="43" t="s">
        <v>153</v>
      </c>
      <c r="C80" s="60" t="s">
        <v>154</v>
      </c>
      <c r="D80" s="285"/>
      <c r="E80" s="285"/>
      <c r="F80" s="56">
        <v>65</v>
      </c>
      <c r="G80" s="56">
        <v>50</v>
      </c>
      <c r="H80" s="76">
        <v>13340</v>
      </c>
      <c r="I80" s="71">
        <f t="shared" si="1"/>
        <v>8404.2000000000007</v>
      </c>
    </row>
    <row r="81" spans="1:9" ht="23.25" customHeight="1" x14ac:dyDescent="0.35">
      <c r="A81" s="43">
        <v>24</v>
      </c>
      <c r="B81" s="42"/>
      <c r="C81" s="48" t="s">
        <v>155</v>
      </c>
      <c r="D81" s="285"/>
      <c r="E81" s="285"/>
      <c r="F81" s="56">
        <v>65</v>
      </c>
      <c r="G81" s="56">
        <v>50</v>
      </c>
      <c r="H81" s="73">
        <v>13300</v>
      </c>
      <c r="I81" s="71">
        <f t="shared" si="1"/>
        <v>8379</v>
      </c>
    </row>
    <row r="82" spans="1:9" ht="23.25" customHeight="1" x14ac:dyDescent="0.35">
      <c r="A82" s="42">
        <v>25</v>
      </c>
      <c r="B82" s="43" t="s">
        <v>156</v>
      </c>
      <c r="C82" s="60" t="s">
        <v>157</v>
      </c>
      <c r="D82" s="285"/>
      <c r="E82" s="285"/>
      <c r="F82" s="56">
        <v>75</v>
      </c>
      <c r="G82" s="56">
        <v>75</v>
      </c>
      <c r="H82" s="76">
        <v>13600</v>
      </c>
      <c r="I82" s="71">
        <f t="shared" si="1"/>
        <v>8568</v>
      </c>
    </row>
    <row r="83" spans="1:9" ht="23.25" customHeight="1" x14ac:dyDescent="0.35">
      <c r="A83" s="42">
        <v>26</v>
      </c>
      <c r="B83" s="42" t="s">
        <v>158</v>
      </c>
      <c r="C83" s="48" t="s">
        <v>159</v>
      </c>
      <c r="D83" s="285"/>
      <c r="E83" s="285"/>
      <c r="F83" s="56">
        <v>75</v>
      </c>
      <c r="G83" s="56">
        <v>75</v>
      </c>
      <c r="H83" s="73">
        <v>13450</v>
      </c>
      <c r="I83" s="71">
        <f t="shared" si="1"/>
        <v>8473.5</v>
      </c>
    </row>
    <row r="84" spans="1:9" ht="23.25" customHeight="1" x14ac:dyDescent="0.35">
      <c r="A84" s="43">
        <v>27</v>
      </c>
      <c r="B84" s="42" t="s">
        <v>160</v>
      </c>
      <c r="C84" s="48" t="s">
        <v>161</v>
      </c>
      <c r="D84" s="285"/>
      <c r="E84" s="285"/>
      <c r="F84" s="56">
        <v>75</v>
      </c>
      <c r="G84" s="56">
        <v>75</v>
      </c>
      <c r="H84" s="76">
        <v>13800</v>
      </c>
      <c r="I84" s="71">
        <f t="shared" si="1"/>
        <v>8694</v>
      </c>
    </row>
    <row r="85" spans="1:9" ht="23.25" customHeight="1" x14ac:dyDescent="0.35">
      <c r="A85" s="42">
        <v>28</v>
      </c>
      <c r="B85" s="42" t="s">
        <v>162</v>
      </c>
      <c r="C85" s="48" t="s">
        <v>163</v>
      </c>
      <c r="D85" s="285"/>
      <c r="E85" s="285"/>
      <c r="F85" s="56">
        <v>75</v>
      </c>
      <c r="G85" s="56">
        <v>75</v>
      </c>
      <c r="H85" s="76">
        <v>14000</v>
      </c>
      <c r="I85" s="71">
        <f t="shared" si="1"/>
        <v>8820</v>
      </c>
    </row>
    <row r="86" spans="1:9" ht="23.25" customHeight="1" x14ac:dyDescent="0.35">
      <c r="A86" s="42">
        <v>29</v>
      </c>
      <c r="B86" s="42" t="s">
        <v>164</v>
      </c>
      <c r="C86" s="48" t="s">
        <v>165</v>
      </c>
      <c r="D86" s="285"/>
      <c r="E86" s="285"/>
      <c r="F86" s="56">
        <v>75</v>
      </c>
      <c r="G86" s="56">
        <v>75</v>
      </c>
      <c r="H86" s="76">
        <v>14500</v>
      </c>
      <c r="I86" s="71">
        <f t="shared" si="1"/>
        <v>9135</v>
      </c>
    </row>
    <row r="87" spans="1:9" ht="23.25" customHeight="1" x14ac:dyDescent="0.35">
      <c r="A87" s="43">
        <v>30</v>
      </c>
      <c r="B87" s="43" t="s">
        <v>166</v>
      </c>
      <c r="C87" s="60" t="s">
        <v>167</v>
      </c>
      <c r="D87" s="285"/>
      <c r="E87" s="285"/>
      <c r="F87" s="56">
        <v>75</v>
      </c>
      <c r="G87" s="56">
        <v>75</v>
      </c>
      <c r="H87" s="76">
        <v>13550</v>
      </c>
      <c r="I87" s="71">
        <f t="shared" si="1"/>
        <v>8536.5</v>
      </c>
    </row>
    <row r="88" spans="1:9" ht="23.25" customHeight="1" x14ac:dyDescent="0.35">
      <c r="A88" s="42">
        <v>31</v>
      </c>
      <c r="B88" s="42" t="s">
        <v>168</v>
      </c>
      <c r="C88" s="48" t="s">
        <v>169</v>
      </c>
      <c r="D88" s="285"/>
      <c r="E88" s="285"/>
      <c r="F88" s="56">
        <v>75</v>
      </c>
      <c r="G88" s="56">
        <v>65</v>
      </c>
      <c r="H88" s="73">
        <v>13450</v>
      </c>
      <c r="I88" s="71">
        <f t="shared" si="1"/>
        <v>8473.5</v>
      </c>
    </row>
    <row r="89" spans="1:9" ht="23.25" customHeight="1" x14ac:dyDescent="0.35">
      <c r="A89" s="42">
        <v>32</v>
      </c>
      <c r="B89" s="42" t="s">
        <v>170</v>
      </c>
      <c r="C89" s="48" t="s">
        <v>171</v>
      </c>
      <c r="D89" s="285"/>
      <c r="E89" s="285"/>
      <c r="F89" s="56">
        <v>75</v>
      </c>
      <c r="G89" s="56">
        <v>65</v>
      </c>
      <c r="H89" s="76">
        <v>13740</v>
      </c>
      <c r="I89" s="71">
        <f t="shared" si="1"/>
        <v>8656.2000000000007</v>
      </c>
    </row>
    <row r="90" spans="1:9" ht="23.25" customHeight="1" x14ac:dyDescent="0.35">
      <c r="A90" s="43">
        <v>33</v>
      </c>
      <c r="B90" s="43"/>
      <c r="C90" s="61" t="s">
        <v>172</v>
      </c>
      <c r="D90" s="285"/>
      <c r="E90" s="285"/>
      <c r="F90" s="56">
        <v>100</v>
      </c>
      <c r="G90" s="56">
        <v>100</v>
      </c>
      <c r="H90" s="73">
        <v>15000</v>
      </c>
      <c r="I90" s="71">
        <f t="shared" si="1"/>
        <v>9450</v>
      </c>
    </row>
    <row r="91" spans="1:9" ht="23.25" customHeight="1" x14ac:dyDescent="0.35">
      <c r="A91" s="42">
        <v>34</v>
      </c>
      <c r="B91" s="43"/>
      <c r="C91" s="60" t="s">
        <v>173</v>
      </c>
      <c r="D91" s="285"/>
      <c r="E91" s="285"/>
      <c r="F91" s="56">
        <v>100</v>
      </c>
      <c r="G91" s="56">
        <v>100</v>
      </c>
      <c r="H91" s="76">
        <v>15200</v>
      </c>
      <c r="I91" s="71">
        <f t="shared" si="1"/>
        <v>9576</v>
      </c>
    </row>
    <row r="92" spans="1:9" ht="23.25" customHeight="1" x14ac:dyDescent="0.35">
      <c r="A92" s="42">
        <v>35</v>
      </c>
      <c r="B92" s="43"/>
      <c r="C92" s="61" t="s">
        <v>174</v>
      </c>
      <c r="D92" s="285">
        <v>3</v>
      </c>
      <c r="E92" s="285">
        <v>2.25</v>
      </c>
      <c r="F92" s="56">
        <v>50</v>
      </c>
      <c r="G92" s="56">
        <v>40</v>
      </c>
      <c r="H92" s="73">
        <v>18000</v>
      </c>
      <c r="I92" s="71">
        <f t="shared" si="1"/>
        <v>11340</v>
      </c>
    </row>
    <row r="93" spans="1:9" ht="23.25" customHeight="1" x14ac:dyDescent="0.35">
      <c r="A93" s="43">
        <v>36</v>
      </c>
      <c r="B93" s="43" t="s">
        <v>175</v>
      </c>
      <c r="C93" s="60" t="s">
        <v>176</v>
      </c>
      <c r="D93" s="285"/>
      <c r="E93" s="285"/>
      <c r="F93" s="56">
        <v>50</v>
      </c>
      <c r="G93" s="56">
        <v>40</v>
      </c>
      <c r="H93" s="76">
        <v>18560</v>
      </c>
      <c r="I93" s="71">
        <f t="shared" si="1"/>
        <v>11692.8</v>
      </c>
    </row>
    <row r="94" spans="1:9" ht="23.25" customHeight="1" x14ac:dyDescent="0.35">
      <c r="A94" s="42">
        <v>37</v>
      </c>
      <c r="B94" s="43" t="s">
        <v>177</v>
      </c>
      <c r="C94" s="61" t="s">
        <v>178</v>
      </c>
      <c r="D94" s="285"/>
      <c r="E94" s="285"/>
      <c r="F94" s="56">
        <v>50</v>
      </c>
      <c r="G94" s="56">
        <v>50</v>
      </c>
      <c r="H94" s="73">
        <v>18250</v>
      </c>
      <c r="I94" s="71">
        <f t="shared" si="1"/>
        <v>11497.5</v>
      </c>
    </row>
    <row r="95" spans="1:9" ht="23.25" customHeight="1" x14ac:dyDescent="0.35">
      <c r="A95" s="42">
        <v>38</v>
      </c>
      <c r="B95" s="43" t="s">
        <v>179</v>
      </c>
      <c r="C95" s="60" t="s">
        <v>180</v>
      </c>
      <c r="D95" s="285"/>
      <c r="E95" s="285"/>
      <c r="F95" s="56">
        <v>50</v>
      </c>
      <c r="G95" s="56">
        <v>50</v>
      </c>
      <c r="H95" s="76">
        <v>18670</v>
      </c>
      <c r="I95" s="71">
        <f t="shared" si="1"/>
        <v>11762.1</v>
      </c>
    </row>
    <row r="96" spans="1:9" ht="23.25" customHeight="1" x14ac:dyDescent="0.35">
      <c r="A96" s="43">
        <v>39</v>
      </c>
      <c r="B96" s="42" t="s">
        <v>181</v>
      </c>
      <c r="C96" s="48" t="s">
        <v>182</v>
      </c>
      <c r="D96" s="285"/>
      <c r="E96" s="285"/>
      <c r="F96" s="56">
        <v>65</v>
      </c>
      <c r="G96" s="56">
        <v>50</v>
      </c>
      <c r="H96" s="73">
        <v>18100</v>
      </c>
      <c r="I96" s="71">
        <f t="shared" si="1"/>
        <v>11403</v>
      </c>
    </row>
    <row r="97" spans="1:9" ht="23.25" customHeight="1" x14ac:dyDescent="0.35">
      <c r="A97" s="42">
        <v>40</v>
      </c>
      <c r="B97" s="42" t="s">
        <v>183</v>
      </c>
      <c r="C97" s="48" t="s">
        <v>184</v>
      </c>
      <c r="D97" s="285"/>
      <c r="E97" s="285"/>
      <c r="F97" s="56">
        <v>65</v>
      </c>
      <c r="G97" s="56">
        <v>50</v>
      </c>
      <c r="H97" s="76">
        <v>18770</v>
      </c>
      <c r="I97" s="71">
        <f t="shared" si="1"/>
        <v>11825.1</v>
      </c>
    </row>
    <row r="98" spans="1:9" ht="23.25" customHeight="1" x14ac:dyDescent="0.35">
      <c r="A98" s="42">
        <v>41</v>
      </c>
      <c r="B98" s="42" t="s">
        <v>185</v>
      </c>
      <c r="C98" s="48" t="s">
        <v>186</v>
      </c>
      <c r="D98" s="285"/>
      <c r="E98" s="285"/>
      <c r="F98" s="56">
        <v>75</v>
      </c>
      <c r="G98" s="56">
        <v>75</v>
      </c>
      <c r="H98" s="73">
        <v>18020</v>
      </c>
      <c r="I98" s="71">
        <f t="shared" si="1"/>
        <v>11352.6</v>
      </c>
    </row>
    <row r="99" spans="1:9" ht="23.25" customHeight="1" x14ac:dyDescent="0.35">
      <c r="A99" s="43">
        <v>42</v>
      </c>
      <c r="B99" s="42" t="s">
        <v>187</v>
      </c>
      <c r="C99" s="48" t="s">
        <v>188</v>
      </c>
      <c r="D99" s="285"/>
      <c r="E99" s="285"/>
      <c r="F99" s="56">
        <v>75</v>
      </c>
      <c r="G99" s="56">
        <v>75</v>
      </c>
      <c r="H99" s="76">
        <v>18680</v>
      </c>
      <c r="I99" s="71">
        <f t="shared" si="1"/>
        <v>11768.4</v>
      </c>
    </row>
    <row r="100" spans="1:9" ht="23.25" customHeight="1" x14ac:dyDescent="0.35">
      <c r="A100" s="42">
        <v>43</v>
      </c>
      <c r="B100" s="42" t="s">
        <v>189</v>
      </c>
      <c r="C100" s="48" t="s">
        <v>190</v>
      </c>
      <c r="D100" s="285"/>
      <c r="E100" s="285"/>
      <c r="F100" s="56">
        <v>100</v>
      </c>
      <c r="G100" s="56">
        <v>100</v>
      </c>
      <c r="H100" s="73">
        <v>19100</v>
      </c>
      <c r="I100" s="71">
        <f t="shared" si="1"/>
        <v>12033</v>
      </c>
    </row>
    <row r="101" spans="1:9" ht="23.25" customHeight="1" x14ac:dyDescent="0.35">
      <c r="A101" s="42">
        <v>44</v>
      </c>
      <c r="B101" s="42" t="s">
        <v>191</v>
      </c>
      <c r="C101" s="48" t="s">
        <v>192</v>
      </c>
      <c r="D101" s="285"/>
      <c r="E101" s="285"/>
      <c r="F101" s="56">
        <v>100</v>
      </c>
      <c r="G101" s="56">
        <v>100</v>
      </c>
      <c r="H101" s="76">
        <v>19500</v>
      </c>
      <c r="I101" s="71">
        <f t="shared" si="1"/>
        <v>12285</v>
      </c>
    </row>
    <row r="102" spans="1:9" ht="23.25" customHeight="1" x14ac:dyDescent="0.35">
      <c r="A102" s="43">
        <v>45</v>
      </c>
      <c r="B102" s="42" t="s">
        <v>193</v>
      </c>
      <c r="C102" s="48" t="s">
        <v>194</v>
      </c>
      <c r="D102" s="285"/>
      <c r="E102" s="285"/>
      <c r="F102" s="56">
        <v>100</v>
      </c>
      <c r="G102" s="56">
        <v>100</v>
      </c>
      <c r="H102" s="76">
        <v>14800</v>
      </c>
      <c r="I102" s="71">
        <f t="shared" si="1"/>
        <v>9324</v>
      </c>
    </row>
    <row r="103" spans="1:9" ht="23.25" customHeight="1" x14ac:dyDescent="0.35">
      <c r="A103" s="42">
        <v>46</v>
      </c>
      <c r="B103" s="43" t="s">
        <v>195</v>
      </c>
      <c r="C103" s="60" t="s">
        <v>196</v>
      </c>
      <c r="D103" s="285"/>
      <c r="E103" s="285"/>
      <c r="F103" s="56">
        <v>100</v>
      </c>
      <c r="G103" s="56">
        <v>100</v>
      </c>
      <c r="H103" s="76">
        <v>15000</v>
      </c>
      <c r="I103" s="71">
        <f t="shared" si="1"/>
        <v>9450</v>
      </c>
    </row>
    <row r="104" spans="1:9" ht="23.25" customHeight="1" x14ac:dyDescent="0.35">
      <c r="A104" s="42">
        <v>47</v>
      </c>
      <c r="B104" s="42" t="s">
        <v>197</v>
      </c>
      <c r="C104" s="48" t="s">
        <v>198</v>
      </c>
      <c r="D104" s="285">
        <v>5</v>
      </c>
      <c r="E104" s="285">
        <v>3.75</v>
      </c>
      <c r="F104" s="56">
        <v>80</v>
      </c>
      <c r="G104" s="56">
        <v>65</v>
      </c>
      <c r="H104" s="76">
        <v>24600</v>
      </c>
      <c r="I104" s="71">
        <f t="shared" si="1"/>
        <v>15498</v>
      </c>
    </row>
    <row r="105" spans="1:9" ht="23.25" customHeight="1" x14ac:dyDescent="0.35">
      <c r="A105" s="43">
        <v>48</v>
      </c>
      <c r="B105" s="43"/>
      <c r="C105" s="62" t="s">
        <v>199</v>
      </c>
      <c r="D105" s="285"/>
      <c r="E105" s="285"/>
      <c r="F105" s="56">
        <v>80</v>
      </c>
      <c r="G105" s="56">
        <v>65</v>
      </c>
      <c r="H105" s="76">
        <v>26000</v>
      </c>
      <c r="I105" s="71">
        <f t="shared" si="1"/>
        <v>16380</v>
      </c>
    </row>
    <row r="106" spans="1:9" ht="23.25" customHeight="1" x14ac:dyDescent="0.35">
      <c r="A106" s="42">
        <v>49</v>
      </c>
      <c r="B106" s="42" t="s">
        <v>200</v>
      </c>
      <c r="C106" s="62" t="s">
        <v>201</v>
      </c>
      <c r="D106" s="285"/>
      <c r="E106" s="285"/>
      <c r="F106" s="56">
        <v>80</v>
      </c>
      <c r="G106" s="56">
        <v>65</v>
      </c>
      <c r="H106" s="76">
        <v>23600</v>
      </c>
      <c r="I106" s="71">
        <f t="shared" si="1"/>
        <v>14868</v>
      </c>
    </row>
    <row r="107" spans="1:9" ht="23.25" customHeight="1" x14ac:dyDescent="0.35">
      <c r="A107" s="42">
        <v>50</v>
      </c>
      <c r="B107" s="43" t="s">
        <v>202</v>
      </c>
      <c r="C107" s="60" t="s">
        <v>203</v>
      </c>
      <c r="D107" s="63">
        <v>0.75</v>
      </c>
      <c r="E107" s="63">
        <v>0.56000000000000005</v>
      </c>
      <c r="F107" s="45">
        <v>25</v>
      </c>
      <c r="G107" s="45">
        <v>25</v>
      </c>
      <c r="H107" s="76">
        <v>5170</v>
      </c>
      <c r="I107" s="71">
        <f t="shared" si="1"/>
        <v>3257.1</v>
      </c>
    </row>
    <row r="108" spans="1:9" ht="23.25" customHeight="1" x14ac:dyDescent="0.35">
      <c r="A108" s="43">
        <v>51</v>
      </c>
      <c r="B108" s="43" t="s">
        <v>204</v>
      </c>
      <c r="C108" s="60" t="s">
        <v>205</v>
      </c>
      <c r="D108" s="285">
        <v>1</v>
      </c>
      <c r="E108" s="285">
        <v>0.75</v>
      </c>
      <c r="F108" s="56">
        <v>40</v>
      </c>
      <c r="G108" s="56">
        <v>40</v>
      </c>
      <c r="H108" s="76">
        <v>9000</v>
      </c>
      <c r="I108" s="71">
        <f t="shared" si="1"/>
        <v>5670</v>
      </c>
    </row>
    <row r="109" spans="1:9" ht="23.25" customHeight="1" x14ac:dyDescent="0.35">
      <c r="A109" s="42">
        <v>52</v>
      </c>
      <c r="B109" s="43"/>
      <c r="C109" s="60" t="s">
        <v>206</v>
      </c>
      <c r="D109" s="285"/>
      <c r="E109" s="285"/>
      <c r="F109" s="56">
        <v>40</v>
      </c>
      <c r="G109" s="56">
        <v>40</v>
      </c>
      <c r="H109" s="76">
        <v>9000</v>
      </c>
      <c r="I109" s="71">
        <f t="shared" si="1"/>
        <v>5670</v>
      </c>
    </row>
    <row r="110" spans="1:9" ht="23.25" customHeight="1" x14ac:dyDescent="0.35">
      <c r="A110" s="42">
        <v>53</v>
      </c>
      <c r="B110" s="43"/>
      <c r="C110" s="62" t="s">
        <v>207</v>
      </c>
      <c r="D110" s="285">
        <v>2</v>
      </c>
      <c r="E110" s="285">
        <v>1.5</v>
      </c>
      <c r="F110" s="56">
        <v>75</v>
      </c>
      <c r="G110" s="56">
        <v>75</v>
      </c>
      <c r="H110" s="76">
        <v>12500</v>
      </c>
      <c r="I110" s="71">
        <f t="shared" si="1"/>
        <v>7875</v>
      </c>
    </row>
    <row r="111" spans="1:9" ht="23.25" customHeight="1" x14ac:dyDescent="0.35">
      <c r="A111" s="43">
        <v>54</v>
      </c>
      <c r="B111" s="43" t="s">
        <v>208</v>
      </c>
      <c r="C111" s="62" t="s">
        <v>209</v>
      </c>
      <c r="D111" s="285"/>
      <c r="E111" s="285"/>
      <c r="F111" s="56">
        <v>75</v>
      </c>
      <c r="G111" s="56">
        <v>75</v>
      </c>
      <c r="H111" s="76">
        <v>12500</v>
      </c>
      <c r="I111" s="71">
        <f t="shared" si="1"/>
        <v>7875</v>
      </c>
    </row>
    <row r="112" spans="1:9" ht="23.25" customHeight="1" x14ac:dyDescent="0.35">
      <c r="A112" s="42">
        <v>55</v>
      </c>
      <c r="B112" s="43" t="s">
        <v>210</v>
      </c>
      <c r="C112" s="62" t="s">
        <v>211</v>
      </c>
      <c r="D112" s="285"/>
      <c r="E112" s="285"/>
      <c r="F112" s="56">
        <v>65</v>
      </c>
      <c r="G112" s="56">
        <v>50</v>
      </c>
      <c r="H112" s="76">
        <v>12200</v>
      </c>
      <c r="I112" s="71">
        <f t="shared" si="1"/>
        <v>7686</v>
      </c>
    </row>
    <row r="113" spans="1:9" ht="23.25" customHeight="1" x14ac:dyDescent="0.35">
      <c r="A113" s="42">
        <v>56</v>
      </c>
      <c r="B113" s="43" t="s">
        <v>212</v>
      </c>
      <c r="C113" s="62" t="s">
        <v>213</v>
      </c>
      <c r="D113" s="285"/>
      <c r="E113" s="285"/>
      <c r="F113" s="56">
        <v>50</v>
      </c>
      <c r="G113" s="56">
        <v>50</v>
      </c>
      <c r="H113" s="76">
        <v>12200</v>
      </c>
      <c r="I113" s="71">
        <f t="shared" si="1"/>
        <v>7686</v>
      </c>
    </row>
    <row r="114" spans="1:9" ht="23.25" customHeight="1" x14ac:dyDescent="0.35">
      <c r="A114" s="284" t="s">
        <v>214</v>
      </c>
      <c r="B114" s="284"/>
      <c r="C114" s="284"/>
      <c r="D114" s="284"/>
      <c r="E114" s="284"/>
      <c r="F114" s="284"/>
      <c r="G114" s="284"/>
      <c r="H114" s="281" t="s">
        <v>109</v>
      </c>
      <c r="I114" s="282" t="s">
        <v>498</v>
      </c>
    </row>
    <row r="115" spans="1:9" ht="23.25" customHeight="1" x14ac:dyDescent="0.35">
      <c r="A115" s="281" t="s">
        <v>2</v>
      </c>
      <c r="B115" s="281" t="s">
        <v>3</v>
      </c>
      <c r="C115" s="283" t="s">
        <v>4</v>
      </c>
      <c r="D115" s="281" t="s">
        <v>5</v>
      </c>
      <c r="E115" s="281"/>
      <c r="F115" s="281" t="s">
        <v>6</v>
      </c>
      <c r="G115" s="281"/>
      <c r="H115" s="281"/>
      <c r="I115" s="282"/>
    </row>
    <row r="116" spans="1:9" ht="23.25" customHeight="1" x14ac:dyDescent="0.35">
      <c r="A116" s="281"/>
      <c r="B116" s="281"/>
      <c r="C116" s="283"/>
      <c r="D116" s="58" t="s">
        <v>9</v>
      </c>
      <c r="E116" s="58" t="s">
        <v>10</v>
      </c>
      <c r="F116" s="58" t="s">
        <v>11</v>
      </c>
      <c r="G116" s="58" t="s">
        <v>12</v>
      </c>
      <c r="H116" s="281"/>
      <c r="I116" s="282"/>
    </row>
    <row r="117" spans="1:9" ht="23.25" customHeight="1" x14ac:dyDescent="0.35">
      <c r="A117" s="43">
        <v>1</v>
      </c>
      <c r="B117" s="43" t="s">
        <v>215</v>
      </c>
      <c r="C117" s="44" t="s">
        <v>216</v>
      </c>
      <c r="D117" s="45">
        <v>0.5</v>
      </c>
      <c r="E117" s="45">
        <v>0.37</v>
      </c>
      <c r="F117" s="45">
        <v>25</v>
      </c>
      <c r="G117" s="45">
        <v>25</v>
      </c>
      <c r="H117" s="46">
        <v>5370</v>
      </c>
      <c r="I117" s="71">
        <f t="shared" ref="I117:I128" si="2">H117*0.63</f>
        <v>3383.1</v>
      </c>
    </row>
    <row r="118" spans="1:9" ht="23.25" customHeight="1" x14ac:dyDescent="0.35">
      <c r="A118" s="43">
        <v>2</v>
      </c>
      <c r="B118" s="43" t="s">
        <v>217</v>
      </c>
      <c r="C118" s="44" t="s">
        <v>218</v>
      </c>
      <c r="D118" s="45">
        <v>1</v>
      </c>
      <c r="E118" s="45">
        <v>0.75</v>
      </c>
      <c r="F118" s="45">
        <v>25</v>
      </c>
      <c r="G118" s="45">
        <v>25</v>
      </c>
      <c r="H118" s="46">
        <v>7070</v>
      </c>
      <c r="I118" s="147">
        <v>4793</v>
      </c>
    </row>
    <row r="119" spans="1:9" ht="23.25" customHeight="1" x14ac:dyDescent="0.35">
      <c r="A119" s="43">
        <v>3</v>
      </c>
      <c r="B119" s="64" t="s">
        <v>219</v>
      </c>
      <c r="C119" s="65" t="s">
        <v>220</v>
      </c>
      <c r="D119" s="66">
        <v>2</v>
      </c>
      <c r="E119" s="43">
        <v>1.5</v>
      </c>
      <c r="F119" s="43">
        <v>50</v>
      </c>
      <c r="G119" s="43">
        <v>50</v>
      </c>
      <c r="H119" s="43">
        <v>12200</v>
      </c>
      <c r="I119" s="71">
        <f t="shared" si="2"/>
        <v>7686</v>
      </c>
    </row>
    <row r="120" spans="1:9" ht="23.25" customHeight="1" x14ac:dyDescent="0.35">
      <c r="A120" s="43">
        <v>4</v>
      </c>
      <c r="B120" s="64" t="s">
        <v>221</v>
      </c>
      <c r="C120" s="65" t="s">
        <v>222</v>
      </c>
      <c r="D120" s="66">
        <v>2</v>
      </c>
      <c r="E120" s="43">
        <v>1.5</v>
      </c>
      <c r="F120" s="43">
        <v>50</v>
      </c>
      <c r="G120" s="43">
        <v>50</v>
      </c>
      <c r="H120" s="43">
        <v>12200</v>
      </c>
      <c r="I120" s="71">
        <f t="shared" si="2"/>
        <v>7686</v>
      </c>
    </row>
    <row r="121" spans="1:9" ht="23.25" customHeight="1" x14ac:dyDescent="0.35">
      <c r="A121" s="43">
        <v>5</v>
      </c>
      <c r="B121" s="64" t="s">
        <v>223</v>
      </c>
      <c r="C121" s="65" t="s">
        <v>224</v>
      </c>
      <c r="D121" s="66">
        <v>2</v>
      </c>
      <c r="E121" s="43">
        <v>1.5</v>
      </c>
      <c r="F121" s="43">
        <v>65</v>
      </c>
      <c r="G121" s="43">
        <v>50</v>
      </c>
      <c r="H121" s="43">
        <v>12300</v>
      </c>
      <c r="I121" s="71">
        <f t="shared" si="2"/>
        <v>7749</v>
      </c>
    </row>
    <row r="122" spans="1:9" ht="23.25" customHeight="1" x14ac:dyDescent="0.35">
      <c r="A122" s="43">
        <v>6</v>
      </c>
      <c r="B122" s="64" t="s">
        <v>225</v>
      </c>
      <c r="C122" s="65" t="s">
        <v>226</v>
      </c>
      <c r="D122" s="66">
        <v>2</v>
      </c>
      <c r="E122" s="43">
        <v>1.5</v>
      </c>
      <c r="F122" s="43">
        <v>65</v>
      </c>
      <c r="G122" s="43">
        <v>50</v>
      </c>
      <c r="H122" s="43">
        <v>12300</v>
      </c>
      <c r="I122" s="71">
        <f t="shared" si="2"/>
        <v>7749</v>
      </c>
    </row>
    <row r="123" spans="1:9" ht="23.25" customHeight="1" x14ac:dyDescent="0.35">
      <c r="A123" s="43">
        <v>7</v>
      </c>
      <c r="B123" s="64" t="s">
        <v>227</v>
      </c>
      <c r="C123" s="65" t="s">
        <v>228</v>
      </c>
      <c r="D123" s="64">
        <v>3</v>
      </c>
      <c r="E123" s="43">
        <v>2.25</v>
      </c>
      <c r="F123" s="43">
        <v>65</v>
      </c>
      <c r="G123" s="43">
        <v>50</v>
      </c>
      <c r="H123" s="43">
        <v>12900</v>
      </c>
      <c r="I123" s="71">
        <f t="shared" si="2"/>
        <v>8127</v>
      </c>
    </row>
    <row r="124" spans="1:9" ht="23.25" customHeight="1" x14ac:dyDescent="0.35">
      <c r="A124" s="43">
        <v>8</v>
      </c>
      <c r="B124" s="64" t="s">
        <v>229</v>
      </c>
      <c r="C124" s="67" t="s">
        <v>230</v>
      </c>
      <c r="D124" s="64">
        <v>3</v>
      </c>
      <c r="E124" s="43">
        <v>2.25</v>
      </c>
      <c r="F124" s="43">
        <v>65</v>
      </c>
      <c r="G124" s="43">
        <v>50</v>
      </c>
      <c r="H124" s="43">
        <v>13000</v>
      </c>
      <c r="I124" s="71">
        <f t="shared" si="2"/>
        <v>8190</v>
      </c>
    </row>
    <row r="125" spans="1:9" ht="23.25" customHeight="1" x14ac:dyDescent="0.35">
      <c r="A125" s="43">
        <v>9</v>
      </c>
      <c r="B125" s="64" t="s">
        <v>231</v>
      </c>
      <c r="C125" s="67" t="s">
        <v>232</v>
      </c>
      <c r="D125" s="64">
        <v>3</v>
      </c>
      <c r="E125" s="43">
        <v>2.25</v>
      </c>
      <c r="F125" s="43">
        <v>65</v>
      </c>
      <c r="G125" s="43">
        <v>50</v>
      </c>
      <c r="H125" s="43">
        <v>12900</v>
      </c>
      <c r="I125" s="71">
        <f t="shared" si="2"/>
        <v>8127</v>
      </c>
    </row>
    <row r="126" spans="1:9" ht="23.25" customHeight="1" x14ac:dyDescent="0.35">
      <c r="A126" s="43">
        <v>10</v>
      </c>
      <c r="B126" s="64" t="s">
        <v>233</v>
      </c>
      <c r="C126" s="67" t="s">
        <v>234</v>
      </c>
      <c r="D126" s="64">
        <v>3</v>
      </c>
      <c r="E126" s="43">
        <v>2.25</v>
      </c>
      <c r="F126" s="43">
        <v>65</v>
      </c>
      <c r="G126" s="43">
        <v>50</v>
      </c>
      <c r="H126" s="43">
        <v>19300</v>
      </c>
      <c r="I126" s="71">
        <f t="shared" si="2"/>
        <v>12159</v>
      </c>
    </row>
    <row r="127" spans="1:9" ht="23.25" customHeight="1" x14ac:dyDescent="0.35">
      <c r="A127" s="43">
        <v>11</v>
      </c>
      <c r="B127" s="64" t="s">
        <v>235</v>
      </c>
      <c r="C127" s="67" t="s">
        <v>236</v>
      </c>
      <c r="D127" s="64">
        <v>5</v>
      </c>
      <c r="E127" s="56">
        <v>3.75</v>
      </c>
      <c r="F127" s="43">
        <v>65</v>
      </c>
      <c r="G127" s="43">
        <v>50</v>
      </c>
      <c r="H127" s="43">
        <v>18700</v>
      </c>
      <c r="I127" s="71">
        <f t="shared" si="2"/>
        <v>11781</v>
      </c>
    </row>
    <row r="128" spans="1:9" ht="23.25" customHeight="1" x14ac:dyDescent="0.35">
      <c r="A128" s="43">
        <v>12</v>
      </c>
      <c r="B128" s="64" t="s">
        <v>237</v>
      </c>
      <c r="C128" s="67" t="s">
        <v>238</v>
      </c>
      <c r="D128" s="64">
        <v>5</v>
      </c>
      <c r="E128" s="56">
        <v>3.75</v>
      </c>
      <c r="F128" s="43">
        <v>65</v>
      </c>
      <c r="G128" s="43">
        <v>50</v>
      </c>
      <c r="H128" s="43">
        <v>22900</v>
      </c>
      <c r="I128" s="71">
        <f t="shared" si="2"/>
        <v>14427</v>
      </c>
    </row>
    <row r="129" spans="1:9" ht="23.25" customHeight="1" x14ac:dyDescent="0.35">
      <c r="A129" s="284" t="s">
        <v>239</v>
      </c>
      <c r="B129" s="284"/>
      <c r="C129" s="284"/>
      <c r="D129" s="284"/>
      <c r="E129" s="284"/>
      <c r="F129" s="284"/>
      <c r="G129" s="284"/>
      <c r="H129" s="281" t="s">
        <v>109</v>
      </c>
      <c r="I129" s="282" t="s">
        <v>498</v>
      </c>
    </row>
    <row r="130" spans="1:9" ht="23.25" customHeight="1" x14ac:dyDescent="0.35">
      <c r="A130" s="281" t="s">
        <v>2</v>
      </c>
      <c r="B130" s="281" t="s">
        <v>3</v>
      </c>
      <c r="C130" s="283" t="s">
        <v>4</v>
      </c>
      <c r="D130" s="281" t="s">
        <v>5</v>
      </c>
      <c r="E130" s="281"/>
      <c r="F130" s="281" t="s">
        <v>6</v>
      </c>
      <c r="G130" s="281"/>
      <c r="H130" s="281"/>
      <c r="I130" s="282"/>
    </row>
    <row r="131" spans="1:9" ht="23.25" customHeight="1" x14ac:dyDescent="0.35">
      <c r="A131" s="281"/>
      <c r="B131" s="281"/>
      <c r="C131" s="283"/>
      <c r="D131" s="58" t="s">
        <v>9</v>
      </c>
      <c r="E131" s="58" t="s">
        <v>10</v>
      </c>
      <c r="F131" s="281"/>
      <c r="G131" s="281"/>
      <c r="H131" s="281"/>
      <c r="I131" s="282"/>
    </row>
    <row r="132" spans="1:9" ht="23.25" customHeight="1" x14ac:dyDescent="0.35">
      <c r="A132" s="43">
        <v>1</v>
      </c>
      <c r="B132" s="43" t="s">
        <v>240</v>
      </c>
      <c r="C132" s="68" t="s">
        <v>241</v>
      </c>
      <c r="D132" s="43">
        <v>0.5</v>
      </c>
      <c r="E132" s="43"/>
      <c r="F132" s="279">
        <v>32</v>
      </c>
      <c r="G132" s="279"/>
      <c r="H132" s="43">
        <v>8240</v>
      </c>
      <c r="I132" s="71">
        <f t="shared" ref="I132:I154" si="3">H132*0.63</f>
        <v>5191.2</v>
      </c>
    </row>
    <row r="133" spans="1:9" ht="23.25" customHeight="1" x14ac:dyDescent="0.35">
      <c r="A133" s="43">
        <v>2</v>
      </c>
      <c r="B133" s="43" t="s">
        <v>242</v>
      </c>
      <c r="C133" s="68" t="s">
        <v>243</v>
      </c>
      <c r="D133" s="43">
        <v>0.5</v>
      </c>
      <c r="E133" s="43"/>
      <c r="F133" s="279">
        <v>32</v>
      </c>
      <c r="G133" s="279"/>
      <c r="H133" s="43">
        <v>8450</v>
      </c>
      <c r="I133" s="71">
        <f t="shared" si="3"/>
        <v>5323.5</v>
      </c>
    </row>
    <row r="134" spans="1:9" ht="23.25" customHeight="1" x14ac:dyDescent="0.35">
      <c r="A134" s="43">
        <v>3</v>
      </c>
      <c r="B134" s="43" t="s">
        <v>244</v>
      </c>
      <c r="C134" s="68" t="s">
        <v>245</v>
      </c>
      <c r="D134" s="43">
        <v>0.75</v>
      </c>
      <c r="E134" s="43"/>
      <c r="F134" s="279">
        <v>32</v>
      </c>
      <c r="G134" s="279"/>
      <c r="H134" s="43">
        <v>8550</v>
      </c>
      <c r="I134" s="71">
        <f t="shared" si="3"/>
        <v>5386.5</v>
      </c>
    </row>
    <row r="135" spans="1:9" ht="23.25" customHeight="1" x14ac:dyDescent="0.35">
      <c r="A135" s="43">
        <v>4</v>
      </c>
      <c r="B135" s="43" t="s">
        <v>246</v>
      </c>
      <c r="C135" s="68" t="s">
        <v>247</v>
      </c>
      <c r="D135" s="43">
        <v>0.75</v>
      </c>
      <c r="E135" s="43"/>
      <c r="F135" s="279">
        <v>32</v>
      </c>
      <c r="G135" s="279"/>
      <c r="H135" s="43">
        <v>8750</v>
      </c>
      <c r="I135" s="71">
        <f t="shared" si="3"/>
        <v>5512.5</v>
      </c>
    </row>
    <row r="136" spans="1:9" ht="23.25" customHeight="1" x14ac:dyDescent="0.35">
      <c r="A136" s="43">
        <v>5</v>
      </c>
      <c r="B136" s="43" t="s">
        <v>248</v>
      </c>
      <c r="C136" s="68" t="s">
        <v>249</v>
      </c>
      <c r="D136" s="43">
        <v>1</v>
      </c>
      <c r="E136" s="43"/>
      <c r="F136" s="279">
        <v>32</v>
      </c>
      <c r="G136" s="279"/>
      <c r="H136" s="47">
        <v>8800</v>
      </c>
      <c r="I136" s="71">
        <f t="shared" si="3"/>
        <v>5544</v>
      </c>
    </row>
    <row r="137" spans="1:9" ht="23.25" customHeight="1" x14ac:dyDescent="0.35">
      <c r="A137" s="43">
        <v>6</v>
      </c>
      <c r="B137" s="43" t="s">
        <v>250</v>
      </c>
      <c r="C137" s="68" t="s">
        <v>251</v>
      </c>
      <c r="D137" s="43">
        <v>1</v>
      </c>
      <c r="E137" s="43"/>
      <c r="F137" s="279">
        <v>32</v>
      </c>
      <c r="G137" s="279"/>
      <c r="H137" s="47">
        <v>9000</v>
      </c>
      <c r="I137" s="71">
        <f t="shared" si="3"/>
        <v>5670</v>
      </c>
    </row>
    <row r="138" spans="1:9" ht="23.25" customHeight="1" x14ac:dyDescent="0.35">
      <c r="A138" s="43">
        <v>7</v>
      </c>
      <c r="B138" s="43" t="s">
        <v>252</v>
      </c>
      <c r="C138" s="68" t="s">
        <v>253</v>
      </c>
      <c r="D138" s="43">
        <v>1</v>
      </c>
      <c r="E138" s="43"/>
      <c r="F138" s="279">
        <v>32</v>
      </c>
      <c r="G138" s="279"/>
      <c r="H138" s="43">
        <v>9480</v>
      </c>
      <c r="I138" s="71">
        <f t="shared" si="3"/>
        <v>5972.4</v>
      </c>
    </row>
    <row r="139" spans="1:9" ht="23.25" customHeight="1" x14ac:dyDescent="0.35">
      <c r="A139" s="43">
        <v>8</v>
      </c>
      <c r="B139" s="43" t="s">
        <v>254</v>
      </c>
      <c r="C139" s="68" t="s">
        <v>255</v>
      </c>
      <c r="D139" s="43">
        <v>1</v>
      </c>
      <c r="E139" s="43"/>
      <c r="F139" s="279">
        <v>32</v>
      </c>
      <c r="G139" s="279"/>
      <c r="H139" s="43">
        <v>9790</v>
      </c>
      <c r="I139" s="71">
        <f t="shared" si="3"/>
        <v>6167.7</v>
      </c>
    </row>
    <row r="140" spans="1:9" ht="23.25" customHeight="1" x14ac:dyDescent="0.35">
      <c r="A140" s="43">
        <v>9</v>
      </c>
      <c r="B140" s="43" t="s">
        <v>256</v>
      </c>
      <c r="C140" s="68" t="s">
        <v>257</v>
      </c>
      <c r="D140" s="43">
        <v>1.5</v>
      </c>
      <c r="E140" s="43"/>
      <c r="F140" s="279">
        <v>32</v>
      </c>
      <c r="G140" s="279"/>
      <c r="H140" s="43">
        <v>11330</v>
      </c>
      <c r="I140" s="71">
        <f t="shared" si="3"/>
        <v>7137.9</v>
      </c>
    </row>
    <row r="141" spans="1:9" ht="23.25" customHeight="1" x14ac:dyDescent="0.35">
      <c r="A141" s="43">
        <v>10</v>
      </c>
      <c r="B141" s="43" t="s">
        <v>258</v>
      </c>
      <c r="C141" s="68" t="s">
        <v>259</v>
      </c>
      <c r="D141" s="43">
        <v>1.5</v>
      </c>
      <c r="E141" s="43"/>
      <c r="F141" s="279">
        <v>32</v>
      </c>
      <c r="G141" s="279"/>
      <c r="H141" s="43">
        <v>11640</v>
      </c>
      <c r="I141" s="71">
        <f t="shared" si="3"/>
        <v>7333.2</v>
      </c>
    </row>
    <row r="142" spans="1:9" ht="23.25" customHeight="1" x14ac:dyDescent="0.35">
      <c r="A142" s="43">
        <v>11</v>
      </c>
      <c r="B142" s="43" t="s">
        <v>260</v>
      </c>
      <c r="C142" s="68" t="s">
        <v>261</v>
      </c>
      <c r="D142" s="43">
        <v>1.5</v>
      </c>
      <c r="E142" s="43"/>
      <c r="F142" s="279">
        <v>32</v>
      </c>
      <c r="G142" s="279"/>
      <c r="H142" s="43">
        <v>11800</v>
      </c>
      <c r="I142" s="71">
        <f t="shared" si="3"/>
        <v>7434</v>
      </c>
    </row>
    <row r="143" spans="1:9" ht="23.25" customHeight="1" x14ac:dyDescent="0.35">
      <c r="A143" s="43">
        <v>12</v>
      </c>
      <c r="B143" s="43" t="s">
        <v>262</v>
      </c>
      <c r="C143" s="68" t="s">
        <v>263</v>
      </c>
      <c r="D143" s="43">
        <v>1.5</v>
      </c>
      <c r="E143" s="43"/>
      <c r="F143" s="279">
        <v>32</v>
      </c>
      <c r="G143" s="279"/>
      <c r="H143" s="43">
        <v>12670</v>
      </c>
      <c r="I143" s="71">
        <f t="shared" si="3"/>
        <v>7982.1</v>
      </c>
    </row>
    <row r="144" spans="1:9" ht="23.25" customHeight="1" x14ac:dyDescent="0.35">
      <c r="A144" s="43">
        <v>13</v>
      </c>
      <c r="B144" s="43" t="s">
        <v>264</v>
      </c>
      <c r="C144" s="68" t="s">
        <v>265</v>
      </c>
      <c r="D144" s="43">
        <v>2</v>
      </c>
      <c r="E144" s="43"/>
      <c r="F144" s="279">
        <v>40</v>
      </c>
      <c r="G144" s="279"/>
      <c r="H144" s="43">
        <v>14730</v>
      </c>
      <c r="I144" s="71">
        <f t="shared" si="3"/>
        <v>9279.9</v>
      </c>
    </row>
    <row r="145" spans="1:9" ht="23.25" customHeight="1" x14ac:dyDescent="0.35">
      <c r="A145" s="43">
        <v>14</v>
      </c>
      <c r="B145" s="43" t="s">
        <v>266</v>
      </c>
      <c r="C145" s="68" t="s">
        <v>267</v>
      </c>
      <c r="D145" s="43">
        <v>2</v>
      </c>
      <c r="E145" s="43"/>
      <c r="F145" s="279">
        <v>32</v>
      </c>
      <c r="G145" s="279"/>
      <c r="H145" s="43">
        <v>15250</v>
      </c>
      <c r="I145" s="71">
        <f t="shared" si="3"/>
        <v>9607.5</v>
      </c>
    </row>
    <row r="146" spans="1:9" ht="23.25" customHeight="1" x14ac:dyDescent="0.35">
      <c r="A146" s="43">
        <v>15</v>
      </c>
      <c r="B146" s="43" t="s">
        <v>268</v>
      </c>
      <c r="C146" s="68" t="s">
        <v>269</v>
      </c>
      <c r="D146" s="43">
        <v>2</v>
      </c>
      <c r="E146" s="43"/>
      <c r="F146" s="279">
        <v>32</v>
      </c>
      <c r="G146" s="279"/>
      <c r="H146" s="43">
        <v>15860</v>
      </c>
      <c r="I146" s="71">
        <f t="shared" si="3"/>
        <v>9991.7999999999993</v>
      </c>
    </row>
    <row r="147" spans="1:9" ht="23.25" customHeight="1" x14ac:dyDescent="0.35">
      <c r="A147" s="43">
        <v>16</v>
      </c>
      <c r="B147" s="43" t="s">
        <v>270</v>
      </c>
      <c r="C147" s="68" t="s">
        <v>271</v>
      </c>
      <c r="D147" s="43">
        <v>2</v>
      </c>
      <c r="E147" s="43"/>
      <c r="F147" s="279">
        <v>32</v>
      </c>
      <c r="G147" s="279"/>
      <c r="H147" s="43">
        <v>15970</v>
      </c>
      <c r="I147" s="71">
        <f t="shared" si="3"/>
        <v>10061.1</v>
      </c>
    </row>
    <row r="148" spans="1:9" ht="23.25" customHeight="1" x14ac:dyDescent="0.35">
      <c r="A148" s="43">
        <v>17</v>
      </c>
      <c r="B148" s="43" t="s">
        <v>272</v>
      </c>
      <c r="C148" s="68" t="s">
        <v>273</v>
      </c>
      <c r="D148" s="43">
        <v>2</v>
      </c>
      <c r="E148" s="43"/>
      <c r="F148" s="279">
        <v>32</v>
      </c>
      <c r="G148" s="279"/>
      <c r="H148" s="43">
        <v>16480</v>
      </c>
      <c r="I148" s="71">
        <f t="shared" si="3"/>
        <v>10382.4</v>
      </c>
    </row>
    <row r="149" spans="1:9" ht="23.25" customHeight="1" x14ac:dyDescent="0.35">
      <c r="A149" s="43">
        <v>18</v>
      </c>
      <c r="B149" s="43" t="s">
        <v>274</v>
      </c>
      <c r="C149" s="68" t="s">
        <v>275</v>
      </c>
      <c r="D149" s="43">
        <v>2</v>
      </c>
      <c r="E149" s="43"/>
      <c r="F149" s="279">
        <v>65</v>
      </c>
      <c r="G149" s="279"/>
      <c r="H149" s="43">
        <v>14940</v>
      </c>
      <c r="I149" s="71">
        <f t="shared" si="3"/>
        <v>9412.2000000000007</v>
      </c>
    </row>
    <row r="150" spans="1:9" ht="23.25" customHeight="1" x14ac:dyDescent="0.35">
      <c r="A150" s="43">
        <v>19</v>
      </c>
      <c r="B150" s="43" t="s">
        <v>276</v>
      </c>
      <c r="C150" s="68" t="s">
        <v>277</v>
      </c>
      <c r="D150" s="43">
        <v>3</v>
      </c>
      <c r="E150" s="43"/>
      <c r="F150" s="279">
        <v>32</v>
      </c>
      <c r="G150" s="279"/>
      <c r="H150" s="43">
        <v>23500</v>
      </c>
      <c r="I150" s="71">
        <f t="shared" si="3"/>
        <v>14805</v>
      </c>
    </row>
    <row r="151" spans="1:9" ht="23.25" customHeight="1" x14ac:dyDescent="0.35">
      <c r="A151" s="43">
        <v>20</v>
      </c>
      <c r="B151" s="43" t="s">
        <v>278</v>
      </c>
      <c r="C151" s="68" t="s">
        <v>279</v>
      </c>
      <c r="D151" s="43">
        <v>3</v>
      </c>
      <c r="E151" s="43"/>
      <c r="F151" s="279">
        <v>32</v>
      </c>
      <c r="G151" s="279"/>
      <c r="H151" s="43">
        <v>24000</v>
      </c>
      <c r="I151" s="71">
        <f t="shared" si="3"/>
        <v>15120</v>
      </c>
    </row>
    <row r="152" spans="1:9" ht="23.25" customHeight="1" x14ac:dyDescent="0.35">
      <c r="A152" s="43">
        <v>21</v>
      </c>
      <c r="B152" s="43" t="s">
        <v>280</v>
      </c>
      <c r="C152" s="68" t="s">
        <v>281</v>
      </c>
      <c r="D152" s="43">
        <v>3</v>
      </c>
      <c r="E152" s="43"/>
      <c r="F152" s="279">
        <v>32</v>
      </c>
      <c r="G152" s="279"/>
      <c r="H152" s="43">
        <v>24500</v>
      </c>
      <c r="I152" s="71">
        <f t="shared" si="3"/>
        <v>15435</v>
      </c>
    </row>
    <row r="153" spans="1:9" ht="23.25" customHeight="1" x14ac:dyDescent="0.35">
      <c r="A153" s="43">
        <v>22</v>
      </c>
      <c r="B153" s="43" t="s">
        <v>282</v>
      </c>
      <c r="C153" s="68" t="s">
        <v>283</v>
      </c>
      <c r="D153" s="43">
        <v>3</v>
      </c>
      <c r="E153" s="43"/>
      <c r="F153" s="279">
        <v>65</v>
      </c>
      <c r="G153" s="279"/>
      <c r="H153" s="43">
        <v>23690</v>
      </c>
      <c r="I153" s="71">
        <f t="shared" si="3"/>
        <v>14924.7</v>
      </c>
    </row>
    <row r="154" spans="1:9" ht="23.25" customHeight="1" x14ac:dyDescent="0.35">
      <c r="A154" s="43">
        <v>23</v>
      </c>
      <c r="B154" s="43" t="s">
        <v>284</v>
      </c>
      <c r="C154" s="68" t="s">
        <v>283</v>
      </c>
      <c r="D154" s="43">
        <v>3</v>
      </c>
      <c r="E154" s="43"/>
      <c r="F154" s="279">
        <v>65</v>
      </c>
      <c r="G154" s="279"/>
      <c r="H154" s="43">
        <v>15450</v>
      </c>
      <c r="I154" s="71">
        <f t="shared" si="3"/>
        <v>9733.5</v>
      </c>
    </row>
    <row r="155" spans="1:9" ht="23.25" customHeight="1" x14ac:dyDescent="0.35">
      <c r="A155" s="284" t="s">
        <v>285</v>
      </c>
      <c r="B155" s="284"/>
      <c r="C155" s="284"/>
      <c r="D155" s="284"/>
      <c r="E155" s="284"/>
      <c r="F155" s="284"/>
      <c r="G155" s="284"/>
      <c r="H155" s="281" t="s">
        <v>109</v>
      </c>
      <c r="I155" s="282" t="s">
        <v>498</v>
      </c>
    </row>
    <row r="156" spans="1:9" ht="23.25" customHeight="1" x14ac:dyDescent="0.35">
      <c r="A156" s="281" t="s">
        <v>2</v>
      </c>
      <c r="B156" s="281" t="s">
        <v>3</v>
      </c>
      <c r="C156" s="283" t="s">
        <v>4</v>
      </c>
      <c r="D156" s="281" t="s">
        <v>5</v>
      </c>
      <c r="E156" s="281"/>
      <c r="F156" s="281" t="s">
        <v>6</v>
      </c>
      <c r="G156" s="281"/>
      <c r="H156" s="281"/>
      <c r="I156" s="282"/>
    </row>
    <row r="157" spans="1:9" ht="23.25" customHeight="1" x14ac:dyDescent="0.35">
      <c r="A157" s="281"/>
      <c r="B157" s="281"/>
      <c r="C157" s="283"/>
      <c r="D157" s="58" t="s">
        <v>9</v>
      </c>
      <c r="E157" s="58" t="s">
        <v>10</v>
      </c>
      <c r="F157" s="58" t="s">
        <v>11</v>
      </c>
      <c r="G157" s="58" t="s">
        <v>12</v>
      </c>
      <c r="H157" s="281"/>
      <c r="I157" s="282"/>
    </row>
    <row r="158" spans="1:9" ht="23.25" customHeight="1" x14ac:dyDescent="0.35">
      <c r="A158" s="43">
        <v>1</v>
      </c>
      <c r="B158" s="43" t="s">
        <v>286</v>
      </c>
      <c r="C158" s="68" t="s">
        <v>287</v>
      </c>
      <c r="D158" s="43">
        <v>0.5</v>
      </c>
      <c r="E158" s="43"/>
      <c r="F158" s="279">
        <v>32</v>
      </c>
      <c r="G158" s="279"/>
      <c r="H158" s="43">
        <v>6800</v>
      </c>
      <c r="I158" s="71">
        <f t="shared" ref="I158:I174" si="4">H158*0.63</f>
        <v>4284</v>
      </c>
    </row>
    <row r="159" spans="1:9" ht="23.25" customHeight="1" x14ac:dyDescent="0.35">
      <c r="A159" s="43">
        <v>2</v>
      </c>
      <c r="B159" s="43" t="s">
        <v>288</v>
      </c>
      <c r="C159" s="68" t="s">
        <v>289</v>
      </c>
      <c r="D159" s="43">
        <v>0.5</v>
      </c>
      <c r="E159" s="43"/>
      <c r="F159" s="279">
        <v>32</v>
      </c>
      <c r="G159" s="279"/>
      <c r="H159" s="43">
        <v>7600</v>
      </c>
      <c r="I159" s="71">
        <f t="shared" si="4"/>
        <v>4788</v>
      </c>
    </row>
    <row r="160" spans="1:9" ht="23.25" customHeight="1" x14ac:dyDescent="0.35">
      <c r="A160" s="43">
        <v>3</v>
      </c>
      <c r="B160" s="43" t="s">
        <v>290</v>
      </c>
      <c r="C160" s="68" t="s">
        <v>291</v>
      </c>
      <c r="D160" s="43">
        <v>0.75</v>
      </c>
      <c r="E160" s="43"/>
      <c r="F160" s="279">
        <v>32</v>
      </c>
      <c r="G160" s="279"/>
      <c r="H160" s="43">
        <v>7800</v>
      </c>
      <c r="I160" s="71">
        <f t="shared" si="4"/>
        <v>4914</v>
      </c>
    </row>
    <row r="161" spans="1:9" ht="23.25" customHeight="1" x14ac:dyDescent="0.35">
      <c r="A161" s="43">
        <v>4</v>
      </c>
      <c r="B161" s="43" t="s">
        <v>292</v>
      </c>
      <c r="C161" s="68" t="s">
        <v>293</v>
      </c>
      <c r="D161" s="43">
        <v>0.75</v>
      </c>
      <c r="E161" s="43"/>
      <c r="F161" s="279">
        <v>32</v>
      </c>
      <c r="G161" s="279"/>
      <c r="H161" s="43">
        <v>8000</v>
      </c>
      <c r="I161" s="71">
        <f t="shared" si="4"/>
        <v>5040</v>
      </c>
    </row>
    <row r="162" spans="1:9" ht="23.25" customHeight="1" x14ac:dyDescent="0.35">
      <c r="A162" s="43">
        <v>5</v>
      </c>
      <c r="B162" s="43" t="s">
        <v>294</v>
      </c>
      <c r="C162" s="68" t="s">
        <v>295</v>
      </c>
      <c r="D162" s="43">
        <v>1</v>
      </c>
      <c r="E162" s="43"/>
      <c r="F162" s="279">
        <v>32</v>
      </c>
      <c r="G162" s="279"/>
      <c r="H162" s="43">
        <v>8200</v>
      </c>
      <c r="I162" s="71">
        <f t="shared" si="4"/>
        <v>5166</v>
      </c>
    </row>
    <row r="163" spans="1:9" ht="23.25" customHeight="1" x14ac:dyDescent="0.35">
      <c r="A163" s="43">
        <v>6</v>
      </c>
      <c r="B163" s="43" t="s">
        <v>296</v>
      </c>
      <c r="C163" s="68" t="s">
        <v>297</v>
      </c>
      <c r="D163" s="43">
        <v>1</v>
      </c>
      <c r="E163" s="43"/>
      <c r="F163" s="279">
        <v>32</v>
      </c>
      <c r="G163" s="279"/>
      <c r="H163" s="43">
        <v>8400</v>
      </c>
      <c r="I163" s="71">
        <f t="shared" si="4"/>
        <v>5292</v>
      </c>
    </row>
    <row r="164" spans="1:9" ht="23.25" customHeight="1" x14ac:dyDescent="0.35">
      <c r="A164" s="43">
        <v>7</v>
      </c>
      <c r="B164" s="43" t="s">
        <v>298</v>
      </c>
      <c r="C164" s="68" t="s">
        <v>299</v>
      </c>
      <c r="D164" s="43">
        <v>1</v>
      </c>
      <c r="E164" s="43"/>
      <c r="F164" s="279">
        <v>32</v>
      </c>
      <c r="G164" s="279"/>
      <c r="H164" s="43">
        <v>8600</v>
      </c>
      <c r="I164" s="71">
        <f t="shared" si="4"/>
        <v>5418</v>
      </c>
    </row>
    <row r="165" spans="1:9" ht="23.25" customHeight="1" x14ac:dyDescent="0.35">
      <c r="A165" s="43">
        <v>8</v>
      </c>
      <c r="B165" s="43" t="s">
        <v>300</v>
      </c>
      <c r="C165" s="68" t="s">
        <v>301</v>
      </c>
      <c r="D165" s="43">
        <v>1.5</v>
      </c>
      <c r="E165" s="43"/>
      <c r="F165" s="279">
        <v>32</v>
      </c>
      <c r="G165" s="279"/>
      <c r="H165" s="43">
        <v>9000</v>
      </c>
      <c r="I165" s="71">
        <f t="shared" si="4"/>
        <v>5670</v>
      </c>
    </row>
    <row r="166" spans="1:9" ht="23.25" customHeight="1" x14ac:dyDescent="0.35">
      <c r="A166" s="43">
        <v>9</v>
      </c>
      <c r="B166" s="43" t="s">
        <v>302</v>
      </c>
      <c r="C166" s="68" t="s">
        <v>303</v>
      </c>
      <c r="D166" s="43">
        <v>1.5</v>
      </c>
      <c r="E166" s="43"/>
      <c r="F166" s="279">
        <v>32</v>
      </c>
      <c r="G166" s="279"/>
      <c r="H166" s="43">
        <v>10600</v>
      </c>
      <c r="I166" s="71">
        <f t="shared" si="4"/>
        <v>6678</v>
      </c>
    </row>
    <row r="167" spans="1:9" ht="23.25" customHeight="1" x14ac:dyDescent="0.35">
      <c r="A167" s="43">
        <v>10</v>
      </c>
      <c r="B167" s="43" t="s">
        <v>304</v>
      </c>
      <c r="C167" s="68" t="s">
        <v>305</v>
      </c>
      <c r="D167" s="43">
        <v>1.5</v>
      </c>
      <c r="E167" s="43"/>
      <c r="F167" s="279">
        <v>32</v>
      </c>
      <c r="G167" s="279"/>
      <c r="H167" s="43">
        <v>11000</v>
      </c>
      <c r="I167" s="71">
        <f t="shared" si="4"/>
        <v>6930</v>
      </c>
    </row>
    <row r="168" spans="1:9" ht="23.25" customHeight="1" x14ac:dyDescent="0.35">
      <c r="A168" s="43">
        <v>11</v>
      </c>
      <c r="B168" s="43" t="s">
        <v>306</v>
      </c>
      <c r="C168" s="68" t="s">
        <v>307</v>
      </c>
      <c r="D168" s="43">
        <v>2</v>
      </c>
      <c r="E168" s="43"/>
      <c r="F168" s="279">
        <v>32</v>
      </c>
      <c r="G168" s="279"/>
      <c r="H168" s="43">
        <v>13000</v>
      </c>
      <c r="I168" s="71">
        <f t="shared" si="4"/>
        <v>8190</v>
      </c>
    </row>
    <row r="169" spans="1:9" ht="23.25" customHeight="1" x14ac:dyDescent="0.35">
      <c r="A169" s="43">
        <v>12</v>
      </c>
      <c r="B169" s="43" t="s">
        <v>308</v>
      </c>
      <c r="C169" s="68" t="s">
        <v>309</v>
      </c>
      <c r="D169" s="43">
        <v>2</v>
      </c>
      <c r="E169" s="43"/>
      <c r="F169" s="279">
        <v>32</v>
      </c>
      <c r="G169" s="279"/>
      <c r="H169" s="43">
        <v>15500</v>
      </c>
      <c r="I169" s="71">
        <f t="shared" si="4"/>
        <v>9765</v>
      </c>
    </row>
    <row r="170" spans="1:9" ht="23.25" customHeight="1" x14ac:dyDescent="0.35">
      <c r="A170" s="43">
        <v>13</v>
      </c>
      <c r="B170" s="43" t="s">
        <v>310</v>
      </c>
      <c r="C170" s="68" t="s">
        <v>311</v>
      </c>
      <c r="D170" s="43">
        <v>3</v>
      </c>
      <c r="E170" s="43"/>
      <c r="F170" s="279">
        <v>32</v>
      </c>
      <c r="G170" s="279"/>
      <c r="H170" s="43">
        <v>19000</v>
      </c>
      <c r="I170" s="71">
        <f t="shared" si="4"/>
        <v>11970</v>
      </c>
    </row>
    <row r="171" spans="1:9" ht="23.25" customHeight="1" x14ac:dyDescent="0.35">
      <c r="A171" s="43">
        <v>14</v>
      </c>
      <c r="B171" s="43" t="s">
        <v>312</v>
      </c>
      <c r="C171" s="68" t="s">
        <v>313</v>
      </c>
      <c r="D171" s="43">
        <v>3</v>
      </c>
      <c r="E171" s="43"/>
      <c r="F171" s="279">
        <v>32</v>
      </c>
      <c r="G171" s="279"/>
      <c r="H171" s="43">
        <v>20000</v>
      </c>
      <c r="I171" s="71">
        <f t="shared" si="4"/>
        <v>12600</v>
      </c>
    </row>
    <row r="172" spans="1:9" ht="23.25" customHeight="1" x14ac:dyDescent="0.35">
      <c r="A172" s="43">
        <v>15</v>
      </c>
      <c r="B172" s="43" t="s">
        <v>314</v>
      </c>
      <c r="C172" s="68" t="s">
        <v>315</v>
      </c>
      <c r="D172" s="43">
        <v>3</v>
      </c>
      <c r="E172" s="43"/>
      <c r="F172" s="279">
        <v>32</v>
      </c>
      <c r="G172" s="279"/>
      <c r="H172" s="43">
        <v>20500</v>
      </c>
      <c r="I172" s="71">
        <f t="shared" si="4"/>
        <v>12915</v>
      </c>
    </row>
    <row r="173" spans="1:9" ht="23.25" customHeight="1" x14ac:dyDescent="0.35">
      <c r="A173" s="69">
        <v>14</v>
      </c>
      <c r="B173" s="69" t="s">
        <v>312</v>
      </c>
      <c r="C173" s="70" t="s">
        <v>313</v>
      </c>
      <c r="D173" s="69">
        <v>3</v>
      </c>
      <c r="E173" s="69"/>
      <c r="F173" s="280">
        <v>32</v>
      </c>
      <c r="G173" s="280"/>
      <c r="H173" s="71">
        <v>12600</v>
      </c>
      <c r="I173" s="71">
        <f t="shared" si="4"/>
        <v>7938</v>
      </c>
    </row>
    <row r="174" spans="1:9" ht="23.25" customHeight="1" x14ac:dyDescent="0.35">
      <c r="A174" s="69">
        <v>15</v>
      </c>
      <c r="B174" s="69" t="s">
        <v>314</v>
      </c>
      <c r="C174" s="70" t="s">
        <v>315</v>
      </c>
      <c r="D174" s="69">
        <v>3</v>
      </c>
      <c r="E174" s="69"/>
      <c r="F174" s="280">
        <v>32</v>
      </c>
      <c r="G174" s="280"/>
      <c r="H174" s="71">
        <v>12915</v>
      </c>
      <c r="I174" s="71">
        <f t="shared" si="4"/>
        <v>8136.45</v>
      </c>
    </row>
    <row r="175" spans="1:9" ht="23.25" customHeight="1" x14ac:dyDescent="0.35">
      <c r="I175" s="138"/>
    </row>
    <row r="176" spans="1:9" ht="23.25" customHeight="1" x14ac:dyDescent="0.35">
      <c r="I176" s="122"/>
    </row>
    <row r="177" spans="9:9" ht="23.25" customHeight="1" x14ac:dyDescent="0.35">
      <c r="I177" s="122"/>
    </row>
    <row r="178" spans="9:9" ht="23.25" customHeight="1" x14ac:dyDescent="0.35">
      <c r="I178" s="122"/>
    </row>
    <row r="179" spans="9:9" ht="23.25" customHeight="1" x14ac:dyDescent="0.35">
      <c r="I179" s="122"/>
    </row>
    <row r="180" spans="9:9" ht="23.25" customHeight="1" x14ac:dyDescent="0.35">
      <c r="I180" s="122"/>
    </row>
    <row r="181" spans="9:9" ht="23.25" customHeight="1" x14ac:dyDescent="0.35">
      <c r="I181" s="122"/>
    </row>
    <row r="182" spans="9:9" ht="23.25" customHeight="1" x14ac:dyDescent="0.35">
      <c r="I182" s="122"/>
    </row>
    <row r="183" spans="9:9" ht="23.25" customHeight="1" x14ac:dyDescent="0.35">
      <c r="I183" s="122"/>
    </row>
    <row r="184" spans="9:9" ht="23.25" customHeight="1" x14ac:dyDescent="0.35">
      <c r="I184" s="122"/>
    </row>
    <row r="185" spans="9:9" ht="23.25" customHeight="1" x14ac:dyDescent="0.35">
      <c r="I185" s="122"/>
    </row>
    <row r="186" spans="9:9" ht="23.25" customHeight="1" x14ac:dyDescent="0.35">
      <c r="I186" s="122"/>
    </row>
    <row r="187" spans="9:9" ht="23.25" customHeight="1" x14ac:dyDescent="0.35">
      <c r="I187" s="122"/>
    </row>
    <row r="188" spans="9:9" ht="23.25" customHeight="1" x14ac:dyDescent="0.35">
      <c r="I188" s="122"/>
    </row>
    <row r="189" spans="9:9" ht="23.25" customHeight="1" x14ac:dyDescent="0.35">
      <c r="I189" s="122"/>
    </row>
    <row r="190" spans="9:9" ht="23.25" customHeight="1" x14ac:dyDescent="0.35">
      <c r="I190" s="122"/>
    </row>
    <row r="191" spans="9:9" ht="23.25" customHeight="1" x14ac:dyDescent="0.35">
      <c r="I191" s="122"/>
    </row>
    <row r="192" spans="9:9" ht="23.25" customHeight="1" x14ac:dyDescent="0.35">
      <c r="I192" s="122"/>
    </row>
  </sheetData>
  <mergeCells count="97">
    <mergeCell ref="A1:I3"/>
    <mergeCell ref="A4:I4"/>
    <mergeCell ref="A5:A6"/>
    <mergeCell ref="B5:B6"/>
    <mergeCell ref="C5:C6"/>
    <mergeCell ref="D5:E5"/>
    <mergeCell ref="F5:G5"/>
    <mergeCell ref="H5:H6"/>
    <mergeCell ref="I5:I6"/>
    <mergeCell ref="A55:G55"/>
    <mergeCell ref="H55:H57"/>
    <mergeCell ref="I55:I57"/>
    <mergeCell ref="A56:A57"/>
    <mergeCell ref="B56:B57"/>
    <mergeCell ref="C56:C57"/>
    <mergeCell ref="D56:E56"/>
    <mergeCell ref="F56:G56"/>
    <mergeCell ref="D58:D59"/>
    <mergeCell ref="E58:E59"/>
    <mergeCell ref="D61:D66"/>
    <mergeCell ref="E61:E66"/>
    <mergeCell ref="D67:D73"/>
    <mergeCell ref="E67:E73"/>
    <mergeCell ref="D74:D91"/>
    <mergeCell ref="E74:E91"/>
    <mergeCell ref="D92:D103"/>
    <mergeCell ref="E92:E103"/>
    <mergeCell ref="D104:D106"/>
    <mergeCell ref="E104:E106"/>
    <mergeCell ref="D108:D109"/>
    <mergeCell ref="E108:E109"/>
    <mergeCell ref="D110:D113"/>
    <mergeCell ref="E110:E113"/>
    <mergeCell ref="A114:G114"/>
    <mergeCell ref="I114:I116"/>
    <mergeCell ref="A115:A116"/>
    <mergeCell ref="B115:B116"/>
    <mergeCell ref="C115:C116"/>
    <mergeCell ref="D115:E115"/>
    <mergeCell ref="F115:G115"/>
    <mergeCell ref="H114:H116"/>
    <mergeCell ref="F137:G137"/>
    <mergeCell ref="A129:G129"/>
    <mergeCell ref="H129:H131"/>
    <mergeCell ref="I129:I131"/>
    <mergeCell ref="A130:A131"/>
    <mergeCell ref="B130:B131"/>
    <mergeCell ref="C130:C131"/>
    <mergeCell ref="D130:E130"/>
    <mergeCell ref="F130:G131"/>
    <mergeCell ref="F132:G132"/>
    <mergeCell ref="F133:G133"/>
    <mergeCell ref="F134:G134"/>
    <mergeCell ref="F135:G135"/>
    <mergeCell ref="F136:G136"/>
    <mergeCell ref="F149:G149"/>
    <mergeCell ref="F138:G138"/>
    <mergeCell ref="F139:G139"/>
    <mergeCell ref="F140:G140"/>
    <mergeCell ref="F141:G141"/>
    <mergeCell ref="F142:G142"/>
    <mergeCell ref="F143:G143"/>
    <mergeCell ref="F144:G144"/>
    <mergeCell ref="F145:G145"/>
    <mergeCell ref="F146:G146"/>
    <mergeCell ref="F147:G147"/>
    <mergeCell ref="F148:G148"/>
    <mergeCell ref="F150:G150"/>
    <mergeCell ref="F151:G151"/>
    <mergeCell ref="F152:G152"/>
    <mergeCell ref="F153:G153"/>
    <mergeCell ref="F154:G154"/>
    <mergeCell ref="H155:H157"/>
    <mergeCell ref="I155:I157"/>
    <mergeCell ref="A156:A157"/>
    <mergeCell ref="B156:B157"/>
    <mergeCell ref="C156:C157"/>
    <mergeCell ref="D156:E156"/>
    <mergeCell ref="F156:G156"/>
    <mergeCell ref="A155:G155"/>
    <mergeCell ref="F169:G169"/>
    <mergeCell ref="F158:G158"/>
    <mergeCell ref="F159:G159"/>
    <mergeCell ref="F160:G160"/>
    <mergeCell ref="F161:G161"/>
    <mergeCell ref="F162:G162"/>
    <mergeCell ref="F163:G163"/>
    <mergeCell ref="F164:G164"/>
    <mergeCell ref="F165:G165"/>
    <mergeCell ref="F166:G166"/>
    <mergeCell ref="F167:G167"/>
    <mergeCell ref="F168:G168"/>
    <mergeCell ref="F170:G170"/>
    <mergeCell ref="F171:G171"/>
    <mergeCell ref="F172:G172"/>
    <mergeCell ref="F173:G173"/>
    <mergeCell ref="F174:G174"/>
  </mergeCells>
  <conditionalFormatting sqref="B7:B172">
    <cfRule type="duplicateValues" dxfId="44" priority="1"/>
  </conditionalFormatting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7" tint="0.39997558519241921"/>
  </sheetPr>
  <dimension ref="A2:D13"/>
  <sheetViews>
    <sheetView workbookViewId="0">
      <selection activeCell="E15" sqref="E15"/>
    </sheetView>
  </sheetViews>
  <sheetFormatPr defaultRowHeight="14.5" x14ac:dyDescent="0.35"/>
  <cols>
    <col min="2" max="2" width="13.54296875" customWidth="1"/>
    <col min="3" max="3" width="31.7265625" customWidth="1"/>
  </cols>
  <sheetData>
    <row r="2" spans="1:4" ht="27.75" customHeight="1" x14ac:dyDescent="0.55000000000000004">
      <c r="A2" s="290" t="s">
        <v>517</v>
      </c>
      <c r="B2" s="290"/>
      <c r="C2" s="290"/>
      <c r="D2" s="290"/>
    </row>
    <row r="3" spans="1:4" ht="15" thickBot="1" x14ac:dyDescent="0.4"/>
    <row r="4" spans="1:4" ht="23.25" customHeight="1" thickBot="1" x14ac:dyDescent="0.5">
      <c r="A4" s="118" t="s">
        <v>320</v>
      </c>
      <c r="B4" s="119" t="s">
        <v>319</v>
      </c>
      <c r="C4" s="120" t="s">
        <v>318</v>
      </c>
    </row>
    <row r="5" spans="1:4" x14ac:dyDescent="0.35">
      <c r="A5" s="107">
        <v>1</v>
      </c>
      <c r="B5" s="72" t="s">
        <v>519</v>
      </c>
      <c r="C5" s="33" t="s">
        <v>515</v>
      </c>
    </row>
    <row r="6" spans="1:4" x14ac:dyDescent="0.35">
      <c r="A6" s="107">
        <v>2</v>
      </c>
      <c r="B6" s="34">
        <v>2000660</v>
      </c>
      <c r="C6" s="35" t="s">
        <v>520</v>
      </c>
    </row>
    <row r="7" spans="1:4" x14ac:dyDescent="0.35">
      <c r="A7" s="107">
        <v>3</v>
      </c>
      <c r="B7" s="34">
        <v>2000662</v>
      </c>
      <c r="C7" s="35" t="s">
        <v>521</v>
      </c>
    </row>
    <row r="8" spans="1:4" x14ac:dyDescent="0.35">
      <c r="A8" s="107">
        <v>4</v>
      </c>
      <c r="B8" s="34">
        <v>2000661</v>
      </c>
      <c r="C8" s="35" t="s">
        <v>522</v>
      </c>
    </row>
    <row r="9" spans="1:4" x14ac:dyDescent="0.35">
      <c r="A9" s="107">
        <v>5</v>
      </c>
      <c r="B9" s="34">
        <v>2000680</v>
      </c>
      <c r="C9" s="35" t="s">
        <v>523</v>
      </c>
    </row>
    <row r="10" spans="1:4" x14ac:dyDescent="0.35">
      <c r="A10" s="107">
        <v>6</v>
      </c>
      <c r="B10" s="34">
        <v>2000550</v>
      </c>
      <c r="C10" s="35" t="s">
        <v>524</v>
      </c>
    </row>
    <row r="11" spans="1:4" x14ac:dyDescent="0.35">
      <c r="A11" s="107">
        <v>7</v>
      </c>
      <c r="B11" s="34">
        <v>2000663</v>
      </c>
      <c r="C11" s="35" t="s">
        <v>525</v>
      </c>
    </row>
    <row r="12" spans="1:4" x14ac:dyDescent="0.35">
      <c r="A12" s="107">
        <v>8</v>
      </c>
      <c r="B12" s="34">
        <v>2000620</v>
      </c>
      <c r="C12" s="35" t="s">
        <v>526</v>
      </c>
    </row>
    <row r="13" spans="1:4" x14ac:dyDescent="0.35">
      <c r="A13" s="107">
        <v>9</v>
      </c>
      <c r="B13" s="34">
        <v>2000664</v>
      </c>
      <c r="C13" s="35" t="s">
        <v>527</v>
      </c>
    </row>
  </sheetData>
  <mergeCells count="1">
    <mergeCell ref="A2:D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88"/>
  <sheetViews>
    <sheetView topLeftCell="A157" workbookViewId="0">
      <selection activeCell="K48" sqref="K48"/>
    </sheetView>
  </sheetViews>
  <sheetFormatPr defaultRowHeight="21.75" customHeight="1" x14ac:dyDescent="0.35"/>
  <cols>
    <col min="2" max="2" width="12.7265625" customWidth="1"/>
    <col min="3" max="3" width="21.1796875" customWidth="1"/>
    <col min="10" max="10" width="9.1796875" style="112"/>
  </cols>
  <sheetData>
    <row r="1" spans="1:10" ht="21.75" customHeight="1" x14ac:dyDescent="0.35">
      <c r="A1" s="203" t="s">
        <v>0</v>
      </c>
      <c r="B1" s="204"/>
      <c r="C1" s="204"/>
      <c r="D1" s="204"/>
      <c r="E1" s="204"/>
      <c r="F1" s="204"/>
      <c r="G1" s="204"/>
      <c r="H1" s="204"/>
      <c r="I1" s="204"/>
      <c r="J1" s="204"/>
    </row>
    <row r="2" spans="1:10" ht="21.75" customHeight="1" x14ac:dyDescent="0.35">
      <c r="A2" s="203"/>
      <c r="B2" s="204"/>
      <c r="C2" s="204"/>
      <c r="D2" s="204"/>
      <c r="E2" s="204"/>
      <c r="F2" s="204"/>
      <c r="G2" s="204"/>
      <c r="H2" s="204"/>
      <c r="I2" s="204"/>
      <c r="J2" s="204"/>
    </row>
    <row r="3" spans="1:10" ht="21.75" customHeight="1" x14ac:dyDescent="0.35">
      <c r="A3" s="203"/>
      <c r="B3" s="204"/>
      <c r="C3" s="204"/>
      <c r="D3" s="204"/>
      <c r="E3" s="204"/>
      <c r="F3" s="204"/>
      <c r="G3" s="204"/>
      <c r="H3" s="204"/>
      <c r="I3" s="204"/>
      <c r="J3" s="204"/>
    </row>
    <row r="4" spans="1:10" ht="21.75" customHeight="1" x14ac:dyDescent="0.35">
      <c r="A4" s="205" t="s">
        <v>528</v>
      </c>
      <c r="B4" s="206"/>
      <c r="C4" s="206"/>
      <c r="D4" s="206"/>
      <c r="E4" s="206"/>
      <c r="F4" s="206"/>
      <c r="G4" s="206"/>
      <c r="H4" s="206"/>
      <c r="I4" s="206"/>
      <c r="J4" s="206"/>
    </row>
    <row r="5" spans="1:10" ht="21.75" customHeight="1" x14ac:dyDescent="0.35">
      <c r="A5" s="287" t="s">
        <v>2</v>
      </c>
      <c r="B5" s="287" t="s">
        <v>3</v>
      </c>
      <c r="C5" s="287" t="s">
        <v>4</v>
      </c>
      <c r="D5" s="287" t="s">
        <v>5</v>
      </c>
      <c r="E5" s="287"/>
      <c r="F5" s="287" t="s">
        <v>6</v>
      </c>
      <c r="G5" s="287"/>
      <c r="H5" s="304" t="s">
        <v>7</v>
      </c>
      <c r="I5" s="293" t="s">
        <v>504</v>
      </c>
      <c r="J5" s="294"/>
    </row>
    <row r="6" spans="1:10" ht="21.75" customHeight="1" x14ac:dyDescent="0.35">
      <c r="A6" s="287"/>
      <c r="B6" s="287"/>
      <c r="C6" s="287"/>
      <c r="D6" s="11" t="s">
        <v>9</v>
      </c>
      <c r="E6" s="11" t="s">
        <v>10</v>
      </c>
      <c r="F6" s="11" t="s">
        <v>11</v>
      </c>
      <c r="G6" s="11" t="s">
        <v>12</v>
      </c>
      <c r="H6" s="304"/>
      <c r="I6" s="41">
        <v>0.33</v>
      </c>
      <c r="J6" s="41">
        <v>0.03</v>
      </c>
    </row>
    <row r="7" spans="1:10" ht="21.75" customHeight="1" x14ac:dyDescent="0.35">
      <c r="A7" s="6">
        <v>1</v>
      </c>
      <c r="B7" s="4" t="s">
        <v>13</v>
      </c>
      <c r="C7" s="12" t="s">
        <v>14</v>
      </c>
      <c r="D7" s="2">
        <v>0.5</v>
      </c>
      <c r="E7" s="2">
        <v>0.37</v>
      </c>
      <c r="F7" s="2">
        <v>25</v>
      </c>
      <c r="G7" s="2">
        <v>25</v>
      </c>
      <c r="H7" s="13">
        <v>2640</v>
      </c>
      <c r="I7" s="295">
        <f>H7*0.63</f>
        <v>1663.2</v>
      </c>
      <c r="J7" s="296"/>
    </row>
    <row r="8" spans="1:10" ht="21.75" customHeight="1" x14ac:dyDescent="0.35">
      <c r="A8" s="6">
        <v>2</v>
      </c>
      <c r="B8" s="4" t="s">
        <v>15</v>
      </c>
      <c r="C8" s="12" t="s">
        <v>16</v>
      </c>
      <c r="D8" s="2">
        <v>1</v>
      </c>
      <c r="E8" s="2">
        <v>0.75</v>
      </c>
      <c r="F8" s="2">
        <v>25</v>
      </c>
      <c r="G8" s="2">
        <v>25</v>
      </c>
      <c r="H8" s="13">
        <v>3420</v>
      </c>
      <c r="I8" s="297">
        <f>H8*0.63</f>
        <v>2154.6</v>
      </c>
      <c r="J8" s="297"/>
    </row>
    <row r="9" spans="1:10" ht="21.75" customHeight="1" x14ac:dyDescent="0.35">
      <c r="A9" s="4">
        <v>3</v>
      </c>
      <c r="B9" s="4" t="s">
        <v>17</v>
      </c>
      <c r="C9" s="12" t="s">
        <v>18</v>
      </c>
      <c r="D9" s="2">
        <v>0.5</v>
      </c>
      <c r="E9" s="2">
        <v>0.37</v>
      </c>
      <c r="F9" s="2">
        <v>25</v>
      </c>
      <c r="G9" s="2">
        <v>25</v>
      </c>
      <c r="H9" s="13">
        <v>2840</v>
      </c>
      <c r="I9" s="297">
        <f>H9*0.63</f>
        <v>1789.2</v>
      </c>
      <c r="J9" s="297"/>
    </row>
    <row r="10" spans="1:10" ht="21.75" customHeight="1" x14ac:dyDescent="0.35">
      <c r="A10" s="6">
        <v>4</v>
      </c>
      <c r="B10" s="4" t="s">
        <v>19</v>
      </c>
      <c r="C10" s="12" t="s">
        <v>20</v>
      </c>
      <c r="D10" s="2">
        <v>1</v>
      </c>
      <c r="E10" s="2">
        <v>0.75</v>
      </c>
      <c r="F10" s="2">
        <v>25</v>
      </c>
      <c r="G10" s="2">
        <v>25</v>
      </c>
      <c r="H10" s="13">
        <v>3660</v>
      </c>
      <c r="I10" s="297">
        <f>H10*0.63</f>
        <v>2305.8000000000002</v>
      </c>
      <c r="J10" s="297"/>
    </row>
    <row r="11" spans="1:10" ht="21.75" customHeight="1" x14ac:dyDescent="0.35">
      <c r="A11" s="6">
        <v>5</v>
      </c>
      <c r="B11" s="6" t="s">
        <v>21</v>
      </c>
      <c r="C11" s="14" t="s">
        <v>22</v>
      </c>
      <c r="D11" s="2">
        <v>0.5</v>
      </c>
      <c r="E11" s="2">
        <v>0.37</v>
      </c>
      <c r="F11" s="2">
        <v>25</v>
      </c>
      <c r="G11" s="2">
        <v>25</v>
      </c>
      <c r="H11" s="8">
        <v>3160</v>
      </c>
      <c r="I11" s="26">
        <f>H11*0.67</f>
        <v>2117.2000000000003</v>
      </c>
      <c r="J11" s="29">
        <f>I11*0.97</f>
        <v>2053.6840000000002</v>
      </c>
    </row>
    <row r="12" spans="1:10" ht="21.75" customHeight="1" x14ac:dyDescent="0.35">
      <c r="A12" s="6">
        <v>6</v>
      </c>
      <c r="B12" s="6" t="s">
        <v>23</v>
      </c>
      <c r="C12" s="14" t="s">
        <v>24</v>
      </c>
      <c r="D12" s="2">
        <v>1</v>
      </c>
      <c r="E12" s="2">
        <v>0.75</v>
      </c>
      <c r="F12" s="2">
        <v>25</v>
      </c>
      <c r="G12" s="2">
        <v>25</v>
      </c>
      <c r="H12" s="8">
        <v>4120</v>
      </c>
      <c r="I12" s="26">
        <f t="shared" ref="I12:I54" si="0">H12*0.67</f>
        <v>2760.4</v>
      </c>
      <c r="J12" s="29">
        <f t="shared" ref="J12:J54" si="1">I12*0.97</f>
        <v>2677.5880000000002</v>
      </c>
    </row>
    <row r="13" spans="1:10" ht="21.75" customHeight="1" x14ac:dyDescent="0.35">
      <c r="A13" s="4">
        <v>7</v>
      </c>
      <c r="B13" s="4" t="s">
        <v>25</v>
      </c>
      <c r="C13" s="12" t="s">
        <v>26</v>
      </c>
      <c r="D13" s="2">
        <v>1.5</v>
      </c>
      <c r="E13" s="2">
        <v>1</v>
      </c>
      <c r="F13" s="2">
        <v>25</v>
      </c>
      <c r="G13" s="2">
        <v>25</v>
      </c>
      <c r="H13" s="8">
        <v>5750</v>
      </c>
      <c r="I13" s="26">
        <f t="shared" si="0"/>
        <v>3852.5000000000005</v>
      </c>
      <c r="J13" s="29">
        <f t="shared" si="1"/>
        <v>3736.9250000000002</v>
      </c>
    </row>
    <row r="14" spans="1:10" ht="21.75" customHeight="1" x14ac:dyDescent="0.35">
      <c r="A14" s="6">
        <v>8</v>
      </c>
      <c r="B14" s="6" t="s">
        <v>27</v>
      </c>
      <c r="C14" s="14" t="s">
        <v>28</v>
      </c>
      <c r="D14" s="2">
        <v>0.5</v>
      </c>
      <c r="E14" s="2">
        <v>0.37</v>
      </c>
      <c r="F14" s="2">
        <v>25</v>
      </c>
      <c r="G14" s="2">
        <v>25</v>
      </c>
      <c r="H14" s="8">
        <v>3520</v>
      </c>
      <c r="I14" s="26">
        <f t="shared" si="0"/>
        <v>2358.4</v>
      </c>
      <c r="J14" s="29">
        <f t="shared" si="1"/>
        <v>2287.6480000000001</v>
      </c>
    </row>
    <row r="15" spans="1:10" ht="21.75" customHeight="1" x14ac:dyDescent="0.35">
      <c r="A15" s="6">
        <v>9</v>
      </c>
      <c r="B15" s="4" t="s">
        <v>29</v>
      </c>
      <c r="C15" s="15" t="s">
        <v>30</v>
      </c>
      <c r="D15" s="2">
        <v>1</v>
      </c>
      <c r="E15" s="2">
        <v>0.75</v>
      </c>
      <c r="F15" s="2">
        <v>25</v>
      </c>
      <c r="G15" s="2">
        <v>25</v>
      </c>
      <c r="H15" s="8">
        <v>3660</v>
      </c>
      <c r="I15" s="26">
        <f t="shared" si="0"/>
        <v>2452.2000000000003</v>
      </c>
      <c r="J15" s="29">
        <f t="shared" si="1"/>
        <v>2378.634</v>
      </c>
    </row>
    <row r="16" spans="1:10" ht="21.75" customHeight="1" x14ac:dyDescent="0.35">
      <c r="A16" s="6">
        <v>10</v>
      </c>
      <c r="B16" s="4" t="s">
        <v>31</v>
      </c>
      <c r="C16" s="12" t="s">
        <v>32</v>
      </c>
      <c r="D16" s="2">
        <v>1</v>
      </c>
      <c r="E16" s="2">
        <v>0.75</v>
      </c>
      <c r="F16" s="2">
        <v>25</v>
      </c>
      <c r="G16" s="2">
        <v>25</v>
      </c>
      <c r="H16" s="8">
        <v>4220</v>
      </c>
      <c r="I16" s="26">
        <f t="shared" si="0"/>
        <v>2827.4</v>
      </c>
      <c r="J16" s="29">
        <f t="shared" si="1"/>
        <v>2742.578</v>
      </c>
    </row>
    <row r="17" spans="1:10" ht="21.75" customHeight="1" x14ac:dyDescent="0.35">
      <c r="A17" s="4">
        <v>11</v>
      </c>
      <c r="B17" s="6" t="s">
        <v>33</v>
      </c>
      <c r="C17" s="14" t="s">
        <v>34</v>
      </c>
      <c r="D17" s="2">
        <v>0.75</v>
      </c>
      <c r="E17" s="2">
        <v>0.56000000000000005</v>
      </c>
      <c r="F17" s="2">
        <v>25</v>
      </c>
      <c r="G17" s="2">
        <v>25</v>
      </c>
      <c r="H17" s="8">
        <v>4080</v>
      </c>
      <c r="I17" s="26">
        <f t="shared" si="0"/>
        <v>2733.6000000000004</v>
      </c>
      <c r="J17" s="29">
        <f t="shared" si="1"/>
        <v>2651.5920000000001</v>
      </c>
    </row>
    <row r="18" spans="1:10" ht="21.75" customHeight="1" x14ac:dyDescent="0.35">
      <c r="A18" s="6">
        <v>12</v>
      </c>
      <c r="B18" s="4" t="s">
        <v>35</v>
      </c>
      <c r="C18" s="16" t="s">
        <v>36</v>
      </c>
      <c r="D18" s="2">
        <v>1</v>
      </c>
      <c r="E18" s="2">
        <v>0.75</v>
      </c>
      <c r="F18" s="2">
        <v>25</v>
      </c>
      <c r="G18" s="2">
        <v>25</v>
      </c>
      <c r="H18" s="8">
        <v>4730</v>
      </c>
      <c r="I18" s="26">
        <f t="shared" si="0"/>
        <v>3169.1000000000004</v>
      </c>
      <c r="J18" s="29">
        <f t="shared" si="1"/>
        <v>3074.027</v>
      </c>
    </row>
    <row r="19" spans="1:10" ht="21.75" customHeight="1" x14ac:dyDescent="0.35">
      <c r="A19" s="6">
        <v>13</v>
      </c>
      <c r="B19" s="4" t="s">
        <v>37</v>
      </c>
      <c r="C19" s="16" t="s">
        <v>38</v>
      </c>
      <c r="D19" s="2">
        <v>1</v>
      </c>
      <c r="E19" s="2">
        <v>0.75</v>
      </c>
      <c r="F19" s="2">
        <v>25</v>
      </c>
      <c r="G19" s="2">
        <v>25</v>
      </c>
      <c r="H19" s="8">
        <v>4730</v>
      </c>
      <c r="I19" s="26">
        <f t="shared" si="0"/>
        <v>3169.1000000000004</v>
      </c>
      <c r="J19" s="29">
        <f t="shared" si="1"/>
        <v>3074.027</v>
      </c>
    </row>
    <row r="20" spans="1:10" ht="21.75" customHeight="1" x14ac:dyDescent="0.35">
      <c r="A20" s="6">
        <v>14</v>
      </c>
      <c r="B20" s="6" t="s">
        <v>39</v>
      </c>
      <c r="C20" s="14" t="s">
        <v>40</v>
      </c>
      <c r="D20" s="2">
        <v>1</v>
      </c>
      <c r="E20" s="2">
        <v>0.75</v>
      </c>
      <c r="F20" s="2">
        <v>25</v>
      </c>
      <c r="G20" s="2">
        <v>25</v>
      </c>
      <c r="H20" s="8">
        <v>5170</v>
      </c>
      <c r="I20" s="26">
        <f t="shared" si="0"/>
        <v>3463.9</v>
      </c>
      <c r="J20" s="29">
        <f t="shared" si="1"/>
        <v>3359.9830000000002</v>
      </c>
    </row>
    <row r="21" spans="1:10" ht="21.75" customHeight="1" x14ac:dyDescent="0.35">
      <c r="A21" s="4">
        <v>15</v>
      </c>
      <c r="B21" s="6" t="s">
        <v>41</v>
      </c>
      <c r="C21" s="14" t="s">
        <v>42</v>
      </c>
      <c r="D21" s="2">
        <v>1</v>
      </c>
      <c r="E21" s="2">
        <v>0.75</v>
      </c>
      <c r="F21" s="2">
        <v>25</v>
      </c>
      <c r="G21" s="2">
        <v>25</v>
      </c>
      <c r="H21" s="8">
        <v>4670</v>
      </c>
      <c r="I21" s="26">
        <f t="shared" si="0"/>
        <v>3128.9</v>
      </c>
      <c r="J21" s="29">
        <f t="shared" si="1"/>
        <v>3035.0329999999999</v>
      </c>
    </row>
    <row r="22" spans="1:10" ht="21.75" customHeight="1" x14ac:dyDescent="0.35">
      <c r="A22" s="6">
        <v>16</v>
      </c>
      <c r="B22" s="4" t="s">
        <v>43</v>
      </c>
      <c r="C22" s="12" t="s">
        <v>44</v>
      </c>
      <c r="D22" s="2">
        <v>1.2</v>
      </c>
      <c r="E22" s="2">
        <v>0.9</v>
      </c>
      <c r="F22" s="2">
        <v>25</v>
      </c>
      <c r="G22" s="2">
        <v>25</v>
      </c>
      <c r="H22" s="8">
        <v>6650</v>
      </c>
      <c r="I22" s="26">
        <f t="shared" si="0"/>
        <v>4455.5</v>
      </c>
      <c r="J22" s="29">
        <f t="shared" si="1"/>
        <v>4321.835</v>
      </c>
    </row>
    <row r="23" spans="1:10" ht="21.75" customHeight="1" x14ac:dyDescent="0.35">
      <c r="A23" s="6">
        <v>17</v>
      </c>
      <c r="B23" s="6" t="s">
        <v>45</v>
      </c>
      <c r="C23" s="14" t="s">
        <v>46</v>
      </c>
      <c r="D23" s="2">
        <v>1.5</v>
      </c>
      <c r="E23" s="2">
        <v>1.1000000000000001</v>
      </c>
      <c r="F23" s="2">
        <v>25</v>
      </c>
      <c r="G23" s="2">
        <v>25</v>
      </c>
      <c r="H23" s="8">
        <v>8150</v>
      </c>
      <c r="I23" s="26">
        <f t="shared" si="0"/>
        <v>5460.5</v>
      </c>
      <c r="J23" s="29">
        <f t="shared" si="1"/>
        <v>5296.6849999999995</v>
      </c>
    </row>
    <row r="24" spans="1:10" ht="21.75" customHeight="1" x14ac:dyDescent="0.35">
      <c r="A24" s="6">
        <v>18</v>
      </c>
      <c r="B24" s="6" t="s">
        <v>47</v>
      </c>
      <c r="C24" s="14" t="s">
        <v>48</v>
      </c>
      <c r="D24" s="2">
        <v>2</v>
      </c>
      <c r="E24" s="2">
        <v>1.5</v>
      </c>
      <c r="F24" s="2">
        <v>25</v>
      </c>
      <c r="G24" s="2">
        <v>25</v>
      </c>
      <c r="H24" s="8">
        <v>9190</v>
      </c>
      <c r="I24" s="26">
        <f t="shared" si="0"/>
        <v>6157.3</v>
      </c>
      <c r="J24" s="29">
        <f t="shared" si="1"/>
        <v>5972.5810000000001</v>
      </c>
    </row>
    <row r="25" spans="1:10" ht="21.75" customHeight="1" x14ac:dyDescent="0.35">
      <c r="A25" s="4">
        <v>19</v>
      </c>
      <c r="B25" s="6" t="s">
        <v>49</v>
      </c>
      <c r="C25" s="14" t="s">
        <v>50</v>
      </c>
      <c r="D25" s="2">
        <v>0.5</v>
      </c>
      <c r="E25" s="2">
        <v>0.37</v>
      </c>
      <c r="F25" s="2">
        <v>25</v>
      </c>
      <c r="G25" s="2">
        <v>25</v>
      </c>
      <c r="H25" s="8">
        <v>3310</v>
      </c>
      <c r="I25" s="26">
        <f t="shared" si="0"/>
        <v>2217.7000000000003</v>
      </c>
      <c r="J25" s="29">
        <f t="shared" si="1"/>
        <v>2151.1690000000003</v>
      </c>
    </row>
    <row r="26" spans="1:10" ht="21.75" customHeight="1" x14ac:dyDescent="0.35">
      <c r="A26" s="6">
        <v>20</v>
      </c>
      <c r="B26" s="4" t="s">
        <v>51</v>
      </c>
      <c r="C26" s="12" t="s">
        <v>52</v>
      </c>
      <c r="D26" s="2">
        <v>0.5</v>
      </c>
      <c r="E26" s="2">
        <v>0.37</v>
      </c>
      <c r="F26" s="2">
        <v>25</v>
      </c>
      <c r="G26" s="2">
        <v>25</v>
      </c>
      <c r="H26" s="10">
        <v>4380</v>
      </c>
      <c r="I26" s="295">
        <f>H26*0.63</f>
        <v>2759.4</v>
      </c>
      <c r="J26" s="296"/>
    </row>
    <row r="27" spans="1:10" ht="21.75" customHeight="1" x14ac:dyDescent="0.35">
      <c r="A27" s="6">
        <v>21</v>
      </c>
      <c r="B27" s="4" t="s">
        <v>53</v>
      </c>
      <c r="C27" s="12" t="s">
        <v>54</v>
      </c>
      <c r="D27" s="2">
        <v>1</v>
      </c>
      <c r="E27" s="2">
        <v>0.75</v>
      </c>
      <c r="F27" s="2">
        <v>25</v>
      </c>
      <c r="G27" s="2">
        <v>25</v>
      </c>
      <c r="H27" s="10">
        <v>5300</v>
      </c>
      <c r="I27" s="295">
        <f>H27*0.63</f>
        <v>3339</v>
      </c>
      <c r="J27" s="296"/>
    </row>
    <row r="28" spans="1:10" ht="21.75" customHeight="1" x14ac:dyDescent="0.35">
      <c r="A28" s="6">
        <v>22</v>
      </c>
      <c r="B28" s="6" t="s">
        <v>55</v>
      </c>
      <c r="C28" s="14" t="s">
        <v>56</v>
      </c>
      <c r="D28" s="2">
        <v>1.1000000000000001</v>
      </c>
      <c r="E28" s="2">
        <v>0.8</v>
      </c>
      <c r="F28" s="2">
        <v>25</v>
      </c>
      <c r="G28" s="2">
        <v>25</v>
      </c>
      <c r="H28" s="8">
        <v>5040</v>
      </c>
      <c r="I28" s="26">
        <f t="shared" si="0"/>
        <v>3376.8</v>
      </c>
      <c r="J28" s="29">
        <f t="shared" si="1"/>
        <v>3275.4960000000001</v>
      </c>
    </row>
    <row r="29" spans="1:10" ht="21.75" customHeight="1" x14ac:dyDescent="0.35">
      <c r="A29" s="4">
        <v>23</v>
      </c>
      <c r="B29" s="6" t="s">
        <v>57</v>
      </c>
      <c r="C29" s="14" t="s">
        <v>58</v>
      </c>
      <c r="D29" s="2">
        <v>1.1000000000000001</v>
      </c>
      <c r="E29" s="2">
        <v>0.8</v>
      </c>
      <c r="F29" s="2">
        <v>25</v>
      </c>
      <c r="G29" s="2">
        <v>25</v>
      </c>
      <c r="H29" s="8">
        <v>5150</v>
      </c>
      <c r="I29" s="26">
        <f t="shared" si="0"/>
        <v>3450.5</v>
      </c>
      <c r="J29" s="29">
        <f t="shared" si="1"/>
        <v>3346.9850000000001</v>
      </c>
    </row>
    <row r="30" spans="1:10" ht="21.75" customHeight="1" x14ac:dyDescent="0.35">
      <c r="A30" s="6">
        <v>24</v>
      </c>
      <c r="B30" s="4" t="s">
        <v>59</v>
      </c>
      <c r="C30" s="16" t="s">
        <v>60</v>
      </c>
      <c r="D30" s="2">
        <v>1.25</v>
      </c>
      <c r="E30" s="2">
        <v>0.94</v>
      </c>
      <c r="F30" s="2">
        <v>25</v>
      </c>
      <c r="G30" s="2">
        <v>25</v>
      </c>
      <c r="H30" s="8">
        <v>6630</v>
      </c>
      <c r="I30" s="26">
        <f t="shared" si="0"/>
        <v>4442.1000000000004</v>
      </c>
      <c r="J30" s="29">
        <f t="shared" si="1"/>
        <v>4308.8370000000004</v>
      </c>
    </row>
    <row r="31" spans="1:10" ht="21.75" customHeight="1" x14ac:dyDescent="0.35">
      <c r="A31" s="6">
        <v>25</v>
      </c>
      <c r="B31" s="6" t="s">
        <v>61</v>
      </c>
      <c r="C31" s="14" t="s">
        <v>62</v>
      </c>
      <c r="D31" s="17">
        <v>0.5</v>
      </c>
      <c r="E31" s="17">
        <v>0.37</v>
      </c>
      <c r="F31" s="17">
        <v>25</v>
      </c>
      <c r="G31" s="17">
        <v>25</v>
      </c>
      <c r="H31" s="9">
        <v>4950</v>
      </c>
      <c r="I31" s="295">
        <f>H31*0.63</f>
        <v>3118.5</v>
      </c>
      <c r="J31" s="296"/>
    </row>
    <row r="32" spans="1:10" ht="21.75" customHeight="1" x14ac:dyDescent="0.35">
      <c r="A32" s="6">
        <v>26</v>
      </c>
      <c r="B32" s="6" t="s">
        <v>63</v>
      </c>
      <c r="C32" s="14" t="s">
        <v>64</v>
      </c>
      <c r="D32" s="17">
        <v>0.5</v>
      </c>
      <c r="E32" s="17">
        <v>0.37</v>
      </c>
      <c r="F32" s="17">
        <v>25</v>
      </c>
      <c r="G32" s="17">
        <v>25</v>
      </c>
      <c r="H32" s="9">
        <v>5000</v>
      </c>
      <c r="I32" s="295">
        <f>H32*0.63</f>
        <v>3150</v>
      </c>
      <c r="J32" s="296"/>
    </row>
    <row r="33" spans="1:10" ht="21.75" customHeight="1" x14ac:dyDescent="0.35">
      <c r="A33" s="4">
        <v>27</v>
      </c>
      <c r="B33" s="6" t="s">
        <v>65</v>
      </c>
      <c r="C33" s="14" t="s">
        <v>66</v>
      </c>
      <c r="D33" s="2">
        <v>1</v>
      </c>
      <c r="E33" s="2">
        <v>0.75</v>
      </c>
      <c r="F33" s="2">
        <v>25</v>
      </c>
      <c r="G33" s="2">
        <v>25</v>
      </c>
      <c r="H33" s="8">
        <v>5560</v>
      </c>
      <c r="I33" s="26">
        <f t="shared" si="0"/>
        <v>3725.2000000000003</v>
      </c>
      <c r="J33" s="29">
        <f t="shared" si="1"/>
        <v>3613.444</v>
      </c>
    </row>
    <row r="34" spans="1:10" ht="21.75" customHeight="1" x14ac:dyDescent="0.35">
      <c r="A34" s="6">
        <v>28</v>
      </c>
      <c r="B34" s="6" t="s">
        <v>67</v>
      </c>
      <c r="C34" s="14" t="s">
        <v>68</v>
      </c>
      <c r="D34" s="2">
        <v>1</v>
      </c>
      <c r="E34" s="2">
        <v>0.75</v>
      </c>
      <c r="F34" s="2">
        <v>25</v>
      </c>
      <c r="G34" s="2">
        <v>25</v>
      </c>
      <c r="H34" s="8">
        <v>5650</v>
      </c>
      <c r="I34" s="26">
        <f t="shared" si="0"/>
        <v>3785.5</v>
      </c>
      <c r="J34" s="29">
        <f t="shared" si="1"/>
        <v>3671.9349999999999</v>
      </c>
    </row>
    <row r="35" spans="1:10" ht="21.75" customHeight="1" x14ac:dyDescent="0.35">
      <c r="A35" s="6">
        <v>29</v>
      </c>
      <c r="B35" s="6" t="s">
        <v>69</v>
      </c>
      <c r="C35" s="14" t="s">
        <v>70</v>
      </c>
      <c r="D35" s="2">
        <v>1.5</v>
      </c>
      <c r="E35" s="2">
        <v>1.1000000000000001</v>
      </c>
      <c r="F35" s="2">
        <v>25</v>
      </c>
      <c r="G35" s="2">
        <v>25</v>
      </c>
      <c r="H35" s="8">
        <v>7840</v>
      </c>
      <c r="I35" s="26">
        <f t="shared" si="0"/>
        <v>5252.8</v>
      </c>
      <c r="J35" s="29">
        <f t="shared" si="1"/>
        <v>5095.2160000000003</v>
      </c>
    </row>
    <row r="36" spans="1:10" ht="21.75" customHeight="1" x14ac:dyDescent="0.35">
      <c r="A36" s="6">
        <v>30</v>
      </c>
      <c r="B36" s="6" t="s">
        <v>71</v>
      </c>
      <c r="C36" s="14" t="s">
        <v>72</v>
      </c>
      <c r="D36" s="2">
        <v>1.5</v>
      </c>
      <c r="E36" s="2">
        <v>1.1000000000000001</v>
      </c>
      <c r="F36" s="2">
        <v>25</v>
      </c>
      <c r="G36" s="2">
        <v>25</v>
      </c>
      <c r="H36" s="8">
        <v>8170</v>
      </c>
      <c r="I36" s="26">
        <f t="shared" si="0"/>
        <v>5473.9000000000005</v>
      </c>
      <c r="J36" s="29">
        <f t="shared" si="1"/>
        <v>5309.683</v>
      </c>
    </row>
    <row r="37" spans="1:10" ht="21.75" customHeight="1" x14ac:dyDescent="0.35">
      <c r="A37" s="4">
        <v>31</v>
      </c>
      <c r="B37" s="4" t="s">
        <v>73</v>
      </c>
      <c r="C37" s="12" t="s">
        <v>74</v>
      </c>
      <c r="D37" s="2">
        <v>0.5</v>
      </c>
      <c r="E37" s="2">
        <v>0.37</v>
      </c>
      <c r="F37" s="2">
        <v>25</v>
      </c>
      <c r="G37" s="2">
        <v>25</v>
      </c>
      <c r="H37" s="8">
        <v>6450</v>
      </c>
      <c r="I37" s="26">
        <f t="shared" si="0"/>
        <v>4321.5</v>
      </c>
      <c r="J37" s="29">
        <f t="shared" si="1"/>
        <v>4191.8549999999996</v>
      </c>
    </row>
    <row r="38" spans="1:10" ht="21.75" customHeight="1" x14ac:dyDescent="0.35">
      <c r="A38" s="6">
        <v>32</v>
      </c>
      <c r="B38" s="6" t="s">
        <v>75</v>
      </c>
      <c r="C38" s="14" t="s">
        <v>76</v>
      </c>
      <c r="D38" s="3">
        <v>0.9</v>
      </c>
      <c r="E38" s="3">
        <v>0.7</v>
      </c>
      <c r="F38" s="3">
        <v>25</v>
      </c>
      <c r="G38" s="3">
        <v>25</v>
      </c>
      <c r="H38" s="8">
        <v>6640</v>
      </c>
      <c r="I38" s="26">
        <f t="shared" si="0"/>
        <v>4448.8</v>
      </c>
      <c r="J38" s="29">
        <f t="shared" si="1"/>
        <v>4315.3360000000002</v>
      </c>
    </row>
    <row r="39" spans="1:10" ht="21.75" customHeight="1" x14ac:dyDescent="0.35">
      <c r="A39" s="6">
        <v>33</v>
      </c>
      <c r="B39" s="6" t="s">
        <v>77</v>
      </c>
      <c r="C39" s="14" t="s">
        <v>78</v>
      </c>
      <c r="D39" s="3">
        <v>1</v>
      </c>
      <c r="E39" s="3">
        <v>0.75</v>
      </c>
      <c r="F39" s="3">
        <v>25</v>
      </c>
      <c r="G39" s="3">
        <v>25</v>
      </c>
      <c r="H39" s="8">
        <v>7100</v>
      </c>
      <c r="I39" s="26">
        <f t="shared" si="0"/>
        <v>4757</v>
      </c>
      <c r="J39" s="29">
        <f t="shared" si="1"/>
        <v>4614.29</v>
      </c>
    </row>
    <row r="40" spans="1:10" ht="21.75" customHeight="1" x14ac:dyDescent="0.35">
      <c r="A40" s="6">
        <v>34</v>
      </c>
      <c r="B40" s="4" t="s">
        <v>79</v>
      </c>
      <c r="C40" s="15" t="s">
        <v>80</v>
      </c>
      <c r="D40" s="3">
        <v>0.5</v>
      </c>
      <c r="E40" s="3">
        <v>0.37</v>
      </c>
      <c r="F40" s="3">
        <v>25</v>
      </c>
      <c r="G40" s="3">
        <v>25</v>
      </c>
      <c r="H40" s="8">
        <v>5500</v>
      </c>
      <c r="I40" s="26">
        <f t="shared" si="0"/>
        <v>3685</v>
      </c>
      <c r="J40" s="29">
        <f t="shared" si="1"/>
        <v>3574.45</v>
      </c>
    </row>
    <row r="41" spans="1:10" ht="21.75" customHeight="1" x14ac:dyDescent="0.35">
      <c r="A41" s="4">
        <v>35</v>
      </c>
      <c r="B41" s="4"/>
      <c r="C41" s="15" t="s">
        <v>81</v>
      </c>
      <c r="D41" s="3">
        <v>1</v>
      </c>
      <c r="E41" s="3">
        <v>0.75</v>
      </c>
      <c r="F41" s="3">
        <v>25</v>
      </c>
      <c r="G41" s="3">
        <v>25</v>
      </c>
      <c r="H41" s="8">
        <v>6200</v>
      </c>
      <c r="I41" s="26">
        <f t="shared" si="0"/>
        <v>4154</v>
      </c>
      <c r="J41" s="29">
        <f t="shared" si="1"/>
        <v>4029.38</v>
      </c>
    </row>
    <row r="42" spans="1:10" ht="21.75" customHeight="1" x14ac:dyDescent="0.35">
      <c r="A42" s="6">
        <v>36</v>
      </c>
      <c r="B42" s="4" t="s">
        <v>82</v>
      </c>
      <c r="C42" s="12" t="s">
        <v>83</v>
      </c>
      <c r="D42" s="1">
        <v>0.5</v>
      </c>
      <c r="E42" s="1">
        <v>0.37</v>
      </c>
      <c r="F42" s="1">
        <v>25</v>
      </c>
      <c r="G42" s="1">
        <v>25</v>
      </c>
      <c r="H42" s="8">
        <v>7140</v>
      </c>
      <c r="I42" s="26">
        <f t="shared" si="0"/>
        <v>4783.8</v>
      </c>
      <c r="J42" s="29">
        <f t="shared" si="1"/>
        <v>4640.2860000000001</v>
      </c>
    </row>
    <row r="43" spans="1:10" ht="21.75" customHeight="1" x14ac:dyDescent="0.35">
      <c r="A43" s="6">
        <v>37</v>
      </c>
      <c r="B43" s="6" t="s">
        <v>84</v>
      </c>
      <c r="C43" s="14" t="s">
        <v>85</v>
      </c>
      <c r="D43" s="1">
        <v>1.1000000000000001</v>
      </c>
      <c r="E43" s="1">
        <v>0.8</v>
      </c>
      <c r="F43" s="1">
        <v>25</v>
      </c>
      <c r="G43" s="1">
        <v>25</v>
      </c>
      <c r="H43" s="8">
        <v>7700</v>
      </c>
      <c r="I43" s="26">
        <f t="shared" si="0"/>
        <v>5159</v>
      </c>
      <c r="J43" s="29">
        <f t="shared" si="1"/>
        <v>5004.2299999999996</v>
      </c>
    </row>
    <row r="44" spans="1:10" ht="21.75" customHeight="1" x14ac:dyDescent="0.35">
      <c r="A44" s="6">
        <v>38</v>
      </c>
      <c r="B44" s="6" t="s">
        <v>86</v>
      </c>
      <c r="C44" s="14" t="s">
        <v>87</v>
      </c>
      <c r="D44" s="1">
        <v>1.5</v>
      </c>
      <c r="E44" s="1">
        <v>1.1000000000000001</v>
      </c>
      <c r="F44" s="1">
        <v>25</v>
      </c>
      <c r="G44" s="1">
        <v>25</v>
      </c>
      <c r="H44" s="8">
        <v>8690</v>
      </c>
      <c r="I44" s="26">
        <f t="shared" si="0"/>
        <v>5822.3</v>
      </c>
      <c r="J44" s="29">
        <f t="shared" si="1"/>
        <v>5647.6310000000003</v>
      </c>
    </row>
    <row r="45" spans="1:10" ht="21.75" customHeight="1" x14ac:dyDescent="0.35">
      <c r="A45" s="4">
        <v>39</v>
      </c>
      <c r="B45" s="4" t="s">
        <v>88</v>
      </c>
      <c r="C45" s="12" t="s">
        <v>89</v>
      </c>
      <c r="D45" s="2">
        <v>0.5</v>
      </c>
      <c r="E45" s="2">
        <v>0.37</v>
      </c>
      <c r="F45" s="2">
        <v>25</v>
      </c>
      <c r="G45" s="2">
        <v>12</v>
      </c>
      <c r="H45" s="8">
        <v>4860</v>
      </c>
      <c r="I45" s="26">
        <f t="shared" si="0"/>
        <v>3256.2000000000003</v>
      </c>
      <c r="J45" s="29">
        <f t="shared" si="1"/>
        <v>3158.5140000000001</v>
      </c>
    </row>
    <row r="46" spans="1:10" ht="21.75" customHeight="1" x14ac:dyDescent="0.35">
      <c r="A46" s="6">
        <v>40</v>
      </c>
      <c r="B46" s="4" t="s">
        <v>90</v>
      </c>
      <c r="C46" s="12" t="s">
        <v>91</v>
      </c>
      <c r="D46" s="2">
        <v>1</v>
      </c>
      <c r="E46" s="2">
        <v>0.75</v>
      </c>
      <c r="F46" s="2">
        <v>25</v>
      </c>
      <c r="G46" s="2">
        <v>25</v>
      </c>
      <c r="H46" s="8">
        <v>5600</v>
      </c>
      <c r="I46" s="26">
        <f t="shared" si="0"/>
        <v>3752</v>
      </c>
      <c r="J46" s="29">
        <f t="shared" si="1"/>
        <v>3639.44</v>
      </c>
    </row>
    <row r="47" spans="1:10" ht="21.75" customHeight="1" x14ac:dyDescent="0.35">
      <c r="A47" s="6">
        <v>41</v>
      </c>
      <c r="B47" s="6" t="s">
        <v>92</v>
      </c>
      <c r="C47" s="14" t="s">
        <v>93</v>
      </c>
      <c r="D47" s="17">
        <v>1</v>
      </c>
      <c r="E47" s="17">
        <v>0.75</v>
      </c>
      <c r="F47" s="17">
        <v>25</v>
      </c>
      <c r="G47" s="17">
        <v>25</v>
      </c>
      <c r="H47" s="9">
        <v>8420</v>
      </c>
      <c r="I47" s="297">
        <v>5570</v>
      </c>
      <c r="J47" s="297"/>
    </row>
    <row r="48" spans="1:10" ht="21.75" customHeight="1" x14ac:dyDescent="0.35">
      <c r="A48" s="6">
        <v>42</v>
      </c>
      <c r="B48" s="6" t="s">
        <v>94</v>
      </c>
      <c r="C48" s="14" t="s">
        <v>95</v>
      </c>
      <c r="D48" s="2">
        <v>1.1000000000000001</v>
      </c>
      <c r="E48" s="2">
        <v>0.8</v>
      </c>
      <c r="F48" s="2">
        <v>25</v>
      </c>
      <c r="G48" s="2">
        <v>25</v>
      </c>
      <c r="H48" s="8">
        <v>12020</v>
      </c>
      <c r="I48" s="26">
        <f t="shared" si="0"/>
        <v>8053.4000000000005</v>
      </c>
      <c r="J48" s="29">
        <f t="shared" si="1"/>
        <v>7811.7980000000007</v>
      </c>
    </row>
    <row r="49" spans="1:10" ht="21.75" customHeight="1" x14ac:dyDescent="0.35">
      <c r="A49" s="4">
        <v>43</v>
      </c>
      <c r="B49" s="4" t="s">
        <v>96</v>
      </c>
      <c r="C49" s="12" t="s">
        <v>97</v>
      </c>
      <c r="D49" s="2">
        <v>0.5</v>
      </c>
      <c r="E49" s="2">
        <v>0.37</v>
      </c>
      <c r="F49" s="2">
        <v>25</v>
      </c>
      <c r="G49" s="2">
        <v>25</v>
      </c>
      <c r="H49" s="8">
        <v>7530</v>
      </c>
      <c r="I49" s="26">
        <f t="shared" si="0"/>
        <v>5045.1000000000004</v>
      </c>
      <c r="J49" s="29">
        <f t="shared" si="1"/>
        <v>4893.7470000000003</v>
      </c>
    </row>
    <row r="50" spans="1:10" ht="21.75" customHeight="1" x14ac:dyDescent="0.35">
      <c r="A50" s="6">
        <v>44</v>
      </c>
      <c r="B50" s="4" t="s">
        <v>98</v>
      </c>
      <c r="C50" s="12" t="s">
        <v>99</v>
      </c>
      <c r="D50" s="2">
        <v>1</v>
      </c>
      <c r="E50" s="2">
        <v>0.75</v>
      </c>
      <c r="F50" s="2">
        <v>25</v>
      </c>
      <c r="G50" s="2">
        <v>25</v>
      </c>
      <c r="H50" s="8">
        <v>9150</v>
      </c>
      <c r="I50" s="26">
        <f t="shared" si="0"/>
        <v>6130.5</v>
      </c>
      <c r="J50" s="29">
        <f t="shared" si="1"/>
        <v>5946.585</v>
      </c>
    </row>
    <row r="51" spans="1:10" ht="21.75" customHeight="1" x14ac:dyDescent="0.35">
      <c r="A51" s="6">
        <v>45</v>
      </c>
      <c r="B51" s="4" t="s">
        <v>100</v>
      </c>
      <c r="C51" s="12" t="s">
        <v>101</v>
      </c>
      <c r="D51" s="2">
        <v>1</v>
      </c>
      <c r="E51" s="2">
        <v>0.75</v>
      </c>
      <c r="F51" s="2">
        <v>25</v>
      </c>
      <c r="G51" s="2">
        <v>25</v>
      </c>
      <c r="H51" s="5">
        <v>16800</v>
      </c>
      <c r="I51" s="26">
        <f t="shared" si="0"/>
        <v>11256</v>
      </c>
      <c r="J51" s="29">
        <f t="shared" si="1"/>
        <v>10918.32</v>
      </c>
    </row>
    <row r="52" spans="1:10" ht="21.75" customHeight="1" x14ac:dyDescent="0.35">
      <c r="A52" s="6">
        <v>46</v>
      </c>
      <c r="B52" s="6" t="s">
        <v>102</v>
      </c>
      <c r="C52" s="14" t="s">
        <v>103</v>
      </c>
      <c r="D52" s="2">
        <v>0.5</v>
      </c>
      <c r="E52" s="2">
        <v>0.37</v>
      </c>
      <c r="F52" s="2">
        <v>25</v>
      </c>
      <c r="G52" s="2">
        <v>25</v>
      </c>
      <c r="H52" s="8">
        <v>17760</v>
      </c>
      <c r="I52" s="26">
        <f t="shared" si="0"/>
        <v>11899.2</v>
      </c>
      <c r="J52" s="29">
        <f t="shared" si="1"/>
        <v>11542.224</v>
      </c>
    </row>
    <row r="53" spans="1:10" ht="21.75" customHeight="1" x14ac:dyDescent="0.35">
      <c r="A53" s="4">
        <v>47</v>
      </c>
      <c r="B53" s="6" t="s">
        <v>104</v>
      </c>
      <c r="C53" s="14" t="s">
        <v>105</v>
      </c>
      <c r="D53" s="2">
        <v>1</v>
      </c>
      <c r="E53" s="2">
        <v>0.75</v>
      </c>
      <c r="F53" s="2">
        <v>25</v>
      </c>
      <c r="G53" s="2">
        <v>25</v>
      </c>
      <c r="H53" s="8">
        <v>19120</v>
      </c>
      <c r="I53" s="26">
        <f t="shared" si="0"/>
        <v>12810.400000000001</v>
      </c>
      <c r="J53" s="29">
        <f t="shared" si="1"/>
        <v>12426.088000000002</v>
      </c>
    </row>
    <row r="54" spans="1:10" ht="21.75" customHeight="1" x14ac:dyDescent="0.35">
      <c r="A54" s="6">
        <v>48</v>
      </c>
      <c r="B54" s="6" t="s">
        <v>106</v>
      </c>
      <c r="C54" s="14" t="s">
        <v>107</v>
      </c>
      <c r="D54" s="2">
        <v>1.1000000000000001</v>
      </c>
      <c r="E54" s="2">
        <v>0.8</v>
      </c>
      <c r="F54" s="2">
        <v>25</v>
      </c>
      <c r="G54" s="2">
        <v>25</v>
      </c>
      <c r="H54" s="8">
        <v>20900</v>
      </c>
      <c r="I54" s="26">
        <f t="shared" si="0"/>
        <v>14003</v>
      </c>
      <c r="J54" s="29">
        <f t="shared" si="1"/>
        <v>13582.91</v>
      </c>
    </row>
    <row r="55" spans="1:10" ht="21.75" customHeight="1" x14ac:dyDescent="0.35">
      <c r="A55" s="300" t="s">
        <v>108</v>
      </c>
      <c r="B55" s="300"/>
      <c r="C55" s="300"/>
      <c r="D55" s="300"/>
      <c r="E55" s="300"/>
      <c r="F55" s="300"/>
      <c r="G55" s="300"/>
      <c r="H55" s="287" t="s">
        <v>109</v>
      </c>
      <c r="I55" s="299" t="s">
        <v>504</v>
      </c>
      <c r="J55" s="299"/>
    </row>
    <row r="56" spans="1:10" ht="21.75" customHeight="1" x14ac:dyDescent="0.35">
      <c r="A56" s="287" t="s">
        <v>2</v>
      </c>
      <c r="B56" s="287" t="s">
        <v>3</v>
      </c>
      <c r="C56" s="298" t="s">
        <v>4</v>
      </c>
      <c r="D56" s="287" t="s">
        <v>5</v>
      </c>
      <c r="E56" s="287"/>
      <c r="F56" s="287" t="s">
        <v>6</v>
      </c>
      <c r="G56" s="287"/>
      <c r="H56" s="287"/>
      <c r="I56" s="299"/>
      <c r="J56" s="299"/>
    </row>
    <row r="57" spans="1:10" ht="21.75" customHeight="1" x14ac:dyDescent="0.35">
      <c r="A57" s="287"/>
      <c r="B57" s="287"/>
      <c r="C57" s="298"/>
      <c r="D57" s="11" t="s">
        <v>9</v>
      </c>
      <c r="E57" s="11" t="s">
        <v>10</v>
      </c>
      <c r="F57" s="11" t="s">
        <v>11</v>
      </c>
      <c r="G57" s="11" t="s">
        <v>12</v>
      </c>
      <c r="H57" s="287"/>
      <c r="I57" s="41">
        <v>0.33</v>
      </c>
      <c r="J57" s="41">
        <v>0.03</v>
      </c>
    </row>
    <row r="58" spans="1:10" ht="21.75" customHeight="1" x14ac:dyDescent="0.35">
      <c r="A58" s="6">
        <v>1</v>
      </c>
      <c r="B58" s="6" t="s">
        <v>110</v>
      </c>
      <c r="C58" s="14" t="s">
        <v>111</v>
      </c>
      <c r="D58" s="303">
        <v>0.5</v>
      </c>
      <c r="E58" s="303">
        <v>0.37</v>
      </c>
      <c r="F58" s="2">
        <v>25</v>
      </c>
      <c r="G58" s="2">
        <v>25</v>
      </c>
      <c r="H58" s="8">
        <v>4680</v>
      </c>
      <c r="I58" s="26">
        <f>H58*0.67</f>
        <v>3135.6000000000004</v>
      </c>
      <c r="J58" s="29">
        <f t="shared" ref="J58:J113" si="2">I58*0.97</f>
        <v>3041.5320000000002</v>
      </c>
    </row>
    <row r="59" spans="1:10" ht="21.75" customHeight="1" x14ac:dyDescent="0.35">
      <c r="A59" s="6">
        <v>2</v>
      </c>
      <c r="B59" s="6" t="s">
        <v>112</v>
      </c>
      <c r="C59" s="14" t="s">
        <v>113</v>
      </c>
      <c r="D59" s="303"/>
      <c r="E59" s="303"/>
      <c r="F59" s="2">
        <v>40</v>
      </c>
      <c r="G59" s="2">
        <v>40</v>
      </c>
      <c r="H59" s="8">
        <v>6430</v>
      </c>
      <c r="I59" s="26">
        <f t="shared" ref="I59:I113" si="3">H59*0.67</f>
        <v>4308.1000000000004</v>
      </c>
      <c r="J59" s="29">
        <f t="shared" si="2"/>
        <v>4178.857</v>
      </c>
    </row>
    <row r="60" spans="1:10" ht="21.75" customHeight="1" x14ac:dyDescent="0.35">
      <c r="A60" s="4">
        <v>3</v>
      </c>
      <c r="B60" s="4" t="s">
        <v>114</v>
      </c>
      <c r="C60" s="18" t="s">
        <v>115</v>
      </c>
      <c r="D60" s="2">
        <v>0.75</v>
      </c>
      <c r="E60" s="2">
        <v>0.56000000000000005</v>
      </c>
      <c r="F60" s="2">
        <v>40</v>
      </c>
      <c r="G60" s="2">
        <v>40</v>
      </c>
      <c r="H60" s="5">
        <v>6240</v>
      </c>
      <c r="I60" s="26">
        <f t="shared" si="3"/>
        <v>4180.8</v>
      </c>
      <c r="J60" s="29">
        <f t="shared" si="2"/>
        <v>4055.3760000000002</v>
      </c>
    </row>
    <row r="61" spans="1:10" ht="21.75" customHeight="1" x14ac:dyDescent="0.35">
      <c r="A61" s="6">
        <v>4</v>
      </c>
      <c r="B61" s="6" t="s">
        <v>116</v>
      </c>
      <c r="C61" s="14" t="s">
        <v>117</v>
      </c>
      <c r="D61" s="301">
        <v>1</v>
      </c>
      <c r="E61" s="301">
        <v>0.75</v>
      </c>
      <c r="F61" s="1">
        <v>25</v>
      </c>
      <c r="G61" s="1">
        <v>25</v>
      </c>
      <c r="H61" s="8">
        <v>7572</v>
      </c>
      <c r="I61" s="26">
        <f t="shared" si="3"/>
        <v>5073.2400000000007</v>
      </c>
      <c r="J61" s="29">
        <f t="shared" si="2"/>
        <v>4921.0428000000002</v>
      </c>
    </row>
    <row r="62" spans="1:10" ht="21.75" customHeight="1" x14ac:dyDescent="0.35">
      <c r="A62" s="6">
        <v>5</v>
      </c>
      <c r="B62" s="6" t="s">
        <v>118</v>
      </c>
      <c r="C62" s="14" t="s">
        <v>119</v>
      </c>
      <c r="D62" s="301"/>
      <c r="E62" s="301"/>
      <c r="F62" s="1">
        <v>50</v>
      </c>
      <c r="G62" s="1">
        <v>50</v>
      </c>
      <c r="H62" s="8">
        <v>8900</v>
      </c>
      <c r="I62" s="26">
        <f t="shared" si="3"/>
        <v>5963</v>
      </c>
      <c r="J62" s="29">
        <f t="shared" si="2"/>
        <v>5784.11</v>
      </c>
    </row>
    <row r="63" spans="1:10" ht="21.75" customHeight="1" x14ac:dyDescent="0.35">
      <c r="A63" s="4">
        <v>6</v>
      </c>
      <c r="B63" s="6" t="s">
        <v>120</v>
      </c>
      <c r="C63" s="14" t="s">
        <v>121</v>
      </c>
      <c r="D63" s="301"/>
      <c r="E63" s="301"/>
      <c r="F63" s="1">
        <v>50</v>
      </c>
      <c r="G63" s="1">
        <v>50</v>
      </c>
      <c r="H63" s="5">
        <v>9100</v>
      </c>
      <c r="I63" s="26">
        <f t="shared" si="3"/>
        <v>6097</v>
      </c>
      <c r="J63" s="29">
        <f t="shared" si="2"/>
        <v>5914.09</v>
      </c>
    </row>
    <row r="64" spans="1:10" ht="21.75" customHeight="1" x14ac:dyDescent="0.35">
      <c r="A64" s="6">
        <v>7</v>
      </c>
      <c r="B64" s="4" t="s">
        <v>122</v>
      </c>
      <c r="C64" s="18" t="s">
        <v>123</v>
      </c>
      <c r="D64" s="301"/>
      <c r="E64" s="301"/>
      <c r="F64" s="1">
        <v>50</v>
      </c>
      <c r="G64" s="1">
        <v>50</v>
      </c>
      <c r="H64" s="5">
        <v>9000</v>
      </c>
      <c r="I64" s="26">
        <f t="shared" si="3"/>
        <v>6030</v>
      </c>
      <c r="J64" s="29">
        <f t="shared" si="2"/>
        <v>5849.0999999999995</v>
      </c>
    </row>
    <row r="65" spans="1:10" ht="21.75" customHeight="1" x14ac:dyDescent="0.35">
      <c r="A65" s="6">
        <v>8</v>
      </c>
      <c r="B65" s="4" t="s">
        <v>124</v>
      </c>
      <c r="C65" s="19" t="s">
        <v>125</v>
      </c>
      <c r="D65" s="301"/>
      <c r="E65" s="301"/>
      <c r="F65" s="1">
        <v>75</v>
      </c>
      <c r="G65" s="1">
        <v>75</v>
      </c>
      <c r="H65" s="8">
        <v>10000</v>
      </c>
      <c r="I65" s="26">
        <f t="shared" si="3"/>
        <v>6700</v>
      </c>
      <c r="J65" s="29">
        <f t="shared" si="2"/>
        <v>6499</v>
      </c>
    </row>
    <row r="66" spans="1:10" ht="21.75" customHeight="1" x14ac:dyDescent="0.35">
      <c r="A66" s="4">
        <v>9</v>
      </c>
      <c r="B66" s="4"/>
      <c r="C66" s="18" t="s">
        <v>126</v>
      </c>
      <c r="D66" s="301"/>
      <c r="E66" s="301"/>
      <c r="F66" s="1">
        <v>75</v>
      </c>
      <c r="G66" s="1">
        <v>75</v>
      </c>
      <c r="H66" s="5">
        <v>10200</v>
      </c>
      <c r="I66" s="26">
        <f t="shared" si="3"/>
        <v>6834</v>
      </c>
      <c r="J66" s="29">
        <f t="shared" si="2"/>
        <v>6628.98</v>
      </c>
    </row>
    <row r="67" spans="1:10" ht="21.75" customHeight="1" x14ac:dyDescent="0.35">
      <c r="A67" s="6">
        <v>10</v>
      </c>
      <c r="B67" s="4" t="s">
        <v>127</v>
      </c>
      <c r="C67" s="19" t="s">
        <v>128</v>
      </c>
      <c r="D67" s="301">
        <v>1.5</v>
      </c>
      <c r="E67" s="301">
        <v>1.1000000000000001</v>
      </c>
      <c r="F67" s="1">
        <v>50</v>
      </c>
      <c r="G67" s="1">
        <v>50</v>
      </c>
      <c r="H67" s="5">
        <v>10420</v>
      </c>
      <c r="I67" s="26">
        <f t="shared" si="3"/>
        <v>6981.4000000000005</v>
      </c>
      <c r="J67" s="29">
        <f t="shared" si="2"/>
        <v>6771.9580000000005</v>
      </c>
    </row>
    <row r="68" spans="1:10" ht="21.75" customHeight="1" x14ac:dyDescent="0.35">
      <c r="A68" s="6">
        <v>11</v>
      </c>
      <c r="B68" s="4" t="s">
        <v>129</v>
      </c>
      <c r="C68" s="18" t="s">
        <v>130</v>
      </c>
      <c r="D68" s="301"/>
      <c r="E68" s="301"/>
      <c r="F68" s="1">
        <v>50</v>
      </c>
      <c r="G68" s="1">
        <v>50</v>
      </c>
      <c r="H68" s="5">
        <v>10600</v>
      </c>
      <c r="I68" s="26">
        <f t="shared" si="3"/>
        <v>7102</v>
      </c>
      <c r="J68" s="29">
        <f t="shared" si="2"/>
        <v>6888.94</v>
      </c>
    </row>
    <row r="69" spans="1:10" ht="21.75" customHeight="1" x14ac:dyDescent="0.35">
      <c r="A69" s="4">
        <v>12</v>
      </c>
      <c r="B69" s="4" t="s">
        <v>131</v>
      </c>
      <c r="C69" s="19" t="s">
        <v>132</v>
      </c>
      <c r="D69" s="301"/>
      <c r="E69" s="301"/>
      <c r="F69" s="1">
        <v>65</v>
      </c>
      <c r="G69" s="1">
        <v>50</v>
      </c>
      <c r="H69" s="5">
        <v>10600</v>
      </c>
      <c r="I69" s="26">
        <f t="shared" si="3"/>
        <v>7102</v>
      </c>
      <c r="J69" s="29">
        <f t="shared" si="2"/>
        <v>6888.94</v>
      </c>
    </row>
    <row r="70" spans="1:10" ht="21.75" customHeight="1" x14ac:dyDescent="0.35">
      <c r="A70" s="6">
        <v>13</v>
      </c>
      <c r="B70" s="4" t="s">
        <v>133</v>
      </c>
      <c r="C70" s="18" t="s">
        <v>134</v>
      </c>
      <c r="D70" s="301"/>
      <c r="E70" s="301"/>
      <c r="F70" s="1">
        <v>65</v>
      </c>
      <c r="G70" s="1">
        <v>50</v>
      </c>
      <c r="H70" s="5">
        <v>10800</v>
      </c>
      <c r="I70" s="26">
        <f t="shared" si="3"/>
        <v>7236</v>
      </c>
      <c r="J70" s="29">
        <f t="shared" si="2"/>
        <v>7018.92</v>
      </c>
    </row>
    <row r="71" spans="1:10" ht="21.75" customHeight="1" x14ac:dyDescent="0.35">
      <c r="A71" s="6">
        <v>14</v>
      </c>
      <c r="B71" s="4" t="s">
        <v>135</v>
      </c>
      <c r="C71" s="19" t="s">
        <v>136</v>
      </c>
      <c r="D71" s="301"/>
      <c r="E71" s="301"/>
      <c r="F71" s="1">
        <v>75</v>
      </c>
      <c r="G71" s="1">
        <v>75</v>
      </c>
      <c r="H71" s="8">
        <v>11000</v>
      </c>
      <c r="I71" s="26">
        <f t="shared" si="3"/>
        <v>7370</v>
      </c>
      <c r="J71" s="29">
        <f t="shared" si="2"/>
        <v>7148.9</v>
      </c>
    </row>
    <row r="72" spans="1:10" ht="21.75" customHeight="1" x14ac:dyDescent="0.35">
      <c r="A72" s="4">
        <v>15</v>
      </c>
      <c r="B72" s="4" t="s">
        <v>137</v>
      </c>
      <c r="C72" s="18" t="s">
        <v>138</v>
      </c>
      <c r="D72" s="301"/>
      <c r="E72" s="301"/>
      <c r="F72" s="1">
        <v>75</v>
      </c>
      <c r="G72" s="1">
        <v>75</v>
      </c>
      <c r="H72" s="5">
        <v>11200</v>
      </c>
      <c r="I72" s="26">
        <f t="shared" si="3"/>
        <v>7504</v>
      </c>
      <c r="J72" s="29">
        <f t="shared" si="2"/>
        <v>7278.88</v>
      </c>
    </row>
    <row r="73" spans="1:10" ht="21.75" customHeight="1" x14ac:dyDescent="0.35">
      <c r="A73" s="6">
        <v>16</v>
      </c>
      <c r="B73" s="4" t="s">
        <v>139</v>
      </c>
      <c r="C73" s="18" t="s">
        <v>140</v>
      </c>
      <c r="D73" s="301"/>
      <c r="E73" s="301"/>
      <c r="F73" s="1">
        <v>75</v>
      </c>
      <c r="G73" s="1">
        <v>75</v>
      </c>
      <c r="H73" s="5">
        <v>11200</v>
      </c>
      <c r="I73" s="26">
        <f t="shared" si="3"/>
        <v>7504</v>
      </c>
      <c r="J73" s="29">
        <f t="shared" si="2"/>
        <v>7278.88</v>
      </c>
    </row>
    <row r="74" spans="1:10" ht="21.75" customHeight="1" x14ac:dyDescent="0.35">
      <c r="A74" s="6">
        <v>17</v>
      </c>
      <c r="B74" s="4" t="s">
        <v>141</v>
      </c>
      <c r="C74" s="19" t="s">
        <v>142</v>
      </c>
      <c r="D74" s="301">
        <v>2</v>
      </c>
      <c r="E74" s="301">
        <v>1.5</v>
      </c>
      <c r="F74" s="1">
        <v>50</v>
      </c>
      <c r="G74" s="1">
        <v>40</v>
      </c>
      <c r="H74" s="8">
        <v>15000</v>
      </c>
      <c r="I74" s="26">
        <f t="shared" si="3"/>
        <v>10050</v>
      </c>
      <c r="J74" s="29">
        <f t="shared" si="2"/>
        <v>9748.5</v>
      </c>
    </row>
    <row r="75" spans="1:10" ht="21.75" customHeight="1" x14ac:dyDescent="0.35">
      <c r="A75" s="4">
        <v>18</v>
      </c>
      <c r="B75" s="4" t="s">
        <v>143</v>
      </c>
      <c r="C75" s="18" t="s">
        <v>144</v>
      </c>
      <c r="D75" s="301"/>
      <c r="E75" s="301"/>
      <c r="F75" s="1">
        <v>50</v>
      </c>
      <c r="G75" s="1">
        <v>40</v>
      </c>
      <c r="H75" s="5">
        <v>15200</v>
      </c>
      <c r="I75" s="26">
        <f t="shared" si="3"/>
        <v>10184</v>
      </c>
      <c r="J75" s="29">
        <f t="shared" si="2"/>
        <v>9878.48</v>
      </c>
    </row>
    <row r="76" spans="1:10" ht="21.75" customHeight="1" x14ac:dyDescent="0.35">
      <c r="A76" s="6">
        <v>19</v>
      </c>
      <c r="B76" s="6" t="s">
        <v>145</v>
      </c>
      <c r="C76" s="14" t="s">
        <v>146</v>
      </c>
      <c r="D76" s="301"/>
      <c r="E76" s="301"/>
      <c r="F76" s="1">
        <v>50</v>
      </c>
      <c r="G76" s="1">
        <v>50</v>
      </c>
      <c r="H76" s="8">
        <v>13000</v>
      </c>
      <c r="I76" s="26">
        <f t="shared" si="3"/>
        <v>8710</v>
      </c>
      <c r="J76" s="29">
        <f t="shared" si="2"/>
        <v>8448.6999999999989</v>
      </c>
    </row>
    <row r="77" spans="1:10" ht="21.75" customHeight="1" x14ac:dyDescent="0.35">
      <c r="A77" s="6">
        <v>20</v>
      </c>
      <c r="B77" s="4" t="s">
        <v>147</v>
      </c>
      <c r="C77" s="18" t="s">
        <v>148</v>
      </c>
      <c r="D77" s="301"/>
      <c r="E77" s="301"/>
      <c r="F77" s="1">
        <v>50</v>
      </c>
      <c r="G77" s="1">
        <v>50</v>
      </c>
      <c r="H77" s="5">
        <v>13200</v>
      </c>
      <c r="I77" s="26">
        <f t="shared" si="3"/>
        <v>8844</v>
      </c>
      <c r="J77" s="29">
        <f t="shared" si="2"/>
        <v>8578.68</v>
      </c>
    </row>
    <row r="78" spans="1:10" ht="21.75" customHeight="1" x14ac:dyDescent="0.35">
      <c r="A78" s="4">
        <v>21</v>
      </c>
      <c r="B78" s="6" t="s">
        <v>149</v>
      </c>
      <c r="C78" s="14" t="s">
        <v>150</v>
      </c>
      <c r="D78" s="301"/>
      <c r="E78" s="301"/>
      <c r="F78" s="1">
        <v>65</v>
      </c>
      <c r="G78" s="1">
        <v>50</v>
      </c>
      <c r="H78" s="8">
        <v>13300</v>
      </c>
      <c r="I78" s="26">
        <f t="shared" si="3"/>
        <v>8911</v>
      </c>
      <c r="J78" s="29">
        <f t="shared" si="2"/>
        <v>8643.67</v>
      </c>
    </row>
    <row r="79" spans="1:10" ht="21.75" customHeight="1" x14ac:dyDescent="0.35">
      <c r="A79" s="6">
        <v>22</v>
      </c>
      <c r="B79" s="6" t="s">
        <v>151</v>
      </c>
      <c r="C79" s="14" t="s">
        <v>152</v>
      </c>
      <c r="D79" s="301"/>
      <c r="E79" s="301"/>
      <c r="F79" s="1">
        <v>65</v>
      </c>
      <c r="G79" s="1">
        <v>50</v>
      </c>
      <c r="H79" s="5">
        <v>13500</v>
      </c>
      <c r="I79" s="26">
        <f t="shared" si="3"/>
        <v>9045</v>
      </c>
      <c r="J79" s="29">
        <f t="shared" si="2"/>
        <v>8773.65</v>
      </c>
    </row>
    <row r="80" spans="1:10" ht="21.75" customHeight="1" x14ac:dyDescent="0.35">
      <c r="A80" s="6">
        <v>23</v>
      </c>
      <c r="B80" s="4" t="s">
        <v>153</v>
      </c>
      <c r="C80" s="18" t="s">
        <v>154</v>
      </c>
      <c r="D80" s="301"/>
      <c r="E80" s="301"/>
      <c r="F80" s="1">
        <v>65</v>
      </c>
      <c r="G80" s="1">
        <v>50</v>
      </c>
      <c r="H80" s="5">
        <v>13340</v>
      </c>
      <c r="I80" s="26">
        <f t="shared" si="3"/>
        <v>8937.8000000000011</v>
      </c>
      <c r="J80" s="29">
        <f t="shared" si="2"/>
        <v>8669.6660000000011</v>
      </c>
    </row>
    <row r="81" spans="1:10" ht="21.75" customHeight="1" x14ac:dyDescent="0.35">
      <c r="A81" s="4">
        <v>24</v>
      </c>
      <c r="B81" s="6"/>
      <c r="C81" s="14" t="s">
        <v>155</v>
      </c>
      <c r="D81" s="301"/>
      <c r="E81" s="301"/>
      <c r="F81" s="1">
        <v>65</v>
      </c>
      <c r="G81" s="1">
        <v>50</v>
      </c>
      <c r="H81" s="8">
        <v>13300</v>
      </c>
      <c r="I81" s="26">
        <f t="shared" si="3"/>
        <v>8911</v>
      </c>
      <c r="J81" s="29">
        <f t="shared" si="2"/>
        <v>8643.67</v>
      </c>
    </row>
    <row r="82" spans="1:10" ht="21.75" customHeight="1" x14ac:dyDescent="0.35">
      <c r="A82" s="6">
        <v>25</v>
      </c>
      <c r="B82" s="4" t="s">
        <v>156</v>
      </c>
      <c r="C82" s="18" t="s">
        <v>157</v>
      </c>
      <c r="D82" s="301"/>
      <c r="E82" s="301"/>
      <c r="F82" s="1">
        <v>75</v>
      </c>
      <c r="G82" s="1">
        <v>75</v>
      </c>
      <c r="H82" s="5">
        <v>13600</v>
      </c>
      <c r="I82" s="26">
        <f t="shared" si="3"/>
        <v>9112</v>
      </c>
      <c r="J82" s="29">
        <f t="shared" si="2"/>
        <v>8838.64</v>
      </c>
    </row>
    <row r="83" spans="1:10" ht="21.75" customHeight="1" x14ac:dyDescent="0.35">
      <c r="A83" s="6">
        <v>26</v>
      </c>
      <c r="B83" s="6" t="s">
        <v>158</v>
      </c>
      <c r="C83" s="14" t="s">
        <v>159</v>
      </c>
      <c r="D83" s="301"/>
      <c r="E83" s="301"/>
      <c r="F83" s="1">
        <v>75</v>
      </c>
      <c r="G83" s="1">
        <v>75</v>
      </c>
      <c r="H83" s="8">
        <v>13450</v>
      </c>
      <c r="I83" s="26">
        <f t="shared" si="3"/>
        <v>9011.5</v>
      </c>
      <c r="J83" s="29">
        <f t="shared" si="2"/>
        <v>8741.1550000000007</v>
      </c>
    </row>
    <row r="84" spans="1:10" ht="21.75" customHeight="1" x14ac:dyDescent="0.35">
      <c r="A84" s="4">
        <v>27</v>
      </c>
      <c r="B84" s="6" t="s">
        <v>160</v>
      </c>
      <c r="C84" s="14" t="s">
        <v>161</v>
      </c>
      <c r="D84" s="301"/>
      <c r="E84" s="301"/>
      <c r="F84" s="1">
        <v>75</v>
      </c>
      <c r="G84" s="1">
        <v>75</v>
      </c>
      <c r="H84" s="5">
        <v>13800</v>
      </c>
      <c r="I84" s="26">
        <f t="shared" si="3"/>
        <v>9246</v>
      </c>
      <c r="J84" s="29">
        <f t="shared" si="2"/>
        <v>8968.619999999999</v>
      </c>
    </row>
    <row r="85" spans="1:10" ht="21.75" customHeight="1" x14ac:dyDescent="0.35">
      <c r="A85" s="6">
        <v>28</v>
      </c>
      <c r="B85" s="6" t="s">
        <v>162</v>
      </c>
      <c r="C85" s="14" t="s">
        <v>163</v>
      </c>
      <c r="D85" s="301"/>
      <c r="E85" s="301"/>
      <c r="F85" s="1">
        <v>75</v>
      </c>
      <c r="G85" s="1">
        <v>75</v>
      </c>
      <c r="H85" s="5">
        <v>14000</v>
      </c>
      <c r="I85" s="26">
        <f t="shared" si="3"/>
        <v>9380</v>
      </c>
      <c r="J85" s="29">
        <f t="shared" si="2"/>
        <v>9098.6</v>
      </c>
    </row>
    <row r="86" spans="1:10" ht="21.75" customHeight="1" x14ac:dyDescent="0.35">
      <c r="A86" s="6">
        <v>29</v>
      </c>
      <c r="B86" s="6" t="s">
        <v>164</v>
      </c>
      <c r="C86" s="14" t="s">
        <v>165</v>
      </c>
      <c r="D86" s="301"/>
      <c r="E86" s="301"/>
      <c r="F86" s="1">
        <v>75</v>
      </c>
      <c r="G86" s="1">
        <v>75</v>
      </c>
      <c r="H86" s="5">
        <v>14500</v>
      </c>
      <c r="I86" s="26">
        <f t="shared" si="3"/>
        <v>9715</v>
      </c>
      <c r="J86" s="29">
        <f t="shared" si="2"/>
        <v>9423.5499999999993</v>
      </c>
    </row>
    <row r="87" spans="1:10" ht="21.75" customHeight="1" x14ac:dyDescent="0.35">
      <c r="A87" s="4">
        <v>30</v>
      </c>
      <c r="B87" s="4" t="s">
        <v>166</v>
      </c>
      <c r="C87" s="18" t="s">
        <v>167</v>
      </c>
      <c r="D87" s="301"/>
      <c r="E87" s="301"/>
      <c r="F87" s="1">
        <v>75</v>
      </c>
      <c r="G87" s="1">
        <v>75</v>
      </c>
      <c r="H87" s="5">
        <v>13550</v>
      </c>
      <c r="I87" s="26">
        <f t="shared" si="3"/>
        <v>9078.5</v>
      </c>
      <c r="J87" s="29">
        <f t="shared" si="2"/>
        <v>8806.1450000000004</v>
      </c>
    </row>
    <row r="88" spans="1:10" ht="21.75" customHeight="1" x14ac:dyDescent="0.35">
      <c r="A88" s="6">
        <v>31</v>
      </c>
      <c r="B88" s="6" t="s">
        <v>168</v>
      </c>
      <c r="C88" s="14" t="s">
        <v>169</v>
      </c>
      <c r="D88" s="301"/>
      <c r="E88" s="301"/>
      <c r="F88" s="1">
        <v>75</v>
      </c>
      <c r="G88" s="1">
        <v>65</v>
      </c>
      <c r="H88" s="8">
        <v>13450</v>
      </c>
      <c r="I88" s="26">
        <f t="shared" si="3"/>
        <v>9011.5</v>
      </c>
      <c r="J88" s="29">
        <f t="shared" si="2"/>
        <v>8741.1550000000007</v>
      </c>
    </row>
    <row r="89" spans="1:10" ht="21.75" customHeight="1" x14ac:dyDescent="0.35">
      <c r="A89" s="6">
        <v>32</v>
      </c>
      <c r="B89" s="6" t="s">
        <v>170</v>
      </c>
      <c r="C89" s="14" t="s">
        <v>171</v>
      </c>
      <c r="D89" s="301"/>
      <c r="E89" s="301"/>
      <c r="F89" s="1">
        <v>75</v>
      </c>
      <c r="G89" s="1">
        <v>65</v>
      </c>
      <c r="H89" s="5">
        <v>13740</v>
      </c>
      <c r="I89" s="26">
        <f t="shared" si="3"/>
        <v>9205.8000000000011</v>
      </c>
      <c r="J89" s="29">
        <f t="shared" si="2"/>
        <v>8929.6260000000002</v>
      </c>
    </row>
    <row r="90" spans="1:10" ht="21.75" customHeight="1" x14ac:dyDescent="0.35">
      <c r="A90" s="4">
        <v>33</v>
      </c>
      <c r="B90" s="4"/>
      <c r="C90" s="19" t="s">
        <v>172</v>
      </c>
      <c r="D90" s="301"/>
      <c r="E90" s="301"/>
      <c r="F90" s="1">
        <v>100</v>
      </c>
      <c r="G90" s="1">
        <v>100</v>
      </c>
      <c r="H90" s="8">
        <v>15000</v>
      </c>
      <c r="I90" s="26">
        <f t="shared" si="3"/>
        <v>10050</v>
      </c>
      <c r="J90" s="29">
        <f t="shared" si="2"/>
        <v>9748.5</v>
      </c>
    </row>
    <row r="91" spans="1:10" ht="21.75" customHeight="1" x14ac:dyDescent="0.35">
      <c r="A91" s="6">
        <v>34</v>
      </c>
      <c r="B91" s="4"/>
      <c r="C91" s="18" t="s">
        <v>173</v>
      </c>
      <c r="D91" s="301"/>
      <c r="E91" s="301"/>
      <c r="F91" s="1">
        <v>100</v>
      </c>
      <c r="G91" s="1">
        <v>100</v>
      </c>
      <c r="H91" s="5">
        <v>15200</v>
      </c>
      <c r="I91" s="26">
        <f t="shared" si="3"/>
        <v>10184</v>
      </c>
      <c r="J91" s="29">
        <f t="shared" si="2"/>
        <v>9878.48</v>
      </c>
    </row>
    <row r="92" spans="1:10" ht="21.75" customHeight="1" x14ac:dyDescent="0.35">
      <c r="A92" s="6">
        <v>35</v>
      </c>
      <c r="B92" s="4"/>
      <c r="C92" s="19" t="s">
        <v>174</v>
      </c>
      <c r="D92" s="301">
        <v>3</v>
      </c>
      <c r="E92" s="301">
        <v>2.25</v>
      </c>
      <c r="F92" s="1">
        <v>50</v>
      </c>
      <c r="G92" s="1">
        <v>40</v>
      </c>
      <c r="H92" s="8">
        <v>18000</v>
      </c>
      <c r="I92" s="26">
        <f t="shared" si="3"/>
        <v>12060</v>
      </c>
      <c r="J92" s="29">
        <f t="shared" si="2"/>
        <v>11698.199999999999</v>
      </c>
    </row>
    <row r="93" spans="1:10" ht="21.75" customHeight="1" x14ac:dyDescent="0.35">
      <c r="A93" s="4">
        <v>36</v>
      </c>
      <c r="B93" s="4" t="s">
        <v>175</v>
      </c>
      <c r="C93" s="18" t="s">
        <v>176</v>
      </c>
      <c r="D93" s="301"/>
      <c r="E93" s="301"/>
      <c r="F93" s="1">
        <v>50</v>
      </c>
      <c r="G93" s="1">
        <v>40</v>
      </c>
      <c r="H93" s="5">
        <v>18560</v>
      </c>
      <c r="I93" s="26">
        <f t="shared" si="3"/>
        <v>12435.2</v>
      </c>
      <c r="J93" s="29">
        <f t="shared" si="2"/>
        <v>12062.144</v>
      </c>
    </row>
    <row r="94" spans="1:10" ht="21.75" customHeight="1" x14ac:dyDescent="0.35">
      <c r="A94" s="6">
        <v>37</v>
      </c>
      <c r="B94" s="4" t="s">
        <v>177</v>
      </c>
      <c r="C94" s="19" t="s">
        <v>178</v>
      </c>
      <c r="D94" s="301"/>
      <c r="E94" s="301"/>
      <c r="F94" s="1">
        <v>50</v>
      </c>
      <c r="G94" s="1">
        <v>50</v>
      </c>
      <c r="H94" s="8">
        <v>18250</v>
      </c>
      <c r="I94" s="26">
        <f t="shared" si="3"/>
        <v>12227.5</v>
      </c>
      <c r="J94" s="29">
        <f t="shared" si="2"/>
        <v>11860.674999999999</v>
      </c>
    </row>
    <row r="95" spans="1:10" ht="21.75" customHeight="1" x14ac:dyDescent="0.35">
      <c r="A95" s="6">
        <v>38</v>
      </c>
      <c r="B95" s="4" t="s">
        <v>179</v>
      </c>
      <c r="C95" s="18" t="s">
        <v>180</v>
      </c>
      <c r="D95" s="301"/>
      <c r="E95" s="301"/>
      <c r="F95" s="1">
        <v>50</v>
      </c>
      <c r="G95" s="1">
        <v>50</v>
      </c>
      <c r="H95" s="5">
        <v>18670</v>
      </c>
      <c r="I95" s="26">
        <f t="shared" si="3"/>
        <v>12508.900000000001</v>
      </c>
      <c r="J95" s="29">
        <f t="shared" si="2"/>
        <v>12133.633000000002</v>
      </c>
    </row>
    <row r="96" spans="1:10" ht="21.75" customHeight="1" x14ac:dyDescent="0.35">
      <c r="A96" s="4">
        <v>39</v>
      </c>
      <c r="B96" s="6" t="s">
        <v>181</v>
      </c>
      <c r="C96" s="14" t="s">
        <v>182</v>
      </c>
      <c r="D96" s="301"/>
      <c r="E96" s="301"/>
      <c r="F96" s="1">
        <v>65</v>
      </c>
      <c r="G96" s="1">
        <v>50</v>
      </c>
      <c r="H96" s="8">
        <v>18100</v>
      </c>
      <c r="I96" s="26">
        <f t="shared" si="3"/>
        <v>12127</v>
      </c>
      <c r="J96" s="29">
        <f t="shared" si="2"/>
        <v>11763.19</v>
      </c>
    </row>
    <row r="97" spans="1:10" ht="21.75" customHeight="1" x14ac:dyDescent="0.35">
      <c r="A97" s="6">
        <v>40</v>
      </c>
      <c r="B97" s="6" t="s">
        <v>183</v>
      </c>
      <c r="C97" s="14" t="s">
        <v>184</v>
      </c>
      <c r="D97" s="301"/>
      <c r="E97" s="301"/>
      <c r="F97" s="1">
        <v>65</v>
      </c>
      <c r="G97" s="1">
        <v>50</v>
      </c>
      <c r="H97" s="5">
        <v>18770</v>
      </c>
      <c r="I97" s="26">
        <f t="shared" si="3"/>
        <v>12575.900000000001</v>
      </c>
      <c r="J97" s="29">
        <f t="shared" si="2"/>
        <v>12198.623000000001</v>
      </c>
    </row>
    <row r="98" spans="1:10" ht="21.75" customHeight="1" x14ac:dyDescent="0.35">
      <c r="A98" s="6">
        <v>41</v>
      </c>
      <c r="B98" s="6" t="s">
        <v>185</v>
      </c>
      <c r="C98" s="14" t="s">
        <v>186</v>
      </c>
      <c r="D98" s="301"/>
      <c r="E98" s="301"/>
      <c r="F98" s="1">
        <v>75</v>
      </c>
      <c r="G98" s="1">
        <v>75</v>
      </c>
      <c r="H98" s="8">
        <v>18020</v>
      </c>
      <c r="I98" s="26">
        <f t="shared" si="3"/>
        <v>12073.400000000001</v>
      </c>
      <c r="J98" s="29">
        <f t="shared" si="2"/>
        <v>11711.198</v>
      </c>
    </row>
    <row r="99" spans="1:10" ht="21.75" customHeight="1" x14ac:dyDescent="0.35">
      <c r="A99" s="4">
        <v>42</v>
      </c>
      <c r="B99" s="6" t="s">
        <v>187</v>
      </c>
      <c r="C99" s="14" t="s">
        <v>188</v>
      </c>
      <c r="D99" s="301"/>
      <c r="E99" s="301"/>
      <c r="F99" s="1">
        <v>75</v>
      </c>
      <c r="G99" s="1">
        <v>75</v>
      </c>
      <c r="H99" s="5">
        <v>18680</v>
      </c>
      <c r="I99" s="26">
        <f t="shared" si="3"/>
        <v>12515.6</v>
      </c>
      <c r="J99" s="29">
        <f t="shared" si="2"/>
        <v>12140.132</v>
      </c>
    </row>
    <row r="100" spans="1:10" ht="21.75" customHeight="1" x14ac:dyDescent="0.35">
      <c r="A100" s="6">
        <v>43</v>
      </c>
      <c r="B100" s="6" t="s">
        <v>189</v>
      </c>
      <c r="C100" s="14" t="s">
        <v>190</v>
      </c>
      <c r="D100" s="301"/>
      <c r="E100" s="301"/>
      <c r="F100" s="1">
        <v>100</v>
      </c>
      <c r="G100" s="1">
        <v>100</v>
      </c>
      <c r="H100" s="8">
        <v>19100</v>
      </c>
      <c r="I100" s="26">
        <f t="shared" si="3"/>
        <v>12797</v>
      </c>
      <c r="J100" s="29">
        <f t="shared" si="2"/>
        <v>12413.09</v>
      </c>
    </row>
    <row r="101" spans="1:10" ht="21.75" customHeight="1" x14ac:dyDescent="0.35">
      <c r="A101" s="6">
        <v>44</v>
      </c>
      <c r="B101" s="6" t="s">
        <v>191</v>
      </c>
      <c r="C101" s="14" t="s">
        <v>192</v>
      </c>
      <c r="D101" s="301"/>
      <c r="E101" s="301"/>
      <c r="F101" s="1">
        <v>100</v>
      </c>
      <c r="G101" s="1">
        <v>100</v>
      </c>
      <c r="H101" s="5">
        <v>19500</v>
      </c>
      <c r="I101" s="26">
        <f t="shared" si="3"/>
        <v>13065</v>
      </c>
      <c r="J101" s="29">
        <f t="shared" si="2"/>
        <v>12673.05</v>
      </c>
    </row>
    <row r="102" spans="1:10" ht="21.75" customHeight="1" x14ac:dyDescent="0.35">
      <c r="A102" s="4">
        <v>45</v>
      </c>
      <c r="B102" s="6" t="s">
        <v>193</v>
      </c>
      <c r="C102" s="14" t="s">
        <v>194</v>
      </c>
      <c r="D102" s="301"/>
      <c r="E102" s="301"/>
      <c r="F102" s="1">
        <v>100</v>
      </c>
      <c r="G102" s="1">
        <v>100</v>
      </c>
      <c r="H102" s="5">
        <v>14800</v>
      </c>
      <c r="I102" s="26">
        <f t="shared" si="3"/>
        <v>9916</v>
      </c>
      <c r="J102" s="29">
        <f t="shared" si="2"/>
        <v>9618.52</v>
      </c>
    </row>
    <row r="103" spans="1:10" ht="21.75" customHeight="1" x14ac:dyDescent="0.35">
      <c r="A103" s="6">
        <v>46</v>
      </c>
      <c r="B103" s="4" t="s">
        <v>195</v>
      </c>
      <c r="C103" s="18" t="s">
        <v>196</v>
      </c>
      <c r="D103" s="301"/>
      <c r="E103" s="301"/>
      <c r="F103" s="1">
        <v>100</v>
      </c>
      <c r="G103" s="1">
        <v>100</v>
      </c>
      <c r="H103" s="5">
        <v>15000</v>
      </c>
      <c r="I103" s="26">
        <f t="shared" si="3"/>
        <v>10050</v>
      </c>
      <c r="J103" s="29">
        <f t="shared" si="2"/>
        <v>9748.5</v>
      </c>
    </row>
    <row r="104" spans="1:10" ht="21.75" customHeight="1" x14ac:dyDescent="0.35">
      <c r="A104" s="6">
        <v>47</v>
      </c>
      <c r="B104" s="6" t="s">
        <v>197</v>
      </c>
      <c r="C104" s="14" t="s">
        <v>198</v>
      </c>
      <c r="D104" s="301">
        <v>5</v>
      </c>
      <c r="E104" s="301">
        <v>3.75</v>
      </c>
      <c r="F104" s="1">
        <v>80</v>
      </c>
      <c r="G104" s="1">
        <v>65</v>
      </c>
      <c r="H104" s="5">
        <v>24600</v>
      </c>
      <c r="I104" s="26">
        <f t="shared" si="3"/>
        <v>16482</v>
      </c>
      <c r="J104" s="29">
        <f t="shared" si="2"/>
        <v>15987.539999999999</v>
      </c>
    </row>
    <row r="105" spans="1:10" ht="21.75" customHeight="1" x14ac:dyDescent="0.35">
      <c r="A105" s="4">
        <v>48</v>
      </c>
      <c r="B105" s="4"/>
      <c r="C105" s="20" t="s">
        <v>199</v>
      </c>
      <c r="D105" s="301"/>
      <c r="E105" s="301"/>
      <c r="F105" s="1">
        <v>80</v>
      </c>
      <c r="G105" s="1">
        <v>65</v>
      </c>
      <c r="H105" s="5">
        <v>26000</v>
      </c>
      <c r="I105" s="26">
        <f t="shared" si="3"/>
        <v>17420</v>
      </c>
      <c r="J105" s="29">
        <f t="shared" si="2"/>
        <v>16897.399999999998</v>
      </c>
    </row>
    <row r="106" spans="1:10" ht="21.75" customHeight="1" x14ac:dyDescent="0.35">
      <c r="A106" s="6">
        <v>49</v>
      </c>
      <c r="B106" s="6" t="s">
        <v>200</v>
      </c>
      <c r="C106" s="20" t="s">
        <v>201</v>
      </c>
      <c r="D106" s="301"/>
      <c r="E106" s="301"/>
      <c r="F106" s="1">
        <v>80</v>
      </c>
      <c r="G106" s="1">
        <v>65</v>
      </c>
      <c r="H106" s="5">
        <v>23600</v>
      </c>
      <c r="I106" s="26">
        <f t="shared" si="3"/>
        <v>15812.000000000002</v>
      </c>
      <c r="J106" s="29">
        <f t="shared" si="2"/>
        <v>15337.640000000001</v>
      </c>
    </row>
    <row r="107" spans="1:10" ht="21.75" customHeight="1" x14ac:dyDescent="0.35">
      <c r="A107" s="6">
        <v>50</v>
      </c>
      <c r="B107" s="4" t="s">
        <v>202</v>
      </c>
      <c r="C107" s="18" t="s">
        <v>203</v>
      </c>
      <c r="D107" s="7">
        <v>0.75</v>
      </c>
      <c r="E107" s="7">
        <v>0.56000000000000005</v>
      </c>
      <c r="F107" s="2">
        <v>25</v>
      </c>
      <c r="G107" s="2">
        <v>25</v>
      </c>
      <c r="H107" s="5">
        <v>5170</v>
      </c>
      <c r="I107" s="26">
        <f t="shared" si="3"/>
        <v>3463.9</v>
      </c>
      <c r="J107" s="29">
        <f t="shared" si="2"/>
        <v>3359.9830000000002</v>
      </c>
    </row>
    <row r="108" spans="1:10" ht="21.75" customHeight="1" x14ac:dyDescent="0.35">
      <c r="A108" s="4">
        <v>51</v>
      </c>
      <c r="B108" s="4" t="s">
        <v>204</v>
      </c>
      <c r="C108" s="18" t="s">
        <v>205</v>
      </c>
      <c r="D108" s="301">
        <v>1</v>
      </c>
      <c r="E108" s="301">
        <v>0.75</v>
      </c>
      <c r="F108" s="1">
        <v>40</v>
      </c>
      <c r="G108" s="1">
        <v>40</v>
      </c>
      <c r="H108" s="5">
        <v>9000</v>
      </c>
      <c r="I108" s="26">
        <f t="shared" si="3"/>
        <v>6030</v>
      </c>
      <c r="J108" s="29">
        <f t="shared" si="2"/>
        <v>5849.0999999999995</v>
      </c>
    </row>
    <row r="109" spans="1:10" ht="21.75" customHeight="1" x14ac:dyDescent="0.35">
      <c r="A109" s="6">
        <v>52</v>
      </c>
      <c r="B109" s="4"/>
      <c r="C109" s="18" t="s">
        <v>206</v>
      </c>
      <c r="D109" s="301"/>
      <c r="E109" s="301"/>
      <c r="F109" s="1">
        <v>40</v>
      </c>
      <c r="G109" s="1">
        <v>40</v>
      </c>
      <c r="H109" s="5">
        <v>9000</v>
      </c>
      <c r="I109" s="26">
        <f t="shared" si="3"/>
        <v>6030</v>
      </c>
      <c r="J109" s="29">
        <f t="shared" si="2"/>
        <v>5849.0999999999995</v>
      </c>
    </row>
    <row r="110" spans="1:10" ht="21.75" customHeight="1" x14ac:dyDescent="0.35">
      <c r="A110" s="6">
        <v>53</v>
      </c>
      <c r="B110" s="4"/>
      <c r="C110" s="20" t="s">
        <v>207</v>
      </c>
      <c r="D110" s="301">
        <v>2</v>
      </c>
      <c r="E110" s="301">
        <v>1.5</v>
      </c>
      <c r="F110" s="1">
        <v>75</v>
      </c>
      <c r="G110" s="1">
        <v>75</v>
      </c>
      <c r="H110" s="5">
        <v>12500</v>
      </c>
      <c r="I110" s="26">
        <f t="shared" si="3"/>
        <v>8375</v>
      </c>
      <c r="J110" s="29">
        <f t="shared" si="2"/>
        <v>8123.75</v>
      </c>
    </row>
    <row r="111" spans="1:10" ht="21.75" customHeight="1" x14ac:dyDescent="0.35">
      <c r="A111" s="4">
        <v>54</v>
      </c>
      <c r="B111" s="4" t="s">
        <v>208</v>
      </c>
      <c r="C111" s="20" t="s">
        <v>209</v>
      </c>
      <c r="D111" s="301"/>
      <c r="E111" s="301"/>
      <c r="F111" s="1">
        <v>75</v>
      </c>
      <c r="G111" s="1">
        <v>75</v>
      </c>
      <c r="H111" s="5">
        <v>12500</v>
      </c>
      <c r="I111" s="26">
        <f t="shared" si="3"/>
        <v>8375</v>
      </c>
      <c r="J111" s="29">
        <f t="shared" si="2"/>
        <v>8123.75</v>
      </c>
    </row>
    <row r="112" spans="1:10" ht="21.75" customHeight="1" x14ac:dyDescent="0.35">
      <c r="A112" s="6">
        <v>55</v>
      </c>
      <c r="B112" s="4" t="s">
        <v>210</v>
      </c>
      <c r="C112" s="20" t="s">
        <v>211</v>
      </c>
      <c r="D112" s="301"/>
      <c r="E112" s="301"/>
      <c r="F112" s="1">
        <v>65</v>
      </c>
      <c r="G112" s="1">
        <v>50</v>
      </c>
      <c r="H112" s="5">
        <v>12200</v>
      </c>
      <c r="I112" s="26">
        <f t="shared" si="3"/>
        <v>8174.0000000000009</v>
      </c>
      <c r="J112" s="29">
        <f t="shared" si="2"/>
        <v>7928.7800000000007</v>
      </c>
    </row>
    <row r="113" spans="1:10" ht="21.75" customHeight="1" x14ac:dyDescent="0.35">
      <c r="A113" s="6">
        <v>56</v>
      </c>
      <c r="B113" s="4" t="s">
        <v>212</v>
      </c>
      <c r="C113" s="20" t="s">
        <v>213</v>
      </c>
      <c r="D113" s="301"/>
      <c r="E113" s="301"/>
      <c r="F113" s="1">
        <v>50</v>
      </c>
      <c r="G113" s="1">
        <v>50</v>
      </c>
      <c r="H113" s="5">
        <v>12200</v>
      </c>
      <c r="I113" s="26">
        <f t="shared" si="3"/>
        <v>8174.0000000000009</v>
      </c>
      <c r="J113" s="29">
        <f t="shared" si="2"/>
        <v>7928.7800000000007</v>
      </c>
    </row>
    <row r="114" spans="1:10" ht="21.75" customHeight="1" x14ac:dyDescent="0.35">
      <c r="A114" s="300" t="s">
        <v>214</v>
      </c>
      <c r="B114" s="300"/>
      <c r="C114" s="300"/>
      <c r="D114" s="300"/>
      <c r="E114" s="300"/>
      <c r="F114" s="300"/>
      <c r="G114" s="300"/>
      <c r="H114" s="287" t="s">
        <v>109</v>
      </c>
      <c r="I114" s="299" t="s">
        <v>504</v>
      </c>
      <c r="J114" s="299"/>
    </row>
    <row r="115" spans="1:10" ht="21.75" customHeight="1" x14ac:dyDescent="0.35">
      <c r="A115" s="287" t="s">
        <v>2</v>
      </c>
      <c r="B115" s="287" t="s">
        <v>3</v>
      </c>
      <c r="C115" s="298" t="s">
        <v>4</v>
      </c>
      <c r="D115" s="287" t="s">
        <v>5</v>
      </c>
      <c r="E115" s="287"/>
      <c r="F115" s="287" t="s">
        <v>6</v>
      </c>
      <c r="G115" s="287"/>
      <c r="H115" s="287"/>
      <c r="I115" s="299"/>
      <c r="J115" s="299"/>
    </row>
    <row r="116" spans="1:10" ht="21.75" customHeight="1" x14ac:dyDescent="0.35">
      <c r="A116" s="287"/>
      <c r="B116" s="287"/>
      <c r="C116" s="298"/>
      <c r="D116" s="11" t="s">
        <v>9</v>
      </c>
      <c r="E116" s="11" t="s">
        <v>10</v>
      </c>
      <c r="F116" s="11" t="s">
        <v>11</v>
      </c>
      <c r="G116" s="11" t="s">
        <v>12</v>
      </c>
      <c r="H116" s="287"/>
      <c r="I116" s="41">
        <v>0.33</v>
      </c>
      <c r="J116" s="41">
        <v>0.03</v>
      </c>
    </row>
    <row r="117" spans="1:10" ht="21.75" customHeight="1" x14ac:dyDescent="0.35">
      <c r="A117" s="4">
        <v>1</v>
      </c>
      <c r="B117" s="4" t="s">
        <v>215</v>
      </c>
      <c r="C117" s="12" t="s">
        <v>216</v>
      </c>
      <c r="D117" s="2">
        <v>0.5</v>
      </c>
      <c r="E117" s="2">
        <v>0.37</v>
      </c>
      <c r="F117" s="2">
        <v>25</v>
      </c>
      <c r="G117" s="2">
        <v>25</v>
      </c>
      <c r="H117" s="13">
        <v>5370</v>
      </c>
      <c r="I117" s="295">
        <f>H117*0.63</f>
        <v>3383.1</v>
      </c>
      <c r="J117" s="296"/>
    </row>
    <row r="118" spans="1:10" ht="21.75" customHeight="1" x14ac:dyDescent="0.35">
      <c r="A118" s="4">
        <v>2</v>
      </c>
      <c r="B118" s="4" t="s">
        <v>217</v>
      </c>
      <c r="C118" s="12" t="s">
        <v>218</v>
      </c>
      <c r="D118" s="2">
        <v>1</v>
      </c>
      <c r="E118" s="2">
        <v>0.75</v>
      </c>
      <c r="F118" s="2">
        <v>25</v>
      </c>
      <c r="G118" s="2">
        <v>25</v>
      </c>
      <c r="H118" s="13">
        <v>7070</v>
      </c>
      <c r="I118" s="302">
        <v>4793</v>
      </c>
      <c r="J118" s="302"/>
    </row>
    <row r="119" spans="1:10" ht="21.75" customHeight="1" x14ac:dyDescent="0.35">
      <c r="A119" s="4">
        <v>3</v>
      </c>
      <c r="B119" s="21" t="s">
        <v>219</v>
      </c>
      <c r="C119" s="22" t="s">
        <v>220</v>
      </c>
      <c r="D119" s="23">
        <v>2</v>
      </c>
      <c r="E119" s="4">
        <v>1.5</v>
      </c>
      <c r="F119" s="4">
        <v>50</v>
      </c>
      <c r="G119" s="4">
        <v>50</v>
      </c>
      <c r="H119" s="4">
        <v>12200</v>
      </c>
      <c r="I119" s="26">
        <f t="shared" ref="I119:I128" si="4">H119*0.67</f>
        <v>8174.0000000000009</v>
      </c>
      <c r="J119" s="29">
        <f t="shared" ref="J119:J128" si="5">I119*0.97</f>
        <v>7928.7800000000007</v>
      </c>
    </row>
    <row r="120" spans="1:10" ht="21.75" customHeight="1" x14ac:dyDescent="0.35">
      <c r="A120" s="4">
        <v>4</v>
      </c>
      <c r="B120" s="21" t="s">
        <v>221</v>
      </c>
      <c r="C120" s="22" t="s">
        <v>222</v>
      </c>
      <c r="D120" s="23">
        <v>2</v>
      </c>
      <c r="E120" s="4">
        <v>1.5</v>
      </c>
      <c r="F120" s="4">
        <v>50</v>
      </c>
      <c r="G120" s="4">
        <v>50</v>
      </c>
      <c r="H120" s="4">
        <v>12200</v>
      </c>
      <c r="I120" s="26">
        <f t="shared" si="4"/>
        <v>8174.0000000000009</v>
      </c>
      <c r="J120" s="29">
        <f t="shared" si="5"/>
        <v>7928.7800000000007</v>
      </c>
    </row>
    <row r="121" spans="1:10" ht="21.75" customHeight="1" x14ac:dyDescent="0.35">
      <c r="A121" s="4">
        <v>5</v>
      </c>
      <c r="B121" s="21" t="s">
        <v>223</v>
      </c>
      <c r="C121" s="22" t="s">
        <v>224</v>
      </c>
      <c r="D121" s="23">
        <v>2</v>
      </c>
      <c r="E121" s="4">
        <v>1.5</v>
      </c>
      <c r="F121" s="4">
        <v>65</v>
      </c>
      <c r="G121" s="4">
        <v>50</v>
      </c>
      <c r="H121" s="4">
        <v>12300</v>
      </c>
      <c r="I121" s="26">
        <f t="shared" si="4"/>
        <v>8241</v>
      </c>
      <c r="J121" s="29">
        <f t="shared" si="5"/>
        <v>7993.7699999999995</v>
      </c>
    </row>
    <row r="122" spans="1:10" ht="21.75" customHeight="1" x14ac:dyDescent="0.35">
      <c r="A122" s="4">
        <v>6</v>
      </c>
      <c r="B122" s="21" t="s">
        <v>225</v>
      </c>
      <c r="C122" s="22" t="s">
        <v>226</v>
      </c>
      <c r="D122" s="23">
        <v>2</v>
      </c>
      <c r="E122" s="4">
        <v>1.5</v>
      </c>
      <c r="F122" s="4">
        <v>65</v>
      </c>
      <c r="G122" s="4">
        <v>50</v>
      </c>
      <c r="H122" s="4">
        <v>12300</v>
      </c>
      <c r="I122" s="26">
        <f t="shared" si="4"/>
        <v>8241</v>
      </c>
      <c r="J122" s="29">
        <f t="shared" si="5"/>
        <v>7993.7699999999995</v>
      </c>
    </row>
    <row r="123" spans="1:10" ht="21.75" customHeight="1" x14ac:dyDescent="0.35">
      <c r="A123" s="4">
        <v>7</v>
      </c>
      <c r="B123" s="21" t="s">
        <v>227</v>
      </c>
      <c r="C123" s="22" t="s">
        <v>228</v>
      </c>
      <c r="D123" s="21">
        <v>3</v>
      </c>
      <c r="E123" s="4">
        <v>2.25</v>
      </c>
      <c r="F123" s="4">
        <v>65</v>
      </c>
      <c r="G123" s="4">
        <v>50</v>
      </c>
      <c r="H123" s="4">
        <v>12900</v>
      </c>
      <c r="I123" s="26">
        <f t="shared" si="4"/>
        <v>8643</v>
      </c>
      <c r="J123" s="29">
        <f t="shared" si="5"/>
        <v>8383.7099999999991</v>
      </c>
    </row>
    <row r="124" spans="1:10" ht="21.75" customHeight="1" x14ac:dyDescent="0.35">
      <c r="A124" s="4">
        <v>8</v>
      </c>
      <c r="B124" s="21" t="s">
        <v>229</v>
      </c>
      <c r="C124" s="24" t="s">
        <v>230</v>
      </c>
      <c r="D124" s="21">
        <v>3</v>
      </c>
      <c r="E124" s="4">
        <v>2.25</v>
      </c>
      <c r="F124" s="4">
        <v>65</v>
      </c>
      <c r="G124" s="4">
        <v>50</v>
      </c>
      <c r="H124" s="4">
        <v>13000</v>
      </c>
      <c r="I124" s="26">
        <f t="shared" si="4"/>
        <v>8710</v>
      </c>
      <c r="J124" s="29">
        <f t="shared" si="5"/>
        <v>8448.6999999999989</v>
      </c>
    </row>
    <row r="125" spans="1:10" ht="21.75" customHeight="1" x14ac:dyDescent="0.35">
      <c r="A125" s="4">
        <v>9</v>
      </c>
      <c r="B125" s="21" t="s">
        <v>231</v>
      </c>
      <c r="C125" s="24" t="s">
        <v>232</v>
      </c>
      <c r="D125" s="21">
        <v>3</v>
      </c>
      <c r="E125" s="4">
        <v>2.25</v>
      </c>
      <c r="F125" s="4">
        <v>65</v>
      </c>
      <c r="G125" s="4">
        <v>50</v>
      </c>
      <c r="H125" s="4">
        <v>12900</v>
      </c>
      <c r="I125" s="26">
        <f t="shared" si="4"/>
        <v>8643</v>
      </c>
      <c r="J125" s="29">
        <f t="shared" si="5"/>
        <v>8383.7099999999991</v>
      </c>
    </row>
    <row r="126" spans="1:10" ht="21.75" customHeight="1" x14ac:dyDescent="0.35">
      <c r="A126" s="4">
        <v>10</v>
      </c>
      <c r="B126" s="21" t="s">
        <v>233</v>
      </c>
      <c r="C126" s="24" t="s">
        <v>234</v>
      </c>
      <c r="D126" s="21">
        <v>3</v>
      </c>
      <c r="E126" s="4">
        <v>2.25</v>
      </c>
      <c r="F126" s="4">
        <v>65</v>
      </c>
      <c r="G126" s="4">
        <v>50</v>
      </c>
      <c r="H126" s="4">
        <v>19300</v>
      </c>
      <c r="I126" s="26">
        <f t="shared" si="4"/>
        <v>12931</v>
      </c>
      <c r="J126" s="29">
        <f t="shared" si="5"/>
        <v>12543.07</v>
      </c>
    </row>
    <row r="127" spans="1:10" ht="21.75" customHeight="1" x14ac:dyDescent="0.35">
      <c r="A127" s="4">
        <v>11</v>
      </c>
      <c r="B127" s="21" t="s">
        <v>235</v>
      </c>
      <c r="C127" s="24" t="s">
        <v>236</v>
      </c>
      <c r="D127" s="21">
        <v>5</v>
      </c>
      <c r="E127" s="1">
        <v>3.75</v>
      </c>
      <c r="F127" s="4">
        <v>65</v>
      </c>
      <c r="G127" s="4">
        <v>50</v>
      </c>
      <c r="H127" s="4">
        <v>18700</v>
      </c>
      <c r="I127" s="26">
        <f t="shared" si="4"/>
        <v>12529</v>
      </c>
      <c r="J127" s="29">
        <f t="shared" si="5"/>
        <v>12153.13</v>
      </c>
    </row>
    <row r="128" spans="1:10" ht="21.75" customHeight="1" x14ac:dyDescent="0.35">
      <c r="A128" s="4">
        <v>12</v>
      </c>
      <c r="B128" s="21" t="s">
        <v>237</v>
      </c>
      <c r="C128" s="24" t="s">
        <v>238</v>
      </c>
      <c r="D128" s="21">
        <v>5</v>
      </c>
      <c r="E128" s="1">
        <v>3.75</v>
      </c>
      <c r="F128" s="4">
        <v>65</v>
      </c>
      <c r="G128" s="4">
        <v>50</v>
      </c>
      <c r="H128" s="4">
        <v>22900</v>
      </c>
      <c r="I128" s="26">
        <f t="shared" si="4"/>
        <v>15343.000000000002</v>
      </c>
      <c r="J128" s="29">
        <f t="shared" si="5"/>
        <v>14882.710000000001</v>
      </c>
    </row>
    <row r="129" spans="1:10" ht="21.75" customHeight="1" x14ac:dyDescent="0.35">
      <c r="A129" s="300" t="s">
        <v>239</v>
      </c>
      <c r="B129" s="300"/>
      <c r="C129" s="300"/>
      <c r="D129" s="300"/>
      <c r="E129" s="300"/>
      <c r="F129" s="300"/>
      <c r="G129" s="300"/>
      <c r="H129" s="287" t="s">
        <v>109</v>
      </c>
      <c r="I129" s="299" t="s">
        <v>504</v>
      </c>
      <c r="J129" s="299"/>
    </row>
    <row r="130" spans="1:10" ht="21.75" customHeight="1" x14ac:dyDescent="0.35">
      <c r="A130" s="287" t="s">
        <v>2</v>
      </c>
      <c r="B130" s="287" t="s">
        <v>3</v>
      </c>
      <c r="C130" s="298" t="s">
        <v>4</v>
      </c>
      <c r="D130" s="287" t="s">
        <v>5</v>
      </c>
      <c r="E130" s="287"/>
      <c r="F130" s="287" t="s">
        <v>6</v>
      </c>
      <c r="G130" s="287"/>
      <c r="H130" s="287"/>
      <c r="I130" s="299"/>
      <c r="J130" s="299"/>
    </row>
    <row r="131" spans="1:10" ht="21.75" customHeight="1" x14ac:dyDescent="0.35">
      <c r="A131" s="287"/>
      <c r="B131" s="287"/>
      <c r="C131" s="298"/>
      <c r="D131" s="11" t="s">
        <v>9</v>
      </c>
      <c r="E131" s="11" t="s">
        <v>10</v>
      </c>
      <c r="F131" s="287"/>
      <c r="G131" s="287"/>
      <c r="H131" s="287"/>
      <c r="I131" s="41">
        <v>0.33</v>
      </c>
      <c r="J131" s="41">
        <v>0.03</v>
      </c>
    </row>
    <row r="132" spans="1:10" ht="21.75" customHeight="1" x14ac:dyDescent="0.35">
      <c r="A132" s="4">
        <v>1</v>
      </c>
      <c r="B132" s="4" t="s">
        <v>240</v>
      </c>
      <c r="C132" s="25" t="s">
        <v>241</v>
      </c>
      <c r="D132" s="4">
        <v>0.5</v>
      </c>
      <c r="E132" s="4"/>
      <c r="F132" s="292">
        <v>32</v>
      </c>
      <c r="G132" s="292"/>
      <c r="H132" s="4">
        <v>8240</v>
      </c>
      <c r="I132" s="26">
        <f t="shared" ref="I132:I154" si="6">H132*0.67</f>
        <v>5520.8</v>
      </c>
      <c r="J132" s="29">
        <f t="shared" ref="J132:J154" si="7">I132*0.97</f>
        <v>5355.1760000000004</v>
      </c>
    </row>
    <row r="133" spans="1:10" ht="21.75" customHeight="1" x14ac:dyDescent="0.35">
      <c r="A133" s="4">
        <v>2</v>
      </c>
      <c r="B133" s="4" t="s">
        <v>242</v>
      </c>
      <c r="C133" s="25" t="s">
        <v>243</v>
      </c>
      <c r="D133" s="4">
        <v>0.5</v>
      </c>
      <c r="E133" s="4"/>
      <c r="F133" s="292">
        <v>32</v>
      </c>
      <c r="G133" s="292"/>
      <c r="H133" s="4">
        <v>8450</v>
      </c>
      <c r="I133" s="26">
        <f t="shared" si="6"/>
        <v>5661.5</v>
      </c>
      <c r="J133" s="29">
        <f t="shared" si="7"/>
        <v>5491.6549999999997</v>
      </c>
    </row>
    <row r="134" spans="1:10" ht="21.75" customHeight="1" x14ac:dyDescent="0.35">
      <c r="A134" s="4">
        <v>3</v>
      </c>
      <c r="B134" s="4" t="s">
        <v>244</v>
      </c>
      <c r="C134" s="25" t="s">
        <v>245</v>
      </c>
      <c r="D134" s="4">
        <v>0.75</v>
      </c>
      <c r="E134" s="4"/>
      <c r="F134" s="292">
        <v>32</v>
      </c>
      <c r="G134" s="292"/>
      <c r="H134" s="4">
        <v>8550</v>
      </c>
      <c r="I134" s="26">
        <f t="shared" si="6"/>
        <v>5728.5</v>
      </c>
      <c r="J134" s="29">
        <f t="shared" si="7"/>
        <v>5556.6449999999995</v>
      </c>
    </row>
    <row r="135" spans="1:10" ht="21.75" customHeight="1" x14ac:dyDescent="0.35">
      <c r="A135" s="4">
        <v>4</v>
      </c>
      <c r="B135" s="4" t="s">
        <v>246</v>
      </c>
      <c r="C135" s="25" t="s">
        <v>247</v>
      </c>
      <c r="D135" s="4">
        <v>0.75</v>
      </c>
      <c r="E135" s="4"/>
      <c r="F135" s="292">
        <v>32</v>
      </c>
      <c r="G135" s="292"/>
      <c r="H135" s="4">
        <v>8750</v>
      </c>
      <c r="I135" s="26">
        <f t="shared" si="6"/>
        <v>5862.5</v>
      </c>
      <c r="J135" s="29">
        <f t="shared" si="7"/>
        <v>5686.625</v>
      </c>
    </row>
    <row r="136" spans="1:10" ht="21.75" customHeight="1" x14ac:dyDescent="0.35">
      <c r="A136" s="4">
        <v>5</v>
      </c>
      <c r="B136" s="4" t="s">
        <v>248</v>
      </c>
      <c r="C136" s="25" t="s">
        <v>249</v>
      </c>
      <c r="D136" s="4">
        <v>1</v>
      </c>
      <c r="E136" s="4"/>
      <c r="F136" s="292">
        <v>32</v>
      </c>
      <c r="G136" s="292"/>
      <c r="H136" s="26">
        <v>8800</v>
      </c>
      <c r="I136" s="26">
        <f t="shared" si="6"/>
        <v>5896</v>
      </c>
      <c r="J136" s="29">
        <f t="shared" si="7"/>
        <v>5719.12</v>
      </c>
    </row>
    <row r="137" spans="1:10" ht="21.75" customHeight="1" x14ac:dyDescent="0.35">
      <c r="A137" s="4">
        <v>6</v>
      </c>
      <c r="B137" s="4" t="s">
        <v>250</v>
      </c>
      <c r="C137" s="25" t="s">
        <v>251</v>
      </c>
      <c r="D137" s="4">
        <v>1</v>
      </c>
      <c r="E137" s="4"/>
      <c r="F137" s="292">
        <v>32</v>
      </c>
      <c r="G137" s="292"/>
      <c r="H137" s="26">
        <v>9000</v>
      </c>
      <c r="I137" s="26">
        <f t="shared" si="6"/>
        <v>6030</v>
      </c>
      <c r="J137" s="29">
        <f t="shared" si="7"/>
        <v>5849.0999999999995</v>
      </c>
    </row>
    <row r="138" spans="1:10" ht="21.75" customHeight="1" x14ac:dyDescent="0.35">
      <c r="A138" s="4">
        <v>7</v>
      </c>
      <c r="B138" s="4" t="s">
        <v>252</v>
      </c>
      <c r="C138" s="25" t="s">
        <v>253</v>
      </c>
      <c r="D138" s="4">
        <v>1</v>
      </c>
      <c r="E138" s="4"/>
      <c r="F138" s="292">
        <v>32</v>
      </c>
      <c r="G138" s="292"/>
      <c r="H138" s="4">
        <v>9480</v>
      </c>
      <c r="I138" s="26">
        <f t="shared" si="6"/>
        <v>6351.6</v>
      </c>
      <c r="J138" s="29">
        <f t="shared" si="7"/>
        <v>6161.0520000000006</v>
      </c>
    </row>
    <row r="139" spans="1:10" ht="21.75" customHeight="1" x14ac:dyDescent="0.35">
      <c r="A139" s="4">
        <v>8</v>
      </c>
      <c r="B139" s="4" t="s">
        <v>254</v>
      </c>
      <c r="C139" s="25" t="s">
        <v>255</v>
      </c>
      <c r="D139" s="4">
        <v>1</v>
      </c>
      <c r="E139" s="4"/>
      <c r="F139" s="292">
        <v>32</v>
      </c>
      <c r="G139" s="292"/>
      <c r="H139" s="4">
        <v>9790</v>
      </c>
      <c r="I139" s="26">
        <f t="shared" si="6"/>
        <v>6559.3</v>
      </c>
      <c r="J139" s="29">
        <f t="shared" si="7"/>
        <v>6362.5209999999997</v>
      </c>
    </row>
    <row r="140" spans="1:10" ht="21.75" customHeight="1" x14ac:dyDescent="0.35">
      <c r="A140" s="4">
        <v>9</v>
      </c>
      <c r="B140" s="4" t="s">
        <v>256</v>
      </c>
      <c r="C140" s="25" t="s">
        <v>257</v>
      </c>
      <c r="D140" s="4">
        <v>1.5</v>
      </c>
      <c r="E140" s="4"/>
      <c r="F140" s="292">
        <v>32</v>
      </c>
      <c r="G140" s="292"/>
      <c r="H140" s="4">
        <v>11330</v>
      </c>
      <c r="I140" s="26">
        <f t="shared" si="6"/>
        <v>7591.1</v>
      </c>
      <c r="J140" s="29">
        <f t="shared" si="7"/>
        <v>7363.3670000000002</v>
      </c>
    </row>
    <row r="141" spans="1:10" ht="21.75" customHeight="1" x14ac:dyDescent="0.35">
      <c r="A141" s="4">
        <v>10</v>
      </c>
      <c r="B141" s="4" t="s">
        <v>258</v>
      </c>
      <c r="C141" s="25" t="s">
        <v>259</v>
      </c>
      <c r="D141" s="4">
        <v>1.5</v>
      </c>
      <c r="E141" s="4"/>
      <c r="F141" s="292">
        <v>32</v>
      </c>
      <c r="G141" s="292"/>
      <c r="H141" s="4">
        <v>11640</v>
      </c>
      <c r="I141" s="26">
        <f t="shared" si="6"/>
        <v>7798.8</v>
      </c>
      <c r="J141" s="29">
        <f t="shared" si="7"/>
        <v>7564.8360000000002</v>
      </c>
    </row>
    <row r="142" spans="1:10" ht="21.75" customHeight="1" x14ac:dyDescent="0.35">
      <c r="A142" s="4">
        <v>11</v>
      </c>
      <c r="B142" s="4" t="s">
        <v>260</v>
      </c>
      <c r="C142" s="25" t="s">
        <v>261</v>
      </c>
      <c r="D142" s="4">
        <v>1.5</v>
      </c>
      <c r="E142" s="4"/>
      <c r="F142" s="292">
        <v>32</v>
      </c>
      <c r="G142" s="292"/>
      <c r="H142" s="4">
        <v>11800</v>
      </c>
      <c r="I142" s="26">
        <f t="shared" si="6"/>
        <v>7906.0000000000009</v>
      </c>
      <c r="J142" s="29">
        <f t="shared" si="7"/>
        <v>7668.8200000000006</v>
      </c>
    </row>
    <row r="143" spans="1:10" ht="21.75" customHeight="1" x14ac:dyDescent="0.35">
      <c r="A143" s="4">
        <v>12</v>
      </c>
      <c r="B143" s="4" t="s">
        <v>262</v>
      </c>
      <c r="C143" s="25" t="s">
        <v>263</v>
      </c>
      <c r="D143" s="4">
        <v>1.5</v>
      </c>
      <c r="E143" s="4"/>
      <c r="F143" s="292">
        <v>32</v>
      </c>
      <c r="G143" s="292"/>
      <c r="H143" s="4">
        <v>12670</v>
      </c>
      <c r="I143" s="26">
        <f t="shared" si="6"/>
        <v>8488.9</v>
      </c>
      <c r="J143" s="29">
        <f t="shared" si="7"/>
        <v>8234.2330000000002</v>
      </c>
    </row>
    <row r="144" spans="1:10" ht="21.75" customHeight="1" x14ac:dyDescent="0.35">
      <c r="A144" s="4">
        <v>13</v>
      </c>
      <c r="B144" s="4" t="s">
        <v>264</v>
      </c>
      <c r="C144" s="25" t="s">
        <v>265</v>
      </c>
      <c r="D144" s="4">
        <v>2</v>
      </c>
      <c r="E144" s="4"/>
      <c r="F144" s="292">
        <v>40</v>
      </c>
      <c r="G144" s="292"/>
      <c r="H144" s="4">
        <v>14730</v>
      </c>
      <c r="I144" s="26">
        <f t="shared" si="6"/>
        <v>9869.1</v>
      </c>
      <c r="J144" s="29">
        <f t="shared" si="7"/>
        <v>9573.027</v>
      </c>
    </row>
    <row r="145" spans="1:10" ht="21.75" customHeight="1" x14ac:dyDescent="0.35">
      <c r="A145" s="4">
        <v>14</v>
      </c>
      <c r="B145" s="4" t="s">
        <v>266</v>
      </c>
      <c r="C145" s="25" t="s">
        <v>267</v>
      </c>
      <c r="D145" s="4">
        <v>2</v>
      </c>
      <c r="E145" s="4"/>
      <c r="F145" s="292">
        <v>32</v>
      </c>
      <c r="G145" s="292"/>
      <c r="H145" s="4">
        <v>15250</v>
      </c>
      <c r="I145" s="26">
        <f t="shared" si="6"/>
        <v>10217.5</v>
      </c>
      <c r="J145" s="29">
        <f t="shared" si="7"/>
        <v>9910.9750000000004</v>
      </c>
    </row>
    <row r="146" spans="1:10" ht="21.75" customHeight="1" x14ac:dyDescent="0.35">
      <c r="A146" s="4">
        <v>15</v>
      </c>
      <c r="B146" s="4" t="s">
        <v>268</v>
      </c>
      <c r="C146" s="25" t="s">
        <v>269</v>
      </c>
      <c r="D146" s="4">
        <v>2</v>
      </c>
      <c r="E146" s="4"/>
      <c r="F146" s="292">
        <v>32</v>
      </c>
      <c r="G146" s="292"/>
      <c r="H146" s="4">
        <v>15860</v>
      </c>
      <c r="I146" s="26">
        <f t="shared" si="6"/>
        <v>10626.2</v>
      </c>
      <c r="J146" s="29">
        <f t="shared" si="7"/>
        <v>10307.414000000001</v>
      </c>
    </row>
    <row r="147" spans="1:10" ht="21.75" customHeight="1" x14ac:dyDescent="0.35">
      <c r="A147" s="4">
        <v>16</v>
      </c>
      <c r="B147" s="4" t="s">
        <v>270</v>
      </c>
      <c r="C147" s="25" t="s">
        <v>271</v>
      </c>
      <c r="D147" s="4">
        <v>2</v>
      </c>
      <c r="E147" s="4"/>
      <c r="F147" s="292">
        <v>32</v>
      </c>
      <c r="G147" s="292"/>
      <c r="H147" s="4">
        <v>15970</v>
      </c>
      <c r="I147" s="26">
        <f t="shared" si="6"/>
        <v>10699.900000000001</v>
      </c>
      <c r="J147" s="29">
        <f t="shared" si="7"/>
        <v>10378.903</v>
      </c>
    </row>
    <row r="148" spans="1:10" ht="21.75" customHeight="1" x14ac:dyDescent="0.35">
      <c r="A148" s="4">
        <v>17</v>
      </c>
      <c r="B148" s="4" t="s">
        <v>272</v>
      </c>
      <c r="C148" s="25" t="s">
        <v>273</v>
      </c>
      <c r="D148" s="4">
        <v>2</v>
      </c>
      <c r="E148" s="4"/>
      <c r="F148" s="292">
        <v>32</v>
      </c>
      <c r="G148" s="292"/>
      <c r="H148" s="4">
        <v>16480</v>
      </c>
      <c r="I148" s="26">
        <f t="shared" si="6"/>
        <v>11041.6</v>
      </c>
      <c r="J148" s="29">
        <f t="shared" si="7"/>
        <v>10710.352000000001</v>
      </c>
    </row>
    <row r="149" spans="1:10" ht="21.75" customHeight="1" x14ac:dyDescent="0.35">
      <c r="A149" s="4">
        <v>18</v>
      </c>
      <c r="B149" s="4" t="s">
        <v>274</v>
      </c>
      <c r="C149" s="25" t="s">
        <v>275</v>
      </c>
      <c r="D149" s="4">
        <v>2</v>
      </c>
      <c r="E149" s="4"/>
      <c r="F149" s="292">
        <v>65</v>
      </c>
      <c r="G149" s="292"/>
      <c r="H149" s="4">
        <v>14940</v>
      </c>
      <c r="I149" s="26">
        <f t="shared" si="6"/>
        <v>10009.800000000001</v>
      </c>
      <c r="J149" s="29">
        <f t="shared" si="7"/>
        <v>9709.5060000000012</v>
      </c>
    </row>
    <row r="150" spans="1:10" ht="21.75" customHeight="1" x14ac:dyDescent="0.35">
      <c r="A150" s="4">
        <v>19</v>
      </c>
      <c r="B150" s="4" t="s">
        <v>276</v>
      </c>
      <c r="C150" s="25" t="s">
        <v>277</v>
      </c>
      <c r="D150" s="4">
        <v>3</v>
      </c>
      <c r="E150" s="4"/>
      <c r="F150" s="292">
        <v>32</v>
      </c>
      <c r="G150" s="292"/>
      <c r="H150" s="4">
        <v>23500</v>
      </c>
      <c r="I150" s="26">
        <f t="shared" si="6"/>
        <v>15745.000000000002</v>
      </c>
      <c r="J150" s="29">
        <f t="shared" si="7"/>
        <v>15272.650000000001</v>
      </c>
    </row>
    <row r="151" spans="1:10" ht="21.75" customHeight="1" x14ac:dyDescent="0.35">
      <c r="A151" s="4">
        <v>20</v>
      </c>
      <c r="B151" s="4" t="s">
        <v>278</v>
      </c>
      <c r="C151" s="25" t="s">
        <v>279</v>
      </c>
      <c r="D151" s="4">
        <v>3</v>
      </c>
      <c r="E151" s="4"/>
      <c r="F151" s="292">
        <v>32</v>
      </c>
      <c r="G151" s="292"/>
      <c r="H151" s="4">
        <v>24000</v>
      </c>
      <c r="I151" s="26">
        <f t="shared" si="6"/>
        <v>16080.000000000002</v>
      </c>
      <c r="J151" s="29">
        <f t="shared" si="7"/>
        <v>15597.600000000002</v>
      </c>
    </row>
    <row r="152" spans="1:10" ht="21.75" customHeight="1" x14ac:dyDescent="0.35">
      <c r="A152" s="4">
        <v>21</v>
      </c>
      <c r="B152" s="4" t="s">
        <v>280</v>
      </c>
      <c r="C152" s="25" t="s">
        <v>281</v>
      </c>
      <c r="D152" s="4">
        <v>3</v>
      </c>
      <c r="E152" s="4"/>
      <c r="F152" s="292">
        <v>32</v>
      </c>
      <c r="G152" s="292"/>
      <c r="H152" s="4">
        <v>24500</v>
      </c>
      <c r="I152" s="26">
        <f t="shared" si="6"/>
        <v>16415</v>
      </c>
      <c r="J152" s="29">
        <f t="shared" si="7"/>
        <v>15922.55</v>
      </c>
    </row>
    <row r="153" spans="1:10" ht="21.75" customHeight="1" x14ac:dyDescent="0.35">
      <c r="A153" s="4">
        <v>22</v>
      </c>
      <c r="B153" s="4" t="s">
        <v>282</v>
      </c>
      <c r="C153" s="25" t="s">
        <v>283</v>
      </c>
      <c r="D153" s="4">
        <v>3</v>
      </c>
      <c r="E153" s="4"/>
      <c r="F153" s="292">
        <v>65</v>
      </c>
      <c r="G153" s="292"/>
      <c r="H153" s="4">
        <v>23690</v>
      </c>
      <c r="I153" s="26">
        <f t="shared" si="6"/>
        <v>15872.300000000001</v>
      </c>
      <c r="J153" s="29">
        <f t="shared" si="7"/>
        <v>15396.131000000001</v>
      </c>
    </row>
    <row r="154" spans="1:10" ht="21.75" customHeight="1" x14ac:dyDescent="0.35">
      <c r="A154" s="4">
        <v>23</v>
      </c>
      <c r="B154" s="4" t="s">
        <v>284</v>
      </c>
      <c r="C154" s="25" t="s">
        <v>283</v>
      </c>
      <c r="D154" s="4">
        <v>3</v>
      </c>
      <c r="E154" s="4"/>
      <c r="F154" s="292">
        <v>65</v>
      </c>
      <c r="G154" s="292"/>
      <c r="H154" s="4">
        <v>15450</v>
      </c>
      <c r="I154" s="26">
        <f t="shared" si="6"/>
        <v>10351.5</v>
      </c>
      <c r="J154" s="29">
        <f t="shared" si="7"/>
        <v>10040.955</v>
      </c>
    </row>
    <row r="155" spans="1:10" ht="21.75" customHeight="1" x14ac:dyDescent="0.35">
      <c r="A155" s="300" t="s">
        <v>285</v>
      </c>
      <c r="B155" s="300"/>
      <c r="C155" s="300"/>
      <c r="D155" s="300"/>
      <c r="E155" s="300"/>
      <c r="F155" s="300"/>
      <c r="G155" s="300"/>
      <c r="H155" s="287" t="s">
        <v>109</v>
      </c>
      <c r="I155" s="299" t="s">
        <v>504</v>
      </c>
      <c r="J155" s="299"/>
    </row>
    <row r="156" spans="1:10" ht="21.75" customHeight="1" x14ac:dyDescent="0.35">
      <c r="A156" s="287" t="s">
        <v>2</v>
      </c>
      <c r="B156" s="287" t="s">
        <v>3</v>
      </c>
      <c r="C156" s="298" t="s">
        <v>4</v>
      </c>
      <c r="D156" s="287" t="s">
        <v>5</v>
      </c>
      <c r="E156" s="287"/>
      <c r="F156" s="287" t="s">
        <v>6</v>
      </c>
      <c r="G156" s="287"/>
      <c r="H156" s="287"/>
      <c r="I156" s="299"/>
      <c r="J156" s="299"/>
    </row>
    <row r="157" spans="1:10" ht="21.75" customHeight="1" x14ac:dyDescent="0.35">
      <c r="A157" s="287"/>
      <c r="B157" s="287"/>
      <c r="C157" s="298"/>
      <c r="D157" s="11" t="s">
        <v>9</v>
      </c>
      <c r="E157" s="11" t="s">
        <v>10</v>
      </c>
      <c r="F157" s="11" t="s">
        <v>11</v>
      </c>
      <c r="G157" s="11" t="s">
        <v>12</v>
      </c>
      <c r="H157" s="287"/>
      <c r="I157" s="41">
        <v>0.33</v>
      </c>
      <c r="J157" s="41">
        <v>0.03</v>
      </c>
    </row>
    <row r="158" spans="1:10" ht="21.75" customHeight="1" x14ac:dyDescent="0.35">
      <c r="A158" s="4">
        <v>1</v>
      </c>
      <c r="B158" s="4" t="s">
        <v>286</v>
      </c>
      <c r="C158" s="25" t="s">
        <v>287</v>
      </c>
      <c r="D158" s="4">
        <v>0.5</v>
      </c>
      <c r="E158" s="4"/>
      <c r="F158" s="292">
        <v>32</v>
      </c>
      <c r="G158" s="292"/>
      <c r="H158" s="4">
        <v>6800</v>
      </c>
      <c r="I158" s="26">
        <f t="shared" ref="I158:I174" si="8">H158*0.67</f>
        <v>4556</v>
      </c>
      <c r="J158" s="29">
        <f t="shared" ref="J158:J174" si="9">I158*0.97</f>
        <v>4419.32</v>
      </c>
    </row>
    <row r="159" spans="1:10" ht="21.75" customHeight="1" x14ac:dyDescent="0.35">
      <c r="A159" s="4">
        <v>2</v>
      </c>
      <c r="B159" s="4" t="s">
        <v>288</v>
      </c>
      <c r="C159" s="25" t="s">
        <v>289</v>
      </c>
      <c r="D159" s="4">
        <v>0.5</v>
      </c>
      <c r="E159" s="4"/>
      <c r="F159" s="292">
        <v>32</v>
      </c>
      <c r="G159" s="292"/>
      <c r="H159" s="4">
        <v>7600</v>
      </c>
      <c r="I159" s="26">
        <f t="shared" si="8"/>
        <v>5092</v>
      </c>
      <c r="J159" s="29">
        <f t="shared" si="9"/>
        <v>4939.24</v>
      </c>
    </row>
    <row r="160" spans="1:10" ht="21.75" customHeight="1" x14ac:dyDescent="0.35">
      <c r="A160" s="4">
        <v>3</v>
      </c>
      <c r="B160" s="4" t="s">
        <v>290</v>
      </c>
      <c r="C160" s="25" t="s">
        <v>291</v>
      </c>
      <c r="D160" s="4">
        <v>0.75</v>
      </c>
      <c r="E160" s="4"/>
      <c r="F160" s="292">
        <v>32</v>
      </c>
      <c r="G160" s="292"/>
      <c r="H160" s="4">
        <v>7800</v>
      </c>
      <c r="I160" s="26">
        <f t="shared" si="8"/>
        <v>5226</v>
      </c>
      <c r="J160" s="29">
        <f t="shared" si="9"/>
        <v>5069.22</v>
      </c>
    </row>
    <row r="161" spans="1:10" ht="21.75" customHeight="1" x14ac:dyDescent="0.35">
      <c r="A161" s="4">
        <v>4</v>
      </c>
      <c r="B161" s="4" t="s">
        <v>292</v>
      </c>
      <c r="C161" s="25" t="s">
        <v>293</v>
      </c>
      <c r="D161" s="4">
        <v>0.75</v>
      </c>
      <c r="E161" s="4"/>
      <c r="F161" s="292">
        <v>32</v>
      </c>
      <c r="G161" s="292"/>
      <c r="H161" s="4">
        <v>8000</v>
      </c>
      <c r="I161" s="26">
        <f t="shared" si="8"/>
        <v>5360</v>
      </c>
      <c r="J161" s="29">
        <f t="shared" si="9"/>
        <v>5199.2</v>
      </c>
    </row>
    <row r="162" spans="1:10" ht="21.75" customHeight="1" x14ac:dyDescent="0.35">
      <c r="A162" s="4">
        <v>5</v>
      </c>
      <c r="B162" s="4" t="s">
        <v>294</v>
      </c>
      <c r="C162" s="25" t="s">
        <v>295</v>
      </c>
      <c r="D162" s="4">
        <v>1</v>
      </c>
      <c r="E162" s="4"/>
      <c r="F162" s="292">
        <v>32</v>
      </c>
      <c r="G162" s="292"/>
      <c r="H162" s="4">
        <v>8200</v>
      </c>
      <c r="I162" s="26">
        <f t="shared" si="8"/>
        <v>5494</v>
      </c>
      <c r="J162" s="29">
        <f t="shared" si="9"/>
        <v>5329.18</v>
      </c>
    </row>
    <row r="163" spans="1:10" ht="21.75" customHeight="1" x14ac:dyDescent="0.35">
      <c r="A163" s="4">
        <v>6</v>
      </c>
      <c r="B163" s="4" t="s">
        <v>296</v>
      </c>
      <c r="C163" s="25" t="s">
        <v>297</v>
      </c>
      <c r="D163" s="4">
        <v>1</v>
      </c>
      <c r="E163" s="4"/>
      <c r="F163" s="292">
        <v>32</v>
      </c>
      <c r="G163" s="292"/>
      <c r="H163" s="4">
        <v>8400</v>
      </c>
      <c r="I163" s="26">
        <f t="shared" si="8"/>
        <v>5628</v>
      </c>
      <c r="J163" s="29">
        <f t="shared" si="9"/>
        <v>5459.16</v>
      </c>
    </row>
    <row r="164" spans="1:10" ht="21.75" customHeight="1" x14ac:dyDescent="0.35">
      <c r="A164" s="4">
        <v>7</v>
      </c>
      <c r="B164" s="4" t="s">
        <v>298</v>
      </c>
      <c r="C164" s="25" t="s">
        <v>299</v>
      </c>
      <c r="D164" s="4">
        <v>1</v>
      </c>
      <c r="E164" s="4"/>
      <c r="F164" s="292">
        <v>32</v>
      </c>
      <c r="G164" s="292"/>
      <c r="H164" s="4">
        <v>8600</v>
      </c>
      <c r="I164" s="26">
        <f t="shared" si="8"/>
        <v>5762</v>
      </c>
      <c r="J164" s="29">
        <f t="shared" si="9"/>
        <v>5589.1399999999994</v>
      </c>
    </row>
    <row r="165" spans="1:10" ht="21.75" customHeight="1" x14ac:dyDescent="0.35">
      <c r="A165" s="4">
        <v>8</v>
      </c>
      <c r="B165" s="4" t="s">
        <v>300</v>
      </c>
      <c r="C165" s="25" t="s">
        <v>301</v>
      </c>
      <c r="D165" s="4">
        <v>1.5</v>
      </c>
      <c r="E165" s="4"/>
      <c r="F165" s="292">
        <v>32</v>
      </c>
      <c r="G165" s="292"/>
      <c r="H165" s="4">
        <v>9000</v>
      </c>
      <c r="I165" s="26">
        <f t="shared" si="8"/>
        <v>6030</v>
      </c>
      <c r="J165" s="29">
        <f t="shared" si="9"/>
        <v>5849.0999999999995</v>
      </c>
    </row>
    <row r="166" spans="1:10" ht="21.75" customHeight="1" x14ac:dyDescent="0.35">
      <c r="A166" s="4">
        <v>9</v>
      </c>
      <c r="B166" s="4" t="s">
        <v>302</v>
      </c>
      <c r="C166" s="25" t="s">
        <v>303</v>
      </c>
      <c r="D166" s="4">
        <v>1.5</v>
      </c>
      <c r="E166" s="4"/>
      <c r="F166" s="292">
        <v>32</v>
      </c>
      <c r="G166" s="292"/>
      <c r="H166" s="4">
        <v>10600</v>
      </c>
      <c r="I166" s="26">
        <f t="shared" si="8"/>
        <v>7102</v>
      </c>
      <c r="J166" s="29">
        <f t="shared" si="9"/>
        <v>6888.94</v>
      </c>
    </row>
    <row r="167" spans="1:10" ht="21.75" customHeight="1" x14ac:dyDescent="0.35">
      <c r="A167" s="4">
        <v>10</v>
      </c>
      <c r="B167" s="4" t="s">
        <v>304</v>
      </c>
      <c r="C167" s="25" t="s">
        <v>305</v>
      </c>
      <c r="D167" s="4">
        <v>1.5</v>
      </c>
      <c r="E167" s="4"/>
      <c r="F167" s="292">
        <v>32</v>
      </c>
      <c r="G167" s="292"/>
      <c r="H167" s="4">
        <v>11000</v>
      </c>
      <c r="I167" s="26">
        <f t="shared" si="8"/>
        <v>7370</v>
      </c>
      <c r="J167" s="29">
        <f t="shared" si="9"/>
        <v>7148.9</v>
      </c>
    </row>
    <row r="168" spans="1:10" ht="21.75" customHeight="1" x14ac:dyDescent="0.35">
      <c r="A168" s="4">
        <v>11</v>
      </c>
      <c r="B168" s="4" t="s">
        <v>306</v>
      </c>
      <c r="C168" s="25" t="s">
        <v>307</v>
      </c>
      <c r="D168" s="4">
        <v>2</v>
      </c>
      <c r="E168" s="4"/>
      <c r="F168" s="292">
        <v>32</v>
      </c>
      <c r="G168" s="292"/>
      <c r="H168" s="4">
        <v>13000</v>
      </c>
      <c r="I168" s="26">
        <f t="shared" si="8"/>
        <v>8710</v>
      </c>
      <c r="J168" s="29">
        <f t="shared" si="9"/>
        <v>8448.6999999999989</v>
      </c>
    </row>
    <row r="169" spans="1:10" ht="21.75" customHeight="1" x14ac:dyDescent="0.35">
      <c r="A169" s="4">
        <v>12</v>
      </c>
      <c r="B169" s="4" t="s">
        <v>308</v>
      </c>
      <c r="C169" s="25" t="s">
        <v>309</v>
      </c>
      <c r="D169" s="4">
        <v>2</v>
      </c>
      <c r="E169" s="4"/>
      <c r="F169" s="292">
        <v>32</v>
      </c>
      <c r="G169" s="292"/>
      <c r="H169" s="4">
        <v>15500</v>
      </c>
      <c r="I169" s="26">
        <f t="shared" si="8"/>
        <v>10385</v>
      </c>
      <c r="J169" s="29">
        <f t="shared" si="9"/>
        <v>10073.449999999999</v>
      </c>
    </row>
    <row r="170" spans="1:10" ht="21.75" customHeight="1" x14ac:dyDescent="0.35">
      <c r="A170" s="4">
        <v>13</v>
      </c>
      <c r="B170" s="4" t="s">
        <v>310</v>
      </c>
      <c r="C170" s="25" t="s">
        <v>311</v>
      </c>
      <c r="D170" s="4">
        <v>3</v>
      </c>
      <c r="E170" s="4"/>
      <c r="F170" s="292">
        <v>32</v>
      </c>
      <c r="G170" s="292"/>
      <c r="H170" s="4">
        <v>19000</v>
      </c>
      <c r="I170" s="26">
        <f t="shared" si="8"/>
        <v>12730</v>
      </c>
      <c r="J170" s="29">
        <f t="shared" si="9"/>
        <v>12348.1</v>
      </c>
    </row>
    <row r="171" spans="1:10" ht="21.75" customHeight="1" x14ac:dyDescent="0.35">
      <c r="A171" s="4">
        <v>14</v>
      </c>
      <c r="B171" s="4" t="s">
        <v>312</v>
      </c>
      <c r="C171" s="25" t="s">
        <v>313</v>
      </c>
      <c r="D171" s="4">
        <v>3</v>
      </c>
      <c r="E171" s="4"/>
      <c r="F171" s="292">
        <v>32</v>
      </c>
      <c r="G171" s="292"/>
      <c r="H171" s="4">
        <v>20000</v>
      </c>
      <c r="I171" s="26">
        <f t="shared" si="8"/>
        <v>13400</v>
      </c>
      <c r="J171" s="29">
        <f t="shared" si="9"/>
        <v>12998</v>
      </c>
    </row>
    <row r="172" spans="1:10" ht="21.75" customHeight="1" x14ac:dyDescent="0.35">
      <c r="A172" s="4">
        <v>15</v>
      </c>
      <c r="B172" s="4" t="s">
        <v>314</v>
      </c>
      <c r="C172" s="25" t="s">
        <v>315</v>
      </c>
      <c r="D172" s="4">
        <v>3</v>
      </c>
      <c r="E172" s="4"/>
      <c r="F172" s="292">
        <v>32</v>
      </c>
      <c r="G172" s="292"/>
      <c r="H172" s="4">
        <v>20500</v>
      </c>
      <c r="I172" s="26">
        <f t="shared" si="8"/>
        <v>13735</v>
      </c>
      <c r="J172" s="29">
        <f t="shared" si="9"/>
        <v>13322.949999999999</v>
      </c>
    </row>
    <row r="173" spans="1:10" ht="21.75" customHeight="1" x14ac:dyDescent="0.35">
      <c r="A173" s="28">
        <v>14</v>
      </c>
      <c r="B173" s="28" t="s">
        <v>312</v>
      </c>
      <c r="C173" s="27" t="s">
        <v>313</v>
      </c>
      <c r="D173" s="28">
        <v>3</v>
      </c>
      <c r="E173" s="28"/>
      <c r="F173" s="291">
        <v>32</v>
      </c>
      <c r="G173" s="291"/>
      <c r="H173" s="94">
        <v>12600</v>
      </c>
      <c r="I173" s="26">
        <f t="shared" si="8"/>
        <v>8442</v>
      </c>
      <c r="J173" s="29">
        <f t="shared" si="9"/>
        <v>8188.74</v>
      </c>
    </row>
    <row r="174" spans="1:10" ht="21.75" customHeight="1" x14ac:dyDescent="0.35">
      <c r="A174" s="28">
        <v>15</v>
      </c>
      <c r="B174" s="28" t="s">
        <v>314</v>
      </c>
      <c r="C174" s="27" t="s">
        <v>315</v>
      </c>
      <c r="D174" s="28">
        <v>3</v>
      </c>
      <c r="E174" s="28"/>
      <c r="F174" s="291">
        <v>32</v>
      </c>
      <c r="G174" s="291"/>
      <c r="H174" s="94">
        <v>12915</v>
      </c>
      <c r="I174" s="26">
        <f t="shared" si="8"/>
        <v>8653.0500000000011</v>
      </c>
      <c r="J174" s="29">
        <f t="shared" si="9"/>
        <v>8393.4585000000006</v>
      </c>
    </row>
    <row r="175" spans="1:10" ht="21.75" customHeight="1" x14ac:dyDescent="0.35">
      <c r="J175" s="122"/>
    </row>
    <row r="176" spans="1:10" ht="21.75" customHeight="1" x14ac:dyDescent="0.35">
      <c r="J176" s="122"/>
    </row>
    <row r="177" spans="10:10" ht="21.75" customHeight="1" x14ac:dyDescent="0.35">
      <c r="J177" s="122"/>
    </row>
    <row r="178" spans="10:10" ht="21.75" customHeight="1" x14ac:dyDescent="0.35">
      <c r="J178" s="122"/>
    </row>
    <row r="179" spans="10:10" ht="21.75" customHeight="1" x14ac:dyDescent="0.35">
      <c r="J179" s="122"/>
    </row>
    <row r="180" spans="10:10" ht="21.75" customHeight="1" x14ac:dyDescent="0.35">
      <c r="J180" s="122"/>
    </row>
    <row r="181" spans="10:10" ht="21.75" customHeight="1" x14ac:dyDescent="0.35">
      <c r="J181" s="122"/>
    </row>
    <row r="182" spans="10:10" ht="21.75" customHeight="1" x14ac:dyDescent="0.35">
      <c r="J182" s="122"/>
    </row>
    <row r="183" spans="10:10" ht="21.75" customHeight="1" x14ac:dyDescent="0.35">
      <c r="J183" s="122"/>
    </row>
    <row r="184" spans="10:10" ht="21.75" customHeight="1" x14ac:dyDescent="0.35">
      <c r="J184" s="122"/>
    </row>
    <row r="185" spans="10:10" ht="21.75" customHeight="1" x14ac:dyDescent="0.35">
      <c r="J185" s="122"/>
    </row>
    <row r="186" spans="10:10" ht="21.75" customHeight="1" x14ac:dyDescent="0.35">
      <c r="J186" s="122"/>
    </row>
    <row r="187" spans="10:10" ht="21.75" customHeight="1" x14ac:dyDescent="0.35">
      <c r="J187" s="122"/>
    </row>
    <row r="188" spans="10:10" ht="21.75" customHeight="1" x14ac:dyDescent="0.35">
      <c r="J188" s="122"/>
    </row>
  </sheetData>
  <mergeCells count="108">
    <mergeCell ref="A55:G55"/>
    <mergeCell ref="H55:H57"/>
    <mergeCell ref="A56:A57"/>
    <mergeCell ref="B56:B57"/>
    <mergeCell ref="C56:C57"/>
    <mergeCell ref="D56:E56"/>
    <mergeCell ref="F56:G56"/>
    <mergeCell ref="I55:J56"/>
    <mergeCell ref="A5:A6"/>
    <mergeCell ref="B5:B6"/>
    <mergeCell ref="C5:C6"/>
    <mergeCell ref="D5:E5"/>
    <mergeCell ref="F5:G5"/>
    <mergeCell ref="H5:H6"/>
    <mergeCell ref="I26:J26"/>
    <mergeCell ref="I27:J27"/>
    <mergeCell ref="I31:J31"/>
    <mergeCell ref="I32:J32"/>
    <mergeCell ref="I47:J47"/>
    <mergeCell ref="D74:D91"/>
    <mergeCell ref="E74:E91"/>
    <mergeCell ref="D92:D103"/>
    <mergeCell ref="E92:E103"/>
    <mergeCell ref="D104:D106"/>
    <mergeCell ref="E104:E106"/>
    <mergeCell ref="D58:D59"/>
    <mergeCell ref="E58:E59"/>
    <mergeCell ref="D61:D66"/>
    <mergeCell ref="E61:E66"/>
    <mergeCell ref="D67:D73"/>
    <mergeCell ref="E67:E73"/>
    <mergeCell ref="I129:J130"/>
    <mergeCell ref="A115:A116"/>
    <mergeCell ref="B115:B116"/>
    <mergeCell ref="C115:C116"/>
    <mergeCell ref="D115:E115"/>
    <mergeCell ref="F115:G115"/>
    <mergeCell ref="I114:J115"/>
    <mergeCell ref="D108:D109"/>
    <mergeCell ref="E108:E109"/>
    <mergeCell ref="D110:D113"/>
    <mergeCell ref="E110:E113"/>
    <mergeCell ref="A114:G114"/>
    <mergeCell ref="H114:H116"/>
    <mergeCell ref="I117:J117"/>
    <mergeCell ref="I118:J118"/>
    <mergeCell ref="F132:G132"/>
    <mergeCell ref="F133:G133"/>
    <mergeCell ref="F134:G134"/>
    <mergeCell ref="F135:G135"/>
    <mergeCell ref="F136:G136"/>
    <mergeCell ref="F137:G137"/>
    <mergeCell ref="A129:G129"/>
    <mergeCell ref="H129:H131"/>
    <mergeCell ref="A130:A131"/>
    <mergeCell ref="B130:B131"/>
    <mergeCell ref="C130:C131"/>
    <mergeCell ref="D130:E130"/>
    <mergeCell ref="F130:G131"/>
    <mergeCell ref="F144:G144"/>
    <mergeCell ref="F145:G145"/>
    <mergeCell ref="F146:G146"/>
    <mergeCell ref="F147:G147"/>
    <mergeCell ref="F148:G148"/>
    <mergeCell ref="F149:G149"/>
    <mergeCell ref="F138:G138"/>
    <mergeCell ref="F139:G139"/>
    <mergeCell ref="F140:G140"/>
    <mergeCell ref="F141:G141"/>
    <mergeCell ref="F142:G142"/>
    <mergeCell ref="F143:G143"/>
    <mergeCell ref="H155:H157"/>
    <mergeCell ref="A156:A157"/>
    <mergeCell ref="B156:B157"/>
    <mergeCell ref="C156:C157"/>
    <mergeCell ref="D156:E156"/>
    <mergeCell ref="F156:G156"/>
    <mergeCell ref="I155:J156"/>
    <mergeCell ref="F150:G150"/>
    <mergeCell ref="F151:G151"/>
    <mergeCell ref="F152:G152"/>
    <mergeCell ref="F153:G153"/>
    <mergeCell ref="F154:G154"/>
    <mergeCell ref="A155:G155"/>
    <mergeCell ref="F173:G173"/>
    <mergeCell ref="F174:G174"/>
    <mergeCell ref="F170:G170"/>
    <mergeCell ref="F171:G171"/>
    <mergeCell ref="F172:G172"/>
    <mergeCell ref="A1:J3"/>
    <mergeCell ref="A4:J4"/>
    <mergeCell ref="I5:J5"/>
    <mergeCell ref="I7:J7"/>
    <mergeCell ref="I8:J8"/>
    <mergeCell ref="I9:J9"/>
    <mergeCell ref="I10:J10"/>
    <mergeCell ref="F164:G164"/>
    <mergeCell ref="F165:G165"/>
    <mergeCell ref="F166:G166"/>
    <mergeCell ref="F167:G167"/>
    <mergeCell ref="F168:G168"/>
    <mergeCell ref="F169:G169"/>
    <mergeCell ref="F158:G158"/>
    <mergeCell ref="F159:G159"/>
    <mergeCell ref="F160:G160"/>
    <mergeCell ref="F161:G161"/>
    <mergeCell ref="F162:G162"/>
    <mergeCell ref="F163:G163"/>
  </mergeCells>
  <conditionalFormatting sqref="B7:B172">
    <cfRule type="duplicateValues" dxfId="43" priority="1"/>
  </conditionalFormatting>
  <pageMargins left="0.7" right="0.7" top="0.75" bottom="0.75" header="0.3" footer="0.3"/>
  <pageSetup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74"/>
  <sheetViews>
    <sheetView workbookViewId="0">
      <selection activeCell="L18" sqref="L18"/>
    </sheetView>
  </sheetViews>
  <sheetFormatPr defaultRowHeight="18.75" customHeight="1" x14ac:dyDescent="0.35"/>
  <cols>
    <col min="2" max="2" width="16.453125" customWidth="1"/>
    <col min="3" max="3" width="19.26953125" customWidth="1"/>
  </cols>
  <sheetData>
    <row r="1" spans="1:10" ht="18.75" customHeight="1" x14ac:dyDescent="0.35">
      <c r="A1" s="203" t="s">
        <v>0</v>
      </c>
      <c r="B1" s="204"/>
      <c r="C1" s="204"/>
      <c r="D1" s="204"/>
      <c r="E1" s="204"/>
      <c r="F1" s="204"/>
      <c r="G1" s="204"/>
      <c r="H1" s="204"/>
      <c r="I1" s="204"/>
      <c r="J1" s="204"/>
    </row>
    <row r="2" spans="1:10" ht="18.75" customHeight="1" x14ac:dyDescent="0.35">
      <c r="A2" s="203"/>
      <c r="B2" s="204"/>
      <c r="C2" s="204"/>
      <c r="D2" s="204"/>
      <c r="E2" s="204"/>
      <c r="F2" s="204"/>
      <c r="G2" s="204"/>
      <c r="H2" s="204"/>
      <c r="I2" s="204"/>
      <c r="J2" s="204"/>
    </row>
    <row r="3" spans="1:10" ht="9.75" customHeight="1" x14ac:dyDescent="0.35">
      <c r="A3" s="203"/>
      <c r="B3" s="204"/>
      <c r="C3" s="204"/>
      <c r="D3" s="204"/>
      <c r="E3" s="204"/>
      <c r="F3" s="204"/>
      <c r="G3" s="204"/>
      <c r="H3" s="204"/>
      <c r="I3" s="204"/>
      <c r="J3" s="204"/>
    </row>
    <row r="4" spans="1:10" ht="24" customHeight="1" x14ac:dyDescent="0.35">
      <c r="A4" s="205" t="s">
        <v>639</v>
      </c>
      <c r="B4" s="206"/>
      <c r="C4" s="206"/>
      <c r="D4" s="206"/>
      <c r="E4" s="206"/>
      <c r="F4" s="206"/>
      <c r="G4" s="206"/>
      <c r="H4" s="206"/>
      <c r="I4" s="206"/>
      <c r="J4" s="206"/>
    </row>
    <row r="5" spans="1:10" ht="18.75" customHeight="1" x14ac:dyDescent="0.35">
      <c r="A5" s="287" t="s">
        <v>2</v>
      </c>
      <c r="B5" s="287" t="s">
        <v>3</v>
      </c>
      <c r="C5" s="287" t="s">
        <v>4</v>
      </c>
      <c r="D5" s="287" t="s">
        <v>5</v>
      </c>
      <c r="E5" s="287"/>
      <c r="F5" s="287" t="s">
        <v>6</v>
      </c>
      <c r="G5" s="287"/>
      <c r="H5" s="304" t="s">
        <v>7</v>
      </c>
      <c r="I5" s="293" t="s">
        <v>504</v>
      </c>
      <c r="J5" s="294"/>
    </row>
    <row r="6" spans="1:10" ht="26.25" customHeight="1" x14ac:dyDescent="0.35">
      <c r="A6" s="287"/>
      <c r="B6" s="287"/>
      <c r="C6" s="287"/>
      <c r="D6" s="11" t="s">
        <v>9</v>
      </c>
      <c r="E6" s="11" t="s">
        <v>10</v>
      </c>
      <c r="F6" s="11" t="s">
        <v>11</v>
      </c>
      <c r="G6" s="11" t="s">
        <v>12</v>
      </c>
      <c r="H6" s="304"/>
      <c r="I6" s="41">
        <v>0.33</v>
      </c>
      <c r="J6" s="41">
        <v>0.03</v>
      </c>
    </row>
    <row r="7" spans="1:10" ht="18.75" customHeight="1" x14ac:dyDescent="0.35">
      <c r="A7" s="6">
        <v>1</v>
      </c>
      <c r="B7" s="4" t="s">
        <v>13</v>
      </c>
      <c r="C7" s="12" t="s">
        <v>14</v>
      </c>
      <c r="D7" s="2">
        <v>0.5</v>
      </c>
      <c r="E7" s="2">
        <v>0.37</v>
      </c>
      <c r="F7" s="2">
        <v>25</v>
      </c>
      <c r="G7" s="2">
        <v>25</v>
      </c>
      <c r="H7" s="13">
        <v>2640</v>
      </c>
      <c r="I7" s="295">
        <v>1748</v>
      </c>
      <c r="J7" s="296"/>
    </row>
    <row r="8" spans="1:10" ht="18.75" customHeight="1" x14ac:dyDescent="0.35">
      <c r="A8" s="6">
        <v>2</v>
      </c>
      <c r="B8" s="4" t="s">
        <v>15</v>
      </c>
      <c r="C8" s="12" t="s">
        <v>16</v>
      </c>
      <c r="D8" s="2">
        <v>1</v>
      </c>
      <c r="E8" s="2">
        <v>0.75</v>
      </c>
      <c r="F8" s="2">
        <v>25</v>
      </c>
      <c r="G8" s="2">
        <v>25</v>
      </c>
      <c r="H8" s="13">
        <v>3420</v>
      </c>
      <c r="I8" s="295">
        <v>2263</v>
      </c>
      <c r="J8" s="296"/>
    </row>
    <row r="9" spans="1:10" ht="18.75" customHeight="1" x14ac:dyDescent="0.35">
      <c r="A9" s="4">
        <v>3</v>
      </c>
      <c r="B9" s="4" t="s">
        <v>17</v>
      </c>
      <c r="C9" s="12" t="s">
        <v>18</v>
      </c>
      <c r="D9" s="2">
        <v>0.5</v>
      </c>
      <c r="E9" s="2">
        <v>0.37</v>
      </c>
      <c r="F9" s="2">
        <v>25</v>
      </c>
      <c r="G9" s="2">
        <v>25</v>
      </c>
      <c r="H9" s="13">
        <v>2840</v>
      </c>
      <c r="I9" s="295">
        <v>1878</v>
      </c>
      <c r="J9" s="296"/>
    </row>
    <row r="10" spans="1:10" ht="18.75" customHeight="1" x14ac:dyDescent="0.35">
      <c r="A10" s="6">
        <v>4</v>
      </c>
      <c r="B10" s="4" t="s">
        <v>19</v>
      </c>
      <c r="C10" s="12" t="s">
        <v>20</v>
      </c>
      <c r="D10" s="2">
        <v>1</v>
      </c>
      <c r="E10" s="2">
        <v>0.75</v>
      </c>
      <c r="F10" s="2">
        <v>25</v>
      </c>
      <c r="G10" s="2">
        <v>25</v>
      </c>
      <c r="H10" s="13">
        <v>3660</v>
      </c>
      <c r="I10" s="295">
        <v>2421</v>
      </c>
      <c r="J10" s="296"/>
    </row>
    <row r="11" spans="1:10" ht="18.75" customHeight="1" x14ac:dyDescent="0.35">
      <c r="A11" s="6">
        <v>5</v>
      </c>
      <c r="B11" s="6" t="s">
        <v>21</v>
      </c>
      <c r="C11" s="14" t="s">
        <v>22</v>
      </c>
      <c r="D11" s="2">
        <v>0.5</v>
      </c>
      <c r="E11" s="2">
        <v>0.37</v>
      </c>
      <c r="F11" s="2">
        <v>25</v>
      </c>
      <c r="G11" s="2">
        <v>25</v>
      </c>
      <c r="H11" s="8">
        <v>3160</v>
      </c>
      <c r="I11" s="26">
        <f>H11*0.67</f>
        <v>2117.2000000000003</v>
      </c>
      <c r="J11" s="29">
        <f>I11*0.97</f>
        <v>2053.6840000000002</v>
      </c>
    </row>
    <row r="12" spans="1:10" ht="18.75" customHeight="1" x14ac:dyDescent="0.35">
      <c r="A12" s="6">
        <v>6</v>
      </c>
      <c r="B12" s="6" t="s">
        <v>23</v>
      </c>
      <c r="C12" s="14" t="s">
        <v>24</v>
      </c>
      <c r="D12" s="2">
        <v>1</v>
      </c>
      <c r="E12" s="2">
        <v>0.75</v>
      </c>
      <c r="F12" s="2">
        <v>25</v>
      </c>
      <c r="G12" s="2">
        <v>25</v>
      </c>
      <c r="H12" s="8">
        <v>4120</v>
      </c>
      <c r="I12" s="26">
        <f t="shared" ref="I12:I54" si="0">H12*0.67</f>
        <v>2760.4</v>
      </c>
      <c r="J12" s="29">
        <f t="shared" ref="J12:J54" si="1">I12*0.97</f>
        <v>2677.5880000000002</v>
      </c>
    </row>
    <row r="13" spans="1:10" ht="18.75" customHeight="1" x14ac:dyDescent="0.35">
      <c r="A13" s="4">
        <v>7</v>
      </c>
      <c r="B13" s="4" t="s">
        <v>25</v>
      </c>
      <c r="C13" s="12" t="s">
        <v>26</v>
      </c>
      <c r="D13" s="2">
        <v>1.5</v>
      </c>
      <c r="E13" s="2">
        <v>1</v>
      </c>
      <c r="F13" s="2">
        <v>25</v>
      </c>
      <c r="G13" s="2">
        <v>25</v>
      </c>
      <c r="H13" s="8">
        <v>5750</v>
      </c>
      <c r="I13" s="26">
        <f t="shared" si="0"/>
        <v>3852.5000000000005</v>
      </c>
      <c r="J13" s="29">
        <f t="shared" si="1"/>
        <v>3736.9250000000002</v>
      </c>
    </row>
    <row r="14" spans="1:10" ht="18.75" customHeight="1" x14ac:dyDescent="0.35">
      <c r="A14" s="6">
        <v>8</v>
      </c>
      <c r="B14" s="6" t="s">
        <v>27</v>
      </c>
      <c r="C14" s="14" t="s">
        <v>28</v>
      </c>
      <c r="D14" s="2">
        <v>0.5</v>
      </c>
      <c r="E14" s="2">
        <v>0.37</v>
      </c>
      <c r="F14" s="2">
        <v>25</v>
      </c>
      <c r="G14" s="2">
        <v>25</v>
      </c>
      <c r="H14" s="8">
        <v>3520</v>
      </c>
      <c r="I14" s="26">
        <f t="shared" si="0"/>
        <v>2358.4</v>
      </c>
      <c r="J14" s="29">
        <f t="shared" si="1"/>
        <v>2287.6480000000001</v>
      </c>
    </row>
    <row r="15" spans="1:10" ht="18.75" customHeight="1" x14ac:dyDescent="0.35">
      <c r="A15" s="6">
        <v>9</v>
      </c>
      <c r="B15" s="4" t="s">
        <v>29</v>
      </c>
      <c r="C15" s="15" t="s">
        <v>30</v>
      </c>
      <c r="D15" s="2">
        <v>1</v>
      </c>
      <c r="E15" s="2">
        <v>0.75</v>
      </c>
      <c r="F15" s="2">
        <v>25</v>
      </c>
      <c r="G15" s="2">
        <v>25</v>
      </c>
      <c r="H15" s="8">
        <v>3660</v>
      </c>
      <c r="I15" s="26">
        <f t="shared" si="0"/>
        <v>2452.2000000000003</v>
      </c>
      <c r="J15" s="29">
        <f t="shared" si="1"/>
        <v>2378.634</v>
      </c>
    </row>
    <row r="16" spans="1:10" ht="18.75" customHeight="1" x14ac:dyDescent="0.35">
      <c r="A16" s="6">
        <v>10</v>
      </c>
      <c r="B16" s="4" t="s">
        <v>31</v>
      </c>
      <c r="C16" s="12" t="s">
        <v>32</v>
      </c>
      <c r="D16" s="2">
        <v>1</v>
      </c>
      <c r="E16" s="2">
        <v>0.75</v>
      </c>
      <c r="F16" s="2">
        <v>25</v>
      </c>
      <c r="G16" s="2">
        <v>25</v>
      </c>
      <c r="H16" s="8">
        <v>4220</v>
      </c>
      <c r="I16" s="26">
        <f t="shared" si="0"/>
        <v>2827.4</v>
      </c>
      <c r="J16" s="29">
        <f t="shared" si="1"/>
        <v>2742.578</v>
      </c>
    </row>
    <row r="17" spans="1:10" ht="18.75" customHeight="1" x14ac:dyDescent="0.35">
      <c r="A17" s="4">
        <v>11</v>
      </c>
      <c r="B17" s="6" t="s">
        <v>33</v>
      </c>
      <c r="C17" s="14" t="s">
        <v>34</v>
      </c>
      <c r="D17" s="2">
        <v>0.75</v>
      </c>
      <c r="E17" s="2">
        <v>0.56000000000000005</v>
      </c>
      <c r="F17" s="2">
        <v>25</v>
      </c>
      <c r="G17" s="2">
        <v>25</v>
      </c>
      <c r="H17" s="8">
        <v>4080</v>
      </c>
      <c r="I17" s="26">
        <f t="shared" si="0"/>
        <v>2733.6000000000004</v>
      </c>
      <c r="J17" s="29">
        <f t="shared" si="1"/>
        <v>2651.5920000000001</v>
      </c>
    </row>
    <row r="18" spans="1:10" ht="18.75" customHeight="1" x14ac:dyDescent="0.35">
      <c r="A18" s="6">
        <v>12</v>
      </c>
      <c r="B18" s="4" t="s">
        <v>35</v>
      </c>
      <c r="C18" s="16" t="s">
        <v>36</v>
      </c>
      <c r="D18" s="2">
        <v>1</v>
      </c>
      <c r="E18" s="2">
        <v>0.75</v>
      </c>
      <c r="F18" s="2">
        <v>25</v>
      </c>
      <c r="G18" s="2">
        <v>25</v>
      </c>
      <c r="H18" s="8">
        <v>4730</v>
      </c>
      <c r="I18" s="26">
        <f t="shared" si="0"/>
        <v>3169.1000000000004</v>
      </c>
      <c r="J18" s="29">
        <f t="shared" si="1"/>
        <v>3074.027</v>
      </c>
    </row>
    <row r="19" spans="1:10" ht="18.75" customHeight="1" x14ac:dyDescent="0.35">
      <c r="A19" s="6">
        <v>13</v>
      </c>
      <c r="B19" s="4" t="s">
        <v>37</v>
      </c>
      <c r="C19" s="16" t="s">
        <v>38</v>
      </c>
      <c r="D19" s="2">
        <v>1</v>
      </c>
      <c r="E19" s="2">
        <v>0.75</v>
      </c>
      <c r="F19" s="2">
        <v>25</v>
      </c>
      <c r="G19" s="2">
        <v>25</v>
      </c>
      <c r="H19" s="8">
        <v>4730</v>
      </c>
      <c r="I19" s="26">
        <f t="shared" si="0"/>
        <v>3169.1000000000004</v>
      </c>
      <c r="J19" s="29">
        <f t="shared" si="1"/>
        <v>3074.027</v>
      </c>
    </row>
    <row r="20" spans="1:10" ht="18.75" customHeight="1" x14ac:dyDescent="0.35">
      <c r="A20" s="6">
        <v>14</v>
      </c>
      <c r="B20" s="6" t="s">
        <v>39</v>
      </c>
      <c r="C20" s="14" t="s">
        <v>40</v>
      </c>
      <c r="D20" s="2">
        <v>1</v>
      </c>
      <c r="E20" s="2">
        <v>0.75</v>
      </c>
      <c r="F20" s="2">
        <v>25</v>
      </c>
      <c r="G20" s="2">
        <v>25</v>
      </c>
      <c r="H20" s="8">
        <v>5170</v>
      </c>
      <c r="I20" s="26">
        <f t="shared" si="0"/>
        <v>3463.9</v>
      </c>
      <c r="J20" s="29">
        <f t="shared" si="1"/>
        <v>3359.9830000000002</v>
      </c>
    </row>
    <row r="21" spans="1:10" ht="18.75" customHeight="1" x14ac:dyDescent="0.35">
      <c r="A21" s="4">
        <v>15</v>
      </c>
      <c r="B21" s="6" t="s">
        <v>41</v>
      </c>
      <c r="C21" s="14" t="s">
        <v>42</v>
      </c>
      <c r="D21" s="2">
        <v>1</v>
      </c>
      <c r="E21" s="2">
        <v>0.75</v>
      </c>
      <c r="F21" s="2">
        <v>25</v>
      </c>
      <c r="G21" s="2">
        <v>25</v>
      </c>
      <c r="H21" s="8">
        <v>4670</v>
      </c>
      <c r="I21" s="26">
        <f t="shared" si="0"/>
        <v>3128.9</v>
      </c>
      <c r="J21" s="29">
        <f t="shared" si="1"/>
        <v>3035.0329999999999</v>
      </c>
    </row>
    <row r="22" spans="1:10" ht="18.75" customHeight="1" x14ac:dyDescent="0.35">
      <c r="A22" s="6">
        <v>16</v>
      </c>
      <c r="B22" s="4" t="s">
        <v>43</v>
      </c>
      <c r="C22" s="12" t="s">
        <v>44</v>
      </c>
      <c r="D22" s="2">
        <v>1.2</v>
      </c>
      <c r="E22" s="2">
        <v>0.9</v>
      </c>
      <c r="F22" s="2">
        <v>25</v>
      </c>
      <c r="G22" s="2">
        <v>25</v>
      </c>
      <c r="H22" s="8">
        <v>6650</v>
      </c>
      <c r="I22" s="26">
        <f t="shared" si="0"/>
        <v>4455.5</v>
      </c>
      <c r="J22" s="29">
        <f t="shared" si="1"/>
        <v>4321.835</v>
      </c>
    </row>
    <row r="23" spans="1:10" ht="18.75" customHeight="1" x14ac:dyDescent="0.35">
      <c r="A23" s="6">
        <v>17</v>
      </c>
      <c r="B23" s="6" t="s">
        <v>45</v>
      </c>
      <c r="C23" s="14" t="s">
        <v>46</v>
      </c>
      <c r="D23" s="2">
        <v>1.5</v>
      </c>
      <c r="E23" s="2">
        <v>1.1000000000000001</v>
      </c>
      <c r="F23" s="2">
        <v>25</v>
      </c>
      <c r="G23" s="2">
        <v>25</v>
      </c>
      <c r="H23" s="8">
        <v>8150</v>
      </c>
      <c r="I23" s="26">
        <f t="shared" si="0"/>
        <v>5460.5</v>
      </c>
      <c r="J23" s="29">
        <f t="shared" si="1"/>
        <v>5296.6849999999995</v>
      </c>
    </row>
    <row r="24" spans="1:10" ht="18.75" customHeight="1" x14ac:dyDescent="0.35">
      <c r="A24" s="6">
        <v>18</v>
      </c>
      <c r="B24" s="6" t="s">
        <v>47</v>
      </c>
      <c r="C24" s="14" t="s">
        <v>48</v>
      </c>
      <c r="D24" s="2">
        <v>2</v>
      </c>
      <c r="E24" s="2">
        <v>1.5</v>
      </c>
      <c r="F24" s="2">
        <v>25</v>
      </c>
      <c r="G24" s="2">
        <v>25</v>
      </c>
      <c r="H24" s="8">
        <v>9190</v>
      </c>
      <c r="I24" s="26">
        <f t="shared" si="0"/>
        <v>6157.3</v>
      </c>
      <c r="J24" s="29">
        <f t="shared" si="1"/>
        <v>5972.5810000000001</v>
      </c>
    </row>
    <row r="25" spans="1:10" ht="18.75" customHeight="1" x14ac:dyDescent="0.35">
      <c r="A25" s="4">
        <v>19</v>
      </c>
      <c r="B25" s="6" t="s">
        <v>49</v>
      </c>
      <c r="C25" s="14" t="s">
        <v>50</v>
      </c>
      <c r="D25" s="2">
        <v>0.5</v>
      </c>
      <c r="E25" s="2">
        <v>0.37</v>
      </c>
      <c r="F25" s="2">
        <v>25</v>
      </c>
      <c r="G25" s="2">
        <v>25</v>
      </c>
      <c r="H25" s="8">
        <v>3310</v>
      </c>
      <c r="I25" s="26">
        <f t="shared" si="0"/>
        <v>2217.7000000000003</v>
      </c>
      <c r="J25" s="29">
        <f t="shared" si="1"/>
        <v>2151.1690000000003</v>
      </c>
    </row>
    <row r="26" spans="1:10" ht="18.75" customHeight="1" x14ac:dyDescent="0.35">
      <c r="A26" s="6">
        <v>20</v>
      </c>
      <c r="B26" s="4" t="s">
        <v>51</v>
      </c>
      <c r="C26" s="12" t="s">
        <v>52</v>
      </c>
      <c r="D26" s="2">
        <v>0.5</v>
      </c>
      <c r="E26" s="2">
        <v>0.37</v>
      </c>
      <c r="F26" s="2">
        <v>25</v>
      </c>
      <c r="G26" s="2">
        <v>25</v>
      </c>
      <c r="H26" s="10">
        <v>4380</v>
      </c>
      <c r="I26" s="295">
        <v>2897</v>
      </c>
      <c r="J26" s="296"/>
    </row>
    <row r="27" spans="1:10" ht="18.75" customHeight="1" x14ac:dyDescent="0.35">
      <c r="A27" s="6">
        <v>21</v>
      </c>
      <c r="B27" s="4" t="s">
        <v>53</v>
      </c>
      <c r="C27" s="12" t="s">
        <v>54</v>
      </c>
      <c r="D27" s="2">
        <v>1</v>
      </c>
      <c r="E27" s="2">
        <v>0.75</v>
      </c>
      <c r="F27" s="2">
        <v>25</v>
      </c>
      <c r="G27" s="2">
        <v>25</v>
      </c>
      <c r="H27" s="10">
        <v>5300</v>
      </c>
      <c r="I27" s="295">
        <v>3506</v>
      </c>
      <c r="J27" s="296"/>
    </row>
    <row r="28" spans="1:10" ht="18.75" customHeight="1" x14ac:dyDescent="0.35">
      <c r="A28" s="6">
        <v>22</v>
      </c>
      <c r="B28" s="6" t="s">
        <v>55</v>
      </c>
      <c r="C28" s="14" t="s">
        <v>56</v>
      </c>
      <c r="D28" s="2">
        <v>1.1000000000000001</v>
      </c>
      <c r="E28" s="2">
        <v>0.8</v>
      </c>
      <c r="F28" s="2">
        <v>25</v>
      </c>
      <c r="G28" s="2">
        <v>25</v>
      </c>
      <c r="H28" s="8">
        <v>5040</v>
      </c>
      <c r="I28" s="26">
        <f t="shared" si="0"/>
        <v>3376.8</v>
      </c>
      <c r="J28" s="29">
        <f t="shared" si="1"/>
        <v>3275.4960000000001</v>
      </c>
    </row>
    <row r="29" spans="1:10" ht="18.75" customHeight="1" x14ac:dyDescent="0.35">
      <c r="A29" s="4">
        <v>23</v>
      </c>
      <c r="B29" s="6" t="s">
        <v>57</v>
      </c>
      <c r="C29" s="14" t="s">
        <v>58</v>
      </c>
      <c r="D29" s="2">
        <v>1.1000000000000001</v>
      </c>
      <c r="E29" s="2">
        <v>0.8</v>
      </c>
      <c r="F29" s="2">
        <v>25</v>
      </c>
      <c r="G29" s="2">
        <v>25</v>
      </c>
      <c r="H29" s="8">
        <v>5150</v>
      </c>
      <c r="I29" s="26">
        <f t="shared" si="0"/>
        <v>3450.5</v>
      </c>
      <c r="J29" s="29">
        <f t="shared" si="1"/>
        <v>3346.9850000000001</v>
      </c>
    </row>
    <row r="30" spans="1:10" ht="18.75" customHeight="1" x14ac:dyDescent="0.35">
      <c r="A30" s="6">
        <v>24</v>
      </c>
      <c r="B30" s="4" t="s">
        <v>59</v>
      </c>
      <c r="C30" s="16" t="s">
        <v>60</v>
      </c>
      <c r="D30" s="2">
        <v>1.25</v>
      </c>
      <c r="E30" s="2">
        <v>0.94</v>
      </c>
      <c r="F30" s="2">
        <v>25</v>
      </c>
      <c r="G30" s="2">
        <v>25</v>
      </c>
      <c r="H30" s="8">
        <v>6630</v>
      </c>
      <c r="I30" s="26">
        <f t="shared" si="0"/>
        <v>4442.1000000000004</v>
      </c>
      <c r="J30" s="29">
        <f t="shared" si="1"/>
        <v>4308.8370000000004</v>
      </c>
    </row>
    <row r="31" spans="1:10" ht="18.75" customHeight="1" x14ac:dyDescent="0.35">
      <c r="A31" s="6">
        <v>25</v>
      </c>
      <c r="B31" s="6" t="s">
        <v>61</v>
      </c>
      <c r="C31" s="14" t="s">
        <v>62</v>
      </c>
      <c r="D31" s="17">
        <v>0.5</v>
      </c>
      <c r="E31" s="17">
        <v>0.37</v>
      </c>
      <c r="F31" s="17">
        <v>25</v>
      </c>
      <c r="G31" s="17">
        <v>25</v>
      </c>
      <c r="H31" s="9">
        <v>4950</v>
      </c>
      <c r="I31" s="295">
        <v>3275</v>
      </c>
      <c r="J31" s="296"/>
    </row>
    <row r="32" spans="1:10" ht="18.75" customHeight="1" x14ac:dyDescent="0.35">
      <c r="A32" s="6">
        <v>26</v>
      </c>
      <c r="B32" s="6" t="s">
        <v>63</v>
      </c>
      <c r="C32" s="14" t="s">
        <v>64</v>
      </c>
      <c r="D32" s="17">
        <v>0.5</v>
      </c>
      <c r="E32" s="17">
        <v>0.37</v>
      </c>
      <c r="F32" s="17">
        <v>25</v>
      </c>
      <c r="G32" s="17">
        <v>25</v>
      </c>
      <c r="H32" s="9">
        <v>5000</v>
      </c>
      <c r="I32" s="295">
        <v>3308</v>
      </c>
      <c r="J32" s="296"/>
    </row>
    <row r="33" spans="1:10" ht="18.75" customHeight="1" x14ac:dyDescent="0.35">
      <c r="A33" s="4">
        <v>27</v>
      </c>
      <c r="B33" s="6" t="s">
        <v>65</v>
      </c>
      <c r="C33" s="14" t="s">
        <v>66</v>
      </c>
      <c r="D33" s="2">
        <v>1</v>
      </c>
      <c r="E33" s="2">
        <v>0.75</v>
      </c>
      <c r="F33" s="2">
        <v>25</v>
      </c>
      <c r="G33" s="2">
        <v>25</v>
      </c>
      <c r="H33" s="8">
        <v>5560</v>
      </c>
      <c r="I33" s="26">
        <f t="shared" si="0"/>
        <v>3725.2000000000003</v>
      </c>
      <c r="J33" s="29">
        <f t="shared" si="1"/>
        <v>3613.444</v>
      </c>
    </row>
    <row r="34" spans="1:10" ht="18.75" customHeight="1" x14ac:dyDescent="0.35">
      <c r="A34" s="6">
        <v>28</v>
      </c>
      <c r="B34" s="6" t="s">
        <v>67</v>
      </c>
      <c r="C34" s="14" t="s">
        <v>68</v>
      </c>
      <c r="D34" s="2">
        <v>1</v>
      </c>
      <c r="E34" s="2">
        <v>0.75</v>
      </c>
      <c r="F34" s="2">
        <v>25</v>
      </c>
      <c r="G34" s="2">
        <v>25</v>
      </c>
      <c r="H34" s="8">
        <v>5650</v>
      </c>
      <c r="I34" s="26">
        <f t="shared" si="0"/>
        <v>3785.5</v>
      </c>
      <c r="J34" s="29">
        <f t="shared" si="1"/>
        <v>3671.9349999999999</v>
      </c>
    </row>
    <row r="35" spans="1:10" ht="18.75" customHeight="1" x14ac:dyDescent="0.35">
      <c r="A35" s="6">
        <v>29</v>
      </c>
      <c r="B35" s="6" t="s">
        <v>69</v>
      </c>
      <c r="C35" s="14" t="s">
        <v>70</v>
      </c>
      <c r="D35" s="2">
        <v>1.5</v>
      </c>
      <c r="E35" s="2">
        <v>1.1000000000000001</v>
      </c>
      <c r="F35" s="2">
        <v>25</v>
      </c>
      <c r="G35" s="2">
        <v>25</v>
      </c>
      <c r="H35" s="8">
        <v>7840</v>
      </c>
      <c r="I35" s="26">
        <f t="shared" si="0"/>
        <v>5252.8</v>
      </c>
      <c r="J35" s="29">
        <f t="shared" si="1"/>
        <v>5095.2160000000003</v>
      </c>
    </row>
    <row r="36" spans="1:10" ht="18.75" customHeight="1" x14ac:dyDescent="0.35">
      <c r="A36" s="6">
        <v>30</v>
      </c>
      <c r="B36" s="6" t="s">
        <v>71</v>
      </c>
      <c r="C36" s="14" t="s">
        <v>72</v>
      </c>
      <c r="D36" s="2">
        <v>1.5</v>
      </c>
      <c r="E36" s="2">
        <v>1.1000000000000001</v>
      </c>
      <c r="F36" s="2">
        <v>25</v>
      </c>
      <c r="G36" s="2">
        <v>25</v>
      </c>
      <c r="H36" s="8">
        <v>8170</v>
      </c>
      <c r="I36" s="26">
        <f t="shared" si="0"/>
        <v>5473.9000000000005</v>
      </c>
      <c r="J36" s="29">
        <f t="shared" si="1"/>
        <v>5309.683</v>
      </c>
    </row>
    <row r="37" spans="1:10" ht="18.75" customHeight="1" x14ac:dyDescent="0.35">
      <c r="A37" s="4">
        <v>31</v>
      </c>
      <c r="B37" s="4" t="s">
        <v>73</v>
      </c>
      <c r="C37" s="12" t="s">
        <v>74</v>
      </c>
      <c r="D37" s="2">
        <v>0.5</v>
      </c>
      <c r="E37" s="2">
        <v>0.37</v>
      </c>
      <c r="F37" s="2">
        <v>25</v>
      </c>
      <c r="G37" s="2">
        <v>25</v>
      </c>
      <c r="H37" s="8">
        <v>6450</v>
      </c>
      <c r="I37" s="26">
        <f t="shared" si="0"/>
        <v>4321.5</v>
      </c>
      <c r="J37" s="29">
        <f t="shared" si="1"/>
        <v>4191.8549999999996</v>
      </c>
    </row>
    <row r="38" spans="1:10" ht="18.75" customHeight="1" x14ac:dyDescent="0.35">
      <c r="A38" s="6">
        <v>32</v>
      </c>
      <c r="B38" s="6" t="s">
        <v>75</v>
      </c>
      <c r="C38" s="14" t="s">
        <v>76</v>
      </c>
      <c r="D38" s="3">
        <v>0.9</v>
      </c>
      <c r="E38" s="3">
        <v>0.7</v>
      </c>
      <c r="F38" s="3">
        <v>25</v>
      </c>
      <c r="G38" s="3">
        <v>25</v>
      </c>
      <c r="H38" s="8">
        <v>6640</v>
      </c>
      <c r="I38" s="26">
        <f t="shared" si="0"/>
        <v>4448.8</v>
      </c>
      <c r="J38" s="29">
        <f t="shared" si="1"/>
        <v>4315.3360000000002</v>
      </c>
    </row>
    <row r="39" spans="1:10" ht="18.75" customHeight="1" x14ac:dyDescent="0.35">
      <c r="A39" s="6">
        <v>33</v>
      </c>
      <c r="B39" s="6" t="s">
        <v>77</v>
      </c>
      <c r="C39" s="14" t="s">
        <v>78</v>
      </c>
      <c r="D39" s="3">
        <v>1</v>
      </c>
      <c r="E39" s="3">
        <v>0.75</v>
      </c>
      <c r="F39" s="3">
        <v>25</v>
      </c>
      <c r="G39" s="3">
        <v>25</v>
      </c>
      <c r="H39" s="8">
        <v>7100</v>
      </c>
      <c r="I39" s="26">
        <f t="shared" si="0"/>
        <v>4757</v>
      </c>
      <c r="J39" s="29">
        <f t="shared" si="1"/>
        <v>4614.29</v>
      </c>
    </row>
    <row r="40" spans="1:10" ht="18.75" customHeight="1" x14ac:dyDescent="0.35">
      <c r="A40" s="6">
        <v>34</v>
      </c>
      <c r="B40" s="4" t="s">
        <v>79</v>
      </c>
      <c r="C40" s="15" t="s">
        <v>80</v>
      </c>
      <c r="D40" s="3">
        <v>0.5</v>
      </c>
      <c r="E40" s="3">
        <v>0.37</v>
      </c>
      <c r="F40" s="3">
        <v>25</v>
      </c>
      <c r="G40" s="3">
        <v>25</v>
      </c>
      <c r="H40" s="8">
        <v>5500</v>
      </c>
      <c r="I40" s="26">
        <f t="shared" si="0"/>
        <v>3685</v>
      </c>
      <c r="J40" s="29">
        <f t="shared" si="1"/>
        <v>3574.45</v>
      </c>
    </row>
    <row r="41" spans="1:10" ht="18.75" customHeight="1" x14ac:dyDescent="0.35">
      <c r="A41" s="4">
        <v>35</v>
      </c>
      <c r="B41" s="4"/>
      <c r="C41" s="15" t="s">
        <v>81</v>
      </c>
      <c r="D41" s="3">
        <v>1</v>
      </c>
      <c r="E41" s="3">
        <v>0.75</v>
      </c>
      <c r="F41" s="3">
        <v>25</v>
      </c>
      <c r="G41" s="3">
        <v>25</v>
      </c>
      <c r="H41" s="8">
        <v>6200</v>
      </c>
      <c r="I41" s="26">
        <f t="shared" si="0"/>
        <v>4154</v>
      </c>
      <c r="J41" s="29">
        <f t="shared" si="1"/>
        <v>4029.38</v>
      </c>
    </row>
    <row r="42" spans="1:10" ht="18.75" customHeight="1" x14ac:dyDescent="0.35">
      <c r="A42" s="6">
        <v>36</v>
      </c>
      <c r="B42" s="4" t="s">
        <v>82</v>
      </c>
      <c r="C42" s="12" t="s">
        <v>83</v>
      </c>
      <c r="D42" s="1">
        <v>0.5</v>
      </c>
      <c r="E42" s="1">
        <v>0.37</v>
      </c>
      <c r="F42" s="1">
        <v>25</v>
      </c>
      <c r="G42" s="1">
        <v>25</v>
      </c>
      <c r="H42" s="8">
        <v>7140</v>
      </c>
      <c r="I42" s="26">
        <f t="shared" si="0"/>
        <v>4783.8</v>
      </c>
      <c r="J42" s="29">
        <f t="shared" si="1"/>
        <v>4640.2860000000001</v>
      </c>
    </row>
    <row r="43" spans="1:10" ht="18.75" customHeight="1" x14ac:dyDescent="0.35">
      <c r="A43" s="6">
        <v>37</v>
      </c>
      <c r="B43" s="6" t="s">
        <v>84</v>
      </c>
      <c r="C43" s="14" t="s">
        <v>85</v>
      </c>
      <c r="D43" s="1">
        <v>1.1000000000000001</v>
      </c>
      <c r="E43" s="1">
        <v>0.8</v>
      </c>
      <c r="F43" s="1">
        <v>25</v>
      </c>
      <c r="G43" s="1">
        <v>25</v>
      </c>
      <c r="H43" s="8">
        <v>7700</v>
      </c>
      <c r="I43" s="26">
        <f t="shared" si="0"/>
        <v>5159</v>
      </c>
      <c r="J43" s="29">
        <f t="shared" si="1"/>
        <v>5004.2299999999996</v>
      </c>
    </row>
    <row r="44" spans="1:10" ht="18.75" customHeight="1" x14ac:dyDescent="0.35">
      <c r="A44" s="6">
        <v>38</v>
      </c>
      <c r="B44" s="6" t="s">
        <v>86</v>
      </c>
      <c r="C44" s="14" t="s">
        <v>87</v>
      </c>
      <c r="D44" s="1">
        <v>1.5</v>
      </c>
      <c r="E44" s="1">
        <v>1.1000000000000001</v>
      </c>
      <c r="F44" s="1">
        <v>25</v>
      </c>
      <c r="G44" s="1">
        <v>25</v>
      </c>
      <c r="H44" s="8">
        <v>8690</v>
      </c>
      <c r="I44" s="26">
        <f t="shared" si="0"/>
        <v>5822.3</v>
      </c>
      <c r="J44" s="29">
        <f t="shared" si="1"/>
        <v>5647.6310000000003</v>
      </c>
    </row>
    <row r="45" spans="1:10" ht="18.75" customHeight="1" x14ac:dyDescent="0.35">
      <c r="A45" s="4">
        <v>39</v>
      </c>
      <c r="B45" s="4" t="s">
        <v>88</v>
      </c>
      <c r="C45" s="12" t="s">
        <v>89</v>
      </c>
      <c r="D45" s="2">
        <v>0.5</v>
      </c>
      <c r="E45" s="2">
        <v>0.37</v>
      </c>
      <c r="F45" s="2">
        <v>25</v>
      </c>
      <c r="G45" s="2">
        <v>12</v>
      </c>
      <c r="H45" s="8">
        <v>4860</v>
      </c>
      <c r="I45" s="26">
        <f t="shared" si="0"/>
        <v>3256.2000000000003</v>
      </c>
      <c r="J45" s="29">
        <f t="shared" si="1"/>
        <v>3158.5140000000001</v>
      </c>
    </row>
    <row r="46" spans="1:10" ht="18.75" customHeight="1" x14ac:dyDescent="0.35">
      <c r="A46" s="6">
        <v>40</v>
      </c>
      <c r="B46" s="4" t="s">
        <v>90</v>
      </c>
      <c r="C46" s="12" t="s">
        <v>91</v>
      </c>
      <c r="D46" s="2">
        <v>1</v>
      </c>
      <c r="E46" s="2">
        <v>0.75</v>
      </c>
      <c r="F46" s="2">
        <v>25</v>
      </c>
      <c r="G46" s="2">
        <v>25</v>
      </c>
      <c r="H46" s="8">
        <v>5600</v>
      </c>
      <c r="I46" s="26">
        <f t="shared" si="0"/>
        <v>3752</v>
      </c>
      <c r="J46" s="29">
        <f t="shared" si="1"/>
        <v>3639.44</v>
      </c>
    </row>
    <row r="47" spans="1:10" ht="18.75" customHeight="1" x14ac:dyDescent="0.35">
      <c r="A47" s="6">
        <v>41</v>
      </c>
      <c r="B47" s="6" t="s">
        <v>92</v>
      </c>
      <c r="C47" s="14" t="s">
        <v>93</v>
      </c>
      <c r="D47" s="17">
        <v>1</v>
      </c>
      <c r="E47" s="17">
        <v>0.75</v>
      </c>
      <c r="F47" s="17">
        <v>25</v>
      </c>
      <c r="G47" s="17">
        <v>25</v>
      </c>
      <c r="H47" s="9">
        <v>8420</v>
      </c>
      <c r="I47" s="295">
        <f>H47*0.63</f>
        <v>5304.6</v>
      </c>
      <c r="J47" s="296"/>
    </row>
    <row r="48" spans="1:10" ht="18.75" customHeight="1" x14ac:dyDescent="0.35">
      <c r="A48" s="6">
        <v>42</v>
      </c>
      <c r="B48" s="6" t="s">
        <v>94</v>
      </c>
      <c r="C48" s="14" t="s">
        <v>95</v>
      </c>
      <c r="D48" s="2">
        <v>1.1000000000000001</v>
      </c>
      <c r="E48" s="2">
        <v>0.8</v>
      </c>
      <c r="F48" s="2">
        <v>25</v>
      </c>
      <c r="G48" s="2">
        <v>25</v>
      </c>
      <c r="H48" s="8">
        <v>12020</v>
      </c>
      <c r="I48" s="26">
        <f t="shared" si="0"/>
        <v>8053.4000000000005</v>
      </c>
      <c r="J48" s="29">
        <f t="shared" si="1"/>
        <v>7811.7980000000007</v>
      </c>
    </row>
    <row r="49" spans="1:10" ht="18.75" customHeight="1" x14ac:dyDescent="0.35">
      <c r="A49" s="4">
        <v>43</v>
      </c>
      <c r="B49" s="4" t="s">
        <v>96</v>
      </c>
      <c r="C49" s="12" t="s">
        <v>97</v>
      </c>
      <c r="D49" s="2">
        <v>0.5</v>
      </c>
      <c r="E49" s="2">
        <v>0.37</v>
      </c>
      <c r="F49" s="2">
        <v>25</v>
      </c>
      <c r="G49" s="2">
        <v>25</v>
      </c>
      <c r="H49" s="8">
        <v>7530</v>
      </c>
      <c r="I49" s="26">
        <f t="shared" si="0"/>
        <v>5045.1000000000004</v>
      </c>
      <c r="J49" s="29">
        <f t="shared" si="1"/>
        <v>4893.7470000000003</v>
      </c>
    </row>
    <row r="50" spans="1:10" ht="18.75" customHeight="1" x14ac:dyDescent="0.35">
      <c r="A50" s="6">
        <v>44</v>
      </c>
      <c r="B50" s="4" t="s">
        <v>98</v>
      </c>
      <c r="C50" s="12" t="s">
        <v>99</v>
      </c>
      <c r="D50" s="2">
        <v>1</v>
      </c>
      <c r="E50" s="2">
        <v>0.75</v>
      </c>
      <c r="F50" s="2">
        <v>25</v>
      </c>
      <c r="G50" s="2">
        <v>25</v>
      </c>
      <c r="H50" s="8">
        <v>9150</v>
      </c>
      <c r="I50" s="26">
        <f t="shared" si="0"/>
        <v>6130.5</v>
      </c>
      <c r="J50" s="29">
        <f t="shared" si="1"/>
        <v>5946.585</v>
      </c>
    </row>
    <row r="51" spans="1:10" ht="18.75" customHeight="1" x14ac:dyDescent="0.35">
      <c r="A51" s="6">
        <v>45</v>
      </c>
      <c r="B51" s="4" t="s">
        <v>100</v>
      </c>
      <c r="C51" s="12" t="s">
        <v>101</v>
      </c>
      <c r="D51" s="2">
        <v>1</v>
      </c>
      <c r="E51" s="2">
        <v>0.75</v>
      </c>
      <c r="F51" s="2">
        <v>25</v>
      </c>
      <c r="G51" s="2">
        <v>25</v>
      </c>
      <c r="H51" s="5">
        <v>16800</v>
      </c>
      <c r="I51" s="26">
        <f t="shared" si="0"/>
        <v>11256</v>
      </c>
      <c r="J51" s="29">
        <f t="shared" si="1"/>
        <v>10918.32</v>
      </c>
    </row>
    <row r="52" spans="1:10" ht="18.75" customHeight="1" x14ac:dyDescent="0.35">
      <c r="A52" s="6">
        <v>46</v>
      </c>
      <c r="B52" s="6" t="s">
        <v>102</v>
      </c>
      <c r="C52" s="14" t="s">
        <v>103</v>
      </c>
      <c r="D52" s="2">
        <v>0.5</v>
      </c>
      <c r="E52" s="2">
        <v>0.37</v>
      </c>
      <c r="F52" s="2">
        <v>25</v>
      </c>
      <c r="G52" s="2">
        <v>25</v>
      </c>
      <c r="H52" s="8">
        <v>17760</v>
      </c>
      <c r="I52" s="26">
        <f t="shared" si="0"/>
        <v>11899.2</v>
      </c>
      <c r="J52" s="29">
        <f t="shared" si="1"/>
        <v>11542.224</v>
      </c>
    </row>
    <row r="53" spans="1:10" ht="18.75" customHeight="1" x14ac:dyDescent="0.35">
      <c r="A53" s="4">
        <v>47</v>
      </c>
      <c r="B53" s="6" t="s">
        <v>104</v>
      </c>
      <c r="C53" s="14" t="s">
        <v>105</v>
      </c>
      <c r="D53" s="2">
        <v>1</v>
      </c>
      <c r="E53" s="2">
        <v>0.75</v>
      </c>
      <c r="F53" s="2">
        <v>25</v>
      </c>
      <c r="G53" s="2">
        <v>25</v>
      </c>
      <c r="H53" s="8">
        <v>19120</v>
      </c>
      <c r="I53" s="26">
        <f t="shared" si="0"/>
        <v>12810.400000000001</v>
      </c>
      <c r="J53" s="29">
        <f t="shared" si="1"/>
        <v>12426.088000000002</v>
      </c>
    </row>
    <row r="54" spans="1:10" ht="18.75" customHeight="1" x14ac:dyDescent="0.35">
      <c r="A54" s="6">
        <v>48</v>
      </c>
      <c r="B54" s="6" t="s">
        <v>106</v>
      </c>
      <c r="C54" s="14" t="s">
        <v>107</v>
      </c>
      <c r="D54" s="2">
        <v>1.1000000000000001</v>
      </c>
      <c r="E54" s="2">
        <v>0.8</v>
      </c>
      <c r="F54" s="2">
        <v>25</v>
      </c>
      <c r="G54" s="2">
        <v>25</v>
      </c>
      <c r="H54" s="8">
        <v>20900</v>
      </c>
      <c r="I54" s="26">
        <f t="shared" si="0"/>
        <v>14003</v>
      </c>
      <c r="J54" s="29">
        <f t="shared" si="1"/>
        <v>13582.91</v>
      </c>
    </row>
    <row r="55" spans="1:10" ht="18.75" customHeight="1" x14ac:dyDescent="0.35">
      <c r="A55" s="300" t="s">
        <v>108</v>
      </c>
      <c r="B55" s="300"/>
      <c r="C55" s="300"/>
      <c r="D55" s="300"/>
      <c r="E55" s="300"/>
      <c r="F55" s="300"/>
      <c r="G55" s="300"/>
      <c r="H55" s="305" t="s">
        <v>109</v>
      </c>
      <c r="I55" s="299" t="s">
        <v>504</v>
      </c>
      <c r="J55" s="299"/>
    </row>
    <row r="56" spans="1:10" ht="18.75" customHeight="1" x14ac:dyDescent="0.35">
      <c r="A56" s="287" t="s">
        <v>2</v>
      </c>
      <c r="B56" s="287" t="s">
        <v>3</v>
      </c>
      <c r="C56" s="298" t="s">
        <v>4</v>
      </c>
      <c r="D56" s="287" t="s">
        <v>5</v>
      </c>
      <c r="E56" s="287"/>
      <c r="F56" s="287" t="s">
        <v>6</v>
      </c>
      <c r="G56" s="287"/>
      <c r="H56" s="305"/>
      <c r="I56" s="299"/>
      <c r="J56" s="299"/>
    </row>
    <row r="57" spans="1:10" ht="21.75" customHeight="1" x14ac:dyDescent="0.35">
      <c r="A57" s="287"/>
      <c r="B57" s="287"/>
      <c r="C57" s="298"/>
      <c r="D57" s="11" t="s">
        <v>9</v>
      </c>
      <c r="E57" s="11" t="s">
        <v>10</v>
      </c>
      <c r="F57" s="11" t="s">
        <v>11</v>
      </c>
      <c r="G57" s="11" t="s">
        <v>12</v>
      </c>
      <c r="H57" s="305"/>
      <c r="I57" s="41">
        <v>0.33</v>
      </c>
      <c r="J57" s="41">
        <v>0.03</v>
      </c>
    </row>
    <row r="58" spans="1:10" ht="18.75" customHeight="1" x14ac:dyDescent="0.35">
      <c r="A58" s="6">
        <v>1</v>
      </c>
      <c r="B58" s="6" t="s">
        <v>110</v>
      </c>
      <c r="C58" s="14" t="s">
        <v>111</v>
      </c>
      <c r="D58" s="303">
        <v>0.5</v>
      </c>
      <c r="E58" s="303">
        <v>0.37</v>
      </c>
      <c r="F58" s="2">
        <v>25</v>
      </c>
      <c r="G58" s="2">
        <v>25</v>
      </c>
      <c r="H58" s="8">
        <v>4680</v>
      </c>
      <c r="I58" s="26">
        <f>H58*0.67</f>
        <v>3135.6000000000004</v>
      </c>
      <c r="J58" s="29">
        <f t="shared" ref="J58:J113" si="2">I58*0.97</f>
        <v>3041.5320000000002</v>
      </c>
    </row>
    <row r="59" spans="1:10" ht="18.75" customHeight="1" x14ac:dyDescent="0.35">
      <c r="A59" s="6">
        <v>2</v>
      </c>
      <c r="B59" s="6" t="s">
        <v>112</v>
      </c>
      <c r="C59" s="14" t="s">
        <v>113</v>
      </c>
      <c r="D59" s="303"/>
      <c r="E59" s="303"/>
      <c r="F59" s="2">
        <v>40</v>
      </c>
      <c r="G59" s="2">
        <v>40</v>
      </c>
      <c r="H59" s="8">
        <v>6430</v>
      </c>
      <c r="I59" s="26">
        <f t="shared" ref="I59:I113" si="3">H59*0.67</f>
        <v>4308.1000000000004</v>
      </c>
      <c r="J59" s="29">
        <f t="shared" si="2"/>
        <v>4178.857</v>
      </c>
    </row>
    <row r="60" spans="1:10" ht="18.75" customHeight="1" x14ac:dyDescent="0.35">
      <c r="A60" s="4">
        <v>3</v>
      </c>
      <c r="B60" s="4" t="s">
        <v>114</v>
      </c>
      <c r="C60" s="18" t="s">
        <v>115</v>
      </c>
      <c r="D60" s="2">
        <v>0.75</v>
      </c>
      <c r="E60" s="2">
        <v>0.56000000000000005</v>
      </c>
      <c r="F60" s="2">
        <v>40</v>
      </c>
      <c r="G60" s="2">
        <v>40</v>
      </c>
      <c r="H60" s="5">
        <v>6240</v>
      </c>
      <c r="I60" s="26">
        <f t="shared" si="3"/>
        <v>4180.8</v>
      </c>
      <c r="J60" s="29">
        <f t="shared" si="2"/>
        <v>4055.3760000000002</v>
      </c>
    </row>
    <row r="61" spans="1:10" ht="18.75" customHeight="1" x14ac:dyDescent="0.35">
      <c r="A61" s="6">
        <v>4</v>
      </c>
      <c r="B61" s="6" t="s">
        <v>116</v>
      </c>
      <c r="C61" s="14" t="s">
        <v>117</v>
      </c>
      <c r="D61" s="301">
        <v>1</v>
      </c>
      <c r="E61" s="301">
        <v>0.75</v>
      </c>
      <c r="F61" s="1">
        <v>25</v>
      </c>
      <c r="G61" s="1">
        <v>25</v>
      </c>
      <c r="H61" s="8">
        <v>7572</v>
      </c>
      <c r="I61" s="26">
        <f t="shared" si="3"/>
        <v>5073.2400000000007</v>
      </c>
      <c r="J61" s="29">
        <f t="shared" si="2"/>
        <v>4921.0428000000002</v>
      </c>
    </row>
    <row r="62" spans="1:10" ht="18.75" customHeight="1" x14ac:dyDescent="0.35">
      <c r="A62" s="6">
        <v>5</v>
      </c>
      <c r="B62" s="6" t="s">
        <v>118</v>
      </c>
      <c r="C62" s="14" t="s">
        <v>119</v>
      </c>
      <c r="D62" s="301"/>
      <c r="E62" s="301"/>
      <c r="F62" s="1">
        <v>50</v>
      </c>
      <c r="G62" s="1">
        <v>50</v>
      </c>
      <c r="H62" s="8">
        <v>8900</v>
      </c>
      <c r="I62" s="26">
        <f t="shared" si="3"/>
        <v>5963</v>
      </c>
      <c r="J62" s="29">
        <f t="shared" si="2"/>
        <v>5784.11</v>
      </c>
    </row>
    <row r="63" spans="1:10" ht="18.75" customHeight="1" x14ac:dyDescent="0.35">
      <c r="A63" s="4">
        <v>6</v>
      </c>
      <c r="B63" s="6" t="s">
        <v>120</v>
      </c>
      <c r="C63" s="14" t="s">
        <v>121</v>
      </c>
      <c r="D63" s="301"/>
      <c r="E63" s="301"/>
      <c r="F63" s="1">
        <v>50</v>
      </c>
      <c r="G63" s="1">
        <v>50</v>
      </c>
      <c r="H63" s="5">
        <v>9100</v>
      </c>
      <c r="I63" s="26">
        <f t="shared" si="3"/>
        <v>6097</v>
      </c>
      <c r="J63" s="29">
        <f t="shared" si="2"/>
        <v>5914.09</v>
      </c>
    </row>
    <row r="64" spans="1:10" ht="18.75" customHeight="1" x14ac:dyDescent="0.35">
      <c r="A64" s="6">
        <v>7</v>
      </c>
      <c r="B64" s="4" t="s">
        <v>122</v>
      </c>
      <c r="C64" s="18" t="s">
        <v>123</v>
      </c>
      <c r="D64" s="301"/>
      <c r="E64" s="301"/>
      <c r="F64" s="1">
        <v>50</v>
      </c>
      <c r="G64" s="1">
        <v>50</v>
      </c>
      <c r="H64" s="5">
        <v>9000</v>
      </c>
      <c r="I64" s="26">
        <f t="shared" si="3"/>
        <v>6030</v>
      </c>
      <c r="J64" s="29">
        <f t="shared" si="2"/>
        <v>5849.0999999999995</v>
      </c>
    </row>
    <row r="65" spans="1:10" ht="18.75" customHeight="1" x14ac:dyDescent="0.35">
      <c r="A65" s="6">
        <v>8</v>
      </c>
      <c r="B65" s="4" t="s">
        <v>124</v>
      </c>
      <c r="C65" s="19" t="s">
        <v>125</v>
      </c>
      <c r="D65" s="301"/>
      <c r="E65" s="301"/>
      <c r="F65" s="1">
        <v>75</v>
      </c>
      <c r="G65" s="1">
        <v>75</v>
      </c>
      <c r="H65" s="8">
        <v>10000</v>
      </c>
      <c r="I65" s="26">
        <f t="shared" si="3"/>
        <v>6700</v>
      </c>
      <c r="J65" s="29">
        <f t="shared" si="2"/>
        <v>6499</v>
      </c>
    </row>
    <row r="66" spans="1:10" ht="18.75" customHeight="1" x14ac:dyDescent="0.35">
      <c r="A66" s="4">
        <v>9</v>
      </c>
      <c r="B66" s="4"/>
      <c r="C66" s="18" t="s">
        <v>126</v>
      </c>
      <c r="D66" s="301"/>
      <c r="E66" s="301"/>
      <c r="F66" s="1">
        <v>75</v>
      </c>
      <c r="G66" s="1">
        <v>75</v>
      </c>
      <c r="H66" s="5">
        <v>10200</v>
      </c>
      <c r="I66" s="26">
        <f t="shared" si="3"/>
        <v>6834</v>
      </c>
      <c r="J66" s="29">
        <f t="shared" si="2"/>
        <v>6628.98</v>
      </c>
    </row>
    <row r="67" spans="1:10" ht="18.75" customHeight="1" x14ac:dyDescent="0.35">
      <c r="A67" s="6">
        <v>10</v>
      </c>
      <c r="B67" s="4" t="s">
        <v>127</v>
      </c>
      <c r="C67" s="19" t="s">
        <v>128</v>
      </c>
      <c r="D67" s="301">
        <v>1.5</v>
      </c>
      <c r="E67" s="301">
        <v>1.1000000000000001</v>
      </c>
      <c r="F67" s="1">
        <v>50</v>
      </c>
      <c r="G67" s="1">
        <v>50</v>
      </c>
      <c r="H67" s="5">
        <v>10420</v>
      </c>
      <c r="I67" s="26">
        <f t="shared" si="3"/>
        <v>6981.4000000000005</v>
      </c>
      <c r="J67" s="29">
        <f t="shared" si="2"/>
        <v>6771.9580000000005</v>
      </c>
    </row>
    <row r="68" spans="1:10" ht="18.75" customHeight="1" x14ac:dyDescent="0.35">
      <c r="A68" s="6">
        <v>11</v>
      </c>
      <c r="B68" s="4" t="s">
        <v>129</v>
      </c>
      <c r="C68" s="18" t="s">
        <v>130</v>
      </c>
      <c r="D68" s="301"/>
      <c r="E68" s="301"/>
      <c r="F68" s="1">
        <v>50</v>
      </c>
      <c r="G68" s="1">
        <v>50</v>
      </c>
      <c r="H68" s="5">
        <v>10600</v>
      </c>
      <c r="I68" s="26">
        <f t="shared" si="3"/>
        <v>7102</v>
      </c>
      <c r="J68" s="29">
        <f t="shared" si="2"/>
        <v>6888.94</v>
      </c>
    </row>
    <row r="69" spans="1:10" ht="18.75" customHeight="1" x14ac:dyDescent="0.35">
      <c r="A69" s="4">
        <v>12</v>
      </c>
      <c r="B69" s="4" t="s">
        <v>131</v>
      </c>
      <c r="C69" s="19" t="s">
        <v>132</v>
      </c>
      <c r="D69" s="301"/>
      <c r="E69" s="301"/>
      <c r="F69" s="1">
        <v>65</v>
      </c>
      <c r="G69" s="1">
        <v>50</v>
      </c>
      <c r="H69" s="5">
        <v>10600</v>
      </c>
      <c r="I69" s="26">
        <f t="shared" si="3"/>
        <v>7102</v>
      </c>
      <c r="J69" s="29">
        <f t="shared" si="2"/>
        <v>6888.94</v>
      </c>
    </row>
    <row r="70" spans="1:10" ht="18.75" customHeight="1" x14ac:dyDescent="0.35">
      <c r="A70" s="6">
        <v>13</v>
      </c>
      <c r="B70" s="4" t="s">
        <v>133</v>
      </c>
      <c r="C70" s="18" t="s">
        <v>134</v>
      </c>
      <c r="D70" s="301"/>
      <c r="E70" s="301"/>
      <c r="F70" s="1">
        <v>65</v>
      </c>
      <c r="G70" s="1">
        <v>50</v>
      </c>
      <c r="H70" s="5">
        <v>10800</v>
      </c>
      <c r="I70" s="26">
        <f t="shared" si="3"/>
        <v>7236</v>
      </c>
      <c r="J70" s="29">
        <f t="shared" si="2"/>
        <v>7018.92</v>
      </c>
    </row>
    <row r="71" spans="1:10" ht="18.75" customHeight="1" x14ac:dyDescent="0.35">
      <c r="A71" s="6">
        <v>14</v>
      </c>
      <c r="B71" s="4" t="s">
        <v>135</v>
      </c>
      <c r="C71" s="19" t="s">
        <v>136</v>
      </c>
      <c r="D71" s="301"/>
      <c r="E71" s="301"/>
      <c r="F71" s="1">
        <v>75</v>
      </c>
      <c r="G71" s="1">
        <v>75</v>
      </c>
      <c r="H71" s="8">
        <v>11000</v>
      </c>
      <c r="I71" s="26">
        <f t="shared" si="3"/>
        <v>7370</v>
      </c>
      <c r="J71" s="29">
        <f t="shared" si="2"/>
        <v>7148.9</v>
      </c>
    </row>
    <row r="72" spans="1:10" ht="18.75" customHeight="1" x14ac:dyDescent="0.35">
      <c r="A72" s="4">
        <v>15</v>
      </c>
      <c r="B72" s="4" t="s">
        <v>137</v>
      </c>
      <c r="C72" s="18" t="s">
        <v>138</v>
      </c>
      <c r="D72" s="301"/>
      <c r="E72" s="301"/>
      <c r="F72" s="1">
        <v>75</v>
      </c>
      <c r="G72" s="1">
        <v>75</v>
      </c>
      <c r="H72" s="5">
        <v>11200</v>
      </c>
      <c r="I72" s="26">
        <f t="shared" si="3"/>
        <v>7504</v>
      </c>
      <c r="J72" s="29">
        <f t="shared" si="2"/>
        <v>7278.88</v>
      </c>
    </row>
    <row r="73" spans="1:10" ht="18.75" customHeight="1" x14ac:dyDescent="0.35">
      <c r="A73" s="6">
        <v>16</v>
      </c>
      <c r="B73" s="4" t="s">
        <v>139</v>
      </c>
      <c r="C73" s="18" t="s">
        <v>140</v>
      </c>
      <c r="D73" s="301"/>
      <c r="E73" s="301"/>
      <c r="F73" s="1">
        <v>75</v>
      </c>
      <c r="G73" s="1">
        <v>75</v>
      </c>
      <c r="H73" s="5">
        <v>11200</v>
      </c>
      <c r="I73" s="26">
        <f t="shared" si="3"/>
        <v>7504</v>
      </c>
      <c r="J73" s="29">
        <f t="shared" si="2"/>
        <v>7278.88</v>
      </c>
    </row>
    <row r="74" spans="1:10" ht="18.75" customHeight="1" x14ac:dyDescent="0.35">
      <c r="A74" s="6">
        <v>17</v>
      </c>
      <c r="B74" s="4" t="s">
        <v>141</v>
      </c>
      <c r="C74" s="19" t="s">
        <v>142</v>
      </c>
      <c r="D74" s="301">
        <v>2</v>
      </c>
      <c r="E74" s="301">
        <v>1.5</v>
      </c>
      <c r="F74" s="1">
        <v>50</v>
      </c>
      <c r="G74" s="1">
        <v>40</v>
      </c>
      <c r="H74" s="8">
        <v>15000</v>
      </c>
      <c r="I74" s="26">
        <f t="shared" si="3"/>
        <v>10050</v>
      </c>
      <c r="J74" s="29">
        <f t="shared" si="2"/>
        <v>9748.5</v>
      </c>
    </row>
    <row r="75" spans="1:10" ht="18.75" customHeight="1" x14ac:dyDescent="0.35">
      <c r="A75" s="4">
        <v>18</v>
      </c>
      <c r="B75" s="4" t="s">
        <v>143</v>
      </c>
      <c r="C75" s="18" t="s">
        <v>144</v>
      </c>
      <c r="D75" s="301"/>
      <c r="E75" s="301"/>
      <c r="F75" s="1">
        <v>50</v>
      </c>
      <c r="G75" s="1">
        <v>40</v>
      </c>
      <c r="H75" s="5">
        <v>15200</v>
      </c>
      <c r="I75" s="26">
        <f t="shared" si="3"/>
        <v>10184</v>
      </c>
      <c r="J75" s="29">
        <f t="shared" si="2"/>
        <v>9878.48</v>
      </c>
    </row>
    <row r="76" spans="1:10" ht="18.75" customHeight="1" x14ac:dyDescent="0.35">
      <c r="A76" s="6">
        <v>19</v>
      </c>
      <c r="B76" s="6" t="s">
        <v>145</v>
      </c>
      <c r="C76" s="14" t="s">
        <v>146</v>
      </c>
      <c r="D76" s="301"/>
      <c r="E76" s="301"/>
      <c r="F76" s="1">
        <v>50</v>
      </c>
      <c r="G76" s="1">
        <v>50</v>
      </c>
      <c r="H76" s="8">
        <v>13000</v>
      </c>
      <c r="I76" s="26">
        <f t="shared" si="3"/>
        <v>8710</v>
      </c>
      <c r="J76" s="29">
        <f t="shared" si="2"/>
        <v>8448.6999999999989</v>
      </c>
    </row>
    <row r="77" spans="1:10" ht="18.75" customHeight="1" x14ac:dyDescent="0.35">
      <c r="A77" s="6">
        <v>20</v>
      </c>
      <c r="B77" s="4" t="s">
        <v>147</v>
      </c>
      <c r="C77" s="18" t="s">
        <v>148</v>
      </c>
      <c r="D77" s="301"/>
      <c r="E77" s="301"/>
      <c r="F77" s="1">
        <v>50</v>
      </c>
      <c r="G77" s="1">
        <v>50</v>
      </c>
      <c r="H77" s="5">
        <v>13200</v>
      </c>
      <c r="I77" s="26">
        <f t="shared" si="3"/>
        <v>8844</v>
      </c>
      <c r="J77" s="29">
        <f t="shared" si="2"/>
        <v>8578.68</v>
      </c>
    </row>
    <row r="78" spans="1:10" ht="18.75" customHeight="1" x14ac:dyDescent="0.35">
      <c r="A78" s="4">
        <v>21</v>
      </c>
      <c r="B78" s="6" t="s">
        <v>149</v>
      </c>
      <c r="C78" s="14" t="s">
        <v>150</v>
      </c>
      <c r="D78" s="301"/>
      <c r="E78" s="301"/>
      <c r="F78" s="1">
        <v>65</v>
      </c>
      <c r="G78" s="1">
        <v>50</v>
      </c>
      <c r="H78" s="8">
        <v>13300</v>
      </c>
      <c r="I78" s="26">
        <f t="shared" si="3"/>
        <v>8911</v>
      </c>
      <c r="J78" s="29">
        <f t="shared" si="2"/>
        <v>8643.67</v>
      </c>
    </row>
    <row r="79" spans="1:10" ht="18.75" customHeight="1" x14ac:dyDescent="0.35">
      <c r="A79" s="6">
        <v>22</v>
      </c>
      <c r="B79" s="6" t="s">
        <v>151</v>
      </c>
      <c r="C79" s="14" t="s">
        <v>152</v>
      </c>
      <c r="D79" s="301"/>
      <c r="E79" s="301"/>
      <c r="F79" s="1">
        <v>65</v>
      </c>
      <c r="G79" s="1">
        <v>50</v>
      </c>
      <c r="H79" s="5">
        <v>13500</v>
      </c>
      <c r="I79" s="26">
        <f t="shared" si="3"/>
        <v>9045</v>
      </c>
      <c r="J79" s="29">
        <f t="shared" si="2"/>
        <v>8773.65</v>
      </c>
    </row>
    <row r="80" spans="1:10" ht="18.75" customHeight="1" x14ac:dyDescent="0.35">
      <c r="A80" s="6">
        <v>23</v>
      </c>
      <c r="B80" s="4" t="s">
        <v>153</v>
      </c>
      <c r="C80" s="18" t="s">
        <v>154</v>
      </c>
      <c r="D80" s="301"/>
      <c r="E80" s="301"/>
      <c r="F80" s="1">
        <v>65</v>
      </c>
      <c r="G80" s="1">
        <v>50</v>
      </c>
      <c r="H80" s="5">
        <v>13340</v>
      </c>
      <c r="I80" s="26">
        <f t="shared" si="3"/>
        <v>8937.8000000000011</v>
      </c>
      <c r="J80" s="29">
        <f t="shared" si="2"/>
        <v>8669.6660000000011</v>
      </c>
    </row>
    <row r="81" spans="1:10" ht="18.75" customHeight="1" x14ac:dyDescent="0.35">
      <c r="A81" s="4">
        <v>24</v>
      </c>
      <c r="B81" s="6"/>
      <c r="C81" s="14" t="s">
        <v>155</v>
      </c>
      <c r="D81" s="301"/>
      <c r="E81" s="301"/>
      <c r="F81" s="1">
        <v>65</v>
      </c>
      <c r="G81" s="1">
        <v>50</v>
      </c>
      <c r="H81" s="8">
        <v>13300</v>
      </c>
      <c r="I81" s="26">
        <f t="shared" si="3"/>
        <v>8911</v>
      </c>
      <c r="J81" s="29">
        <f t="shared" si="2"/>
        <v>8643.67</v>
      </c>
    </row>
    <row r="82" spans="1:10" ht="18.75" customHeight="1" x14ac:dyDescent="0.35">
      <c r="A82" s="6">
        <v>25</v>
      </c>
      <c r="B82" s="4" t="s">
        <v>156</v>
      </c>
      <c r="C82" s="18" t="s">
        <v>157</v>
      </c>
      <c r="D82" s="301"/>
      <c r="E82" s="301"/>
      <c r="F82" s="1">
        <v>75</v>
      </c>
      <c r="G82" s="1">
        <v>75</v>
      </c>
      <c r="H82" s="5">
        <v>13600</v>
      </c>
      <c r="I82" s="26">
        <f t="shared" si="3"/>
        <v>9112</v>
      </c>
      <c r="J82" s="29">
        <f t="shared" si="2"/>
        <v>8838.64</v>
      </c>
    </row>
    <row r="83" spans="1:10" ht="18.75" customHeight="1" x14ac:dyDescent="0.35">
      <c r="A83" s="6">
        <v>26</v>
      </c>
      <c r="B83" s="6" t="s">
        <v>158</v>
      </c>
      <c r="C83" s="14" t="s">
        <v>159</v>
      </c>
      <c r="D83" s="301"/>
      <c r="E83" s="301"/>
      <c r="F83" s="1">
        <v>75</v>
      </c>
      <c r="G83" s="1">
        <v>75</v>
      </c>
      <c r="H83" s="8">
        <v>13450</v>
      </c>
      <c r="I83" s="26">
        <f t="shared" si="3"/>
        <v>9011.5</v>
      </c>
      <c r="J83" s="29">
        <f t="shared" si="2"/>
        <v>8741.1550000000007</v>
      </c>
    </row>
    <row r="84" spans="1:10" ht="18.75" customHeight="1" x14ac:dyDescent="0.35">
      <c r="A84" s="4">
        <v>27</v>
      </c>
      <c r="B84" s="6" t="s">
        <v>160</v>
      </c>
      <c r="C84" s="14" t="s">
        <v>161</v>
      </c>
      <c r="D84" s="301"/>
      <c r="E84" s="301"/>
      <c r="F84" s="1">
        <v>75</v>
      </c>
      <c r="G84" s="1">
        <v>75</v>
      </c>
      <c r="H84" s="5">
        <v>13800</v>
      </c>
      <c r="I84" s="26">
        <f t="shared" si="3"/>
        <v>9246</v>
      </c>
      <c r="J84" s="29">
        <f t="shared" si="2"/>
        <v>8968.619999999999</v>
      </c>
    </row>
    <row r="85" spans="1:10" ht="18.75" customHeight="1" x14ac:dyDescent="0.35">
      <c r="A85" s="6">
        <v>28</v>
      </c>
      <c r="B85" s="6" t="s">
        <v>162</v>
      </c>
      <c r="C85" s="14" t="s">
        <v>163</v>
      </c>
      <c r="D85" s="301"/>
      <c r="E85" s="301"/>
      <c r="F85" s="1">
        <v>75</v>
      </c>
      <c r="G85" s="1">
        <v>75</v>
      </c>
      <c r="H85" s="5">
        <v>14000</v>
      </c>
      <c r="I85" s="26">
        <f t="shared" si="3"/>
        <v>9380</v>
      </c>
      <c r="J85" s="29">
        <f t="shared" si="2"/>
        <v>9098.6</v>
      </c>
    </row>
    <row r="86" spans="1:10" ht="18.75" customHeight="1" x14ac:dyDescent="0.35">
      <c r="A86" s="6">
        <v>29</v>
      </c>
      <c r="B86" s="6" t="s">
        <v>164</v>
      </c>
      <c r="C86" s="14" t="s">
        <v>165</v>
      </c>
      <c r="D86" s="301"/>
      <c r="E86" s="301"/>
      <c r="F86" s="1">
        <v>75</v>
      </c>
      <c r="G86" s="1">
        <v>75</v>
      </c>
      <c r="H86" s="5">
        <v>14500</v>
      </c>
      <c r="I86" s="26">
        <f t="shared" si="3"/>
        <v>9715</v>
      </c>
      <c r="J86" s="29">
        <f t="shared" si="2"/>
        <v>9423.5499999999993</v>
      </c>
    </row>
    <row r="87" spans="1:10" ht="18.75" customHeight="1" x14ac:dyDescent="0.35">
      <c r="A87" s="4">
        <v>30</v>
      </c>
      <c r="B87" s="4" t="s">
        <v>166</v>
      </c>
      <c r="C87" s="18" t="s">
        <v>167</v>
      </c>
      <c r="D87" s="301"/>
      <c r="E87" s="301"/>
      <c r="F87" s="1">
        <v>75</v>
      </c>
      <c r="G87" s="1">
        <v>75</v>
      </c>
      <c r="H87" s="5">
        <v>13550</v>
      </c>
      <c r="I87" s="26">
        <f t="shared" si="3"/>
        <v>9078.5</v>
      </c>
      <c r="J87" s="29">
        <f t="shared" si="2"/>
        <v>8806.1450000000004</v>
      </c>
    </row>
    <row r="88" spans="1:10" ht="18.75" customHeight="1" x14ac:dyDescent="0.35">
      <c r="A88" s="6">
        <v>31</v>
      </c>
      <c r="B88" s="6" t="s">
        <v>168</v>
      </c>
      <c r="C88" s="14" t="s">
        <v>169</v>
      </c>
      <c r="D88" s="301"/>
      <c r="E88" s="301"/>
      <c r="F88" s="1">
        <v>75</v>
      </c>
      <c r="G88" s="1">
        <v>65</v>
      </c>
      <c r="H88" s="8">
        <v>13450</v>
      </c>
      <c r="I88" s="26">
        <f t="shared" si="3"/>
        <v>9011.5</v>
      </c>
      <c r="J88" s="29">
        <f t="shared" si="2"/>
        <v>8741.1550000000007</v>
      </c>
    </row>
    <row r="89" spans="1:10" ht="18.75" customHeight="1" x14ac:dyDescent="0.35">
      <c r="A89" s="6">
        <v>32</v>
      </c>
      <c r="B89" s="6" t="s">
        <v>170</v>
      </c>
      <c r="C89" s="14" t="s">
        <v>171</v>
      </c>
      <c r="D89" s="301"/>
      <c r="E89" s="301"/>
      <c r="F89" s="1">
        <v>75</v>
      </c>
      <c r="G89" s="1">
        <v>65</v>
      </c>
      <c r="H89" s="5">
        <v>13740</v>
      </c>
      <c r="I89" s="26">
        <f t="shared" si="3"/>
        <v>9205.8000000000011</v>
      </c>
      <c r="J89" s="29">
        <f t="shared" si="2"/>
        <v>8929.6260000000002</v>
      </c>
    </row>
    <row r="90" spans="1:10" ht="18.75" customHeight="1" x14ac:dyDescent="0.35">
      <c r="A90" s="4">
        <v>33</v>
      </c>
      <c r="B90" s="4"/>
      <c r="C90" s="19" t="s">
        <v>172</v>
      </c>
      <c r="D90" s="301"/>
      <c r="E90" s="301"/>
      <c r="F90" s="1">
        <v>100</v>
      </c>
      <c r="G90" s="1">
        <v>100</v>
      </c>
      <c r="H90" s="8">
        <v>15000</v>
      </c>
      <c r="I90" s="26">
        <f t="shared" si="3"/>
        <v>10050</v>
      </c>
      <c r="J90" s="29">
        <f t="shared" si="2"/>
        <v>9748.5</v>
      </c>
    </row>
    <row r="91" spans="1:10" ht="18.75" customHeight="1" x14ac:dyDescent="0.35">
      <c r="A91" s="6">
        <v>34</v>
      </c>
      <c r="B91" s="4"/>
      <c r="C91" s="18" t="s">
        <v>173</v>
      </c>
      <c r="D91" s="301"/>
      <c r="E91" s="301"/>
      <c r="F91" s="1">
        <v>100</v>
      </c>
      <c r="G91" s="1">
        <v>100</v>
      </c>
      <c r="H91" s="5">
        <v>15200</v>
      </c>
      <c r="I91" s="26">
        <f t="shared" si="3"/>
        <v>10184</v>
      </c>
      <c r="J91" s="29">
        <f t="shared" si="2"/>
        <v>9878.48</v>
      </c>
    </row>
    <row r="92" spans="1:10" ht="18.75" customHeight="1" x14ac:dyDescent="0.35">
      <c r="A92" s="6">
        <v>35</v>
      </c>
      <c r="B92" s="4"/>
      <c r="C92" s="19" t="s">
        <v>174</v>
      </c>
      <c r="D92" s="301">
        <v>3</v>
      </c>
      <c r="E92" s="301">
        <v>2.25</v>
      </c>
      <c r="F92" s="1">
        <v>50</v>
      </c>
      <c r="G92" s="1">
        <v>40</v>
      </c>
      <c r="H92" s="8">
        <v>18000</v>
      </c>
      <c r="I92" s="26">
        <f t="shared" si="3"/>
        <v>12060</v>
      </c>
      <c r="J92" s="29">
        <f t="shared" si="2"/>
        <v>11698.199999999999</v>
      </c>
    </row>
    <row r="93" spans="1:10" ht="18.75" customHeight="1" x14ac:dyDescent="0.35">
      <c r="A93" s="4">
        <v>36</v>
      </c>
      <c r="B93" s="4" t="s">
        <v>175</v>
      </c>
      <c r="C93" s="18" t="s">
        <v>176</v>
      </c>
      <c r="D93" s="301"/>
      <c r="E93" s="301"/>
      <c r="F93" s="1">
        <v>50</v>
      </c>
      <c r="G93" s="1">
        <v>40</v>
      </c>
      <c r="H93" s="5">
        <v>18560</v>
      </c>
      <c r="I93" s="26">
        <f t="shared" si="3"/>
        <v>12435.2</v>
      </c>
      <c r="J93" s="29">
        <f t="shared" si="2"/>
        <v>12062.144</v>
      </c>
    </row>
    <row r="94" spans="1:10" ht="18.75" customHeight="1" x14ac:dyDescent="0.35">
      <c r="A94" s="6">
        <v>37</v>
      </c>
      <c r="B94" s="4" t="s">
        <v>177</v>
      </c>
      <c r="C94" s="19" t="s">
        <v>178</v>
      </c>
      <c r="D94" s="301"/>
      <c r="E94" s="301"/>
      <c r="F94" s="1">
        <v>50</v>
      </c>
      <c r="G94" s="1">
        <v>50</v>
      </c>
      <c r="H94" s="8">
        <v>18250</v>
      </c>
      <c r="I94" s="26">
        <f t="shared" si="3"/>
        <v>12227.5</v>
      </c>
      <c r="J94" s="29">
        <f t="shared" si="2"/>
        <v>11860.674999999999</v>
      </c>
    </row>
    <row r="95" spans="1:10" ht="18.75" customHeight="1" x14ac:dyDescent="0.35">
      <c r="A95" s="6">
        <v>38</v>
      </c>
      <c r="B95" s="4" t="s">
        <v>179</v>
      </c>
      <c r="C95" s="18" t="s">
        <v>180</v>
      </c>
      <c r="D95" s="301"/>
      <c r="E95" s="301"/>
      <c r="F95" s="1">
        <v>50</v>
      </c>
      <c r="G95" s="1">
        <v>50</v>
      </c>
      <c r="H95" s="5">
        <v>18670</v>
      </c>
      <c r="I95" s="26">
        <f t="shared" si="3"/>
        <v>12508.900000000001</v>
      </c>
      <c r="J95" s="29">
        <f t="shared" si="2"/>
        <v>12133.633000000002</v>
      </c>
    </row>
    <row r="96" spans="1:10" ht="18.75" customHeight="1" x14ac:dyDescent="0.35">
      <c r="A96" s="4">
        <v>39</v>
      </c>
      <c r="B96" s="6" t="s">
        <v>181</v>
      </c>
      <c r="C96" s="14" t="s">
        <v>182</v>
      </c>
      <c r="D96" s="301"/>
      <c r="E96" s="301"/>
      <c r="F96" s="1">
        <v>65</v>
      </c>
      <c r="G96" s="1">
        <v>50</v>
      </c>
      <c r="H96" s="8">
        <v>18100</v>
      </c>
      <c r="I96" s="26">
        <f t="shared" si="3"/>
        <v>12127</v>
      </c>
      <c r="J96" s="29">
        <f t="shared" si="2"/>
        <v>11763.19</v>
      </c>
    </row>
    <row r="97" spans="1:10" ht="18.75" customHeight="1" x14ac:dyDescent="0.35">
      <c r="A97" s="6">
        <v>40</v>
      </c>
      <c r="B97" s="6" t="s">
        <v>183</v>
      </c>
      <c r="C97" s="14" t="s">
        <v>184</v>
      </c>
      <c r="D97" s="301"/>
      <c r="E97" s="301"/>
      <c r="F97" s="1">
        <v>65</v>
      </c>
      <c r="G97" s="1">
        <v>50</v>
      </c>
      <c r="H97" s="5">
        <v>18770</v>
      </c>
      <c r="I97" s="26">
        <f t="shared" si="3"/>
        <v>12575.900000000001</v>
      </c>
      <c r="J97" s="29">
        <f t="shared" si="2"/>
        <v>12198.623000000001</v>
      </c>
    </row>
    <row r="98" spans="1:10" ht="18.75" customHeight="1" x14ac:dyDescent="0.35">
      <c r="A98" s="6">
        <v>41</v>
      </c>
      <c r="B98" s="6" t="s">
        <v>185</v>
      </c>
      <c r="C98" s="14" t="s">
        <v>186</v>
      </c>
      <c r="D98" s="301"/>
      <c r="E98" s="301"/>
      <c r="F98" s="1">
        <v>75</v>
      </c>
      <c r="G98" s="1">
        <v>75</v>
      </c>
      <c r="H98" s="8">
        <v>18020</v>
      </c>
      <c r="I98" s="26">
        <f t="shared" si="3"/>
        <v>12073.400000000001</v>
      </c>
      <c r="J98" s="29">
        <f t="shared" si="2"/>
        <v>11711.198</v>
      </c>
    </row>
    <row r="99" spans="1:10" ht="18.75" customHeight="1" x14ac:dyDescent="0.35">
      <c r="A99" s="4">
        <v>42</v>
      </c>
      <c r="B99" s="6" t="s">
        <v>187</v>
      </c>
      <c r="C99" s="14" t="s">
        <v>188</v>
      </c>
      <c r="D99" s="301"/>
      <c r="E99" s="301"/>
      <c r="F99" s="1">
        <v>75</v>
      </c>
      <c r="G99" s="1">
        <v>75</v>
      </c>
      <c r="H99" s="5">
        <v>18680</v>
      </c>
      <c r="I99" s="26">
        <f t="shared" si="3"/>
        <v>12515.6</v>
      </c>
      <c r="J99" s="29">
        <f t="shared" si="2"/>
        <v>12140.132</v>
      </c>
    </row>
    <row r="100" spans="1:10" ht="18.75" customHeight="1" x14ac:dyDescent="0.35">
      <c r="A100" s="6">
        <v>43</v>
      </c>
      <c r="B100" s="6" t="s">
        <v>189</v>
      </c>
      <c r="C100" s="14" t="s">
        <v>190</v>
      </c>
      <c r="D100" s="301"/>
      <c r="E100" s="301"/>
      <c r="F100" s="1">
        <v>100</v>
      </c>
      <c r="G100" s="1">
        <v>100</v>
      </c>
      <c r="H100" s="8">
        <v>19100</v>
      </c>
      <c r="I100" s="26">
        <f t="shared" si="3"/>
        <v>12797</v>
      </c>
      <c r="J100" s="29">
        <f t="shared" si="2"/>
        <v>12413.09</v>
      </c>
    </row>
    <row r="101" spans="1:10" ht="18.75" customHeight="1" x14ac:dyDescent="0.35">
      <c r="A101" s="6">
        <v>44</v>
      </c>
      <c r="B101" s="6" t="s">
        <v>191</v>
      </c>
      <c r="C101" s="14" t="s">
        <v>192</v>
      </c>
      <c r="D101" s="301"/>
      <c r="E101" s="301"/>
      <c r="F101" s="1">
        <v>100</v>
      </c>
      <c r="G101" s="1">
        <v>100</v>
      </c>
      <c r="H101" s="5">
        <v>19500</v>
      </c>
      <c r="I101" s="26">
        <f t="shared" si="3"/>
        <v>13065</v>
      </c>
      <c r="J101" s="29">
        <f t="shared" si="2"/>
        <v>12673.05</v>
      </c>
    </row>
    <row r="102" spans="1:10" ht="18.75" customHeight="1" x14ac:dyDescent="0.35">
      <c r="A102" s="4">
        <v>45</v>
      </c>
      <c r="B102" s="6" t="s">
        <v>193</v>
      </c>
      <c r="C102" s="14" t="s">
        <v>194</v>
      </c>
      <c r="D102" s="301"/>
      <c r="E102" s="301"/>
      <c r="F102" s="1">
        <v>100</v>
      </c>
      <c r="G102" s="1">
        <v>100</v>
      </c>
      <c r="H102" s="5">
        <v>14800</v>
      </c>
      <c r="I102" s="26">
        <f t="shared" si="3"/>
        <v>9916</v>
      </c>
      <c r="J102" s="29">
        <f t="shared" si="2"/>
        <v>9618.52</v>
      </c>
    </row>
    <row r="103" spans="1:10" ht="18.75" customHeight="1" x14ac:dyDescent="0.35">
      <c r="A103" s="6">
        <v>46</v>
      </c>
      <c r="B103" s="4" t="s">
        <v>195</v>
      </c>
      <c r="C103" s="18" t="s">
        <v>196</v>
      </c>
      <c r="D103" s="301"/>
      <c r="E103" s="301"/>
      <c r="F103" s="1">
        <v>100</v>
      </c>
      <c r="G103" s="1">
        <v>100</v>
      </c>
      <c r="H103" s="5">
        <v>15000</v>
      </c>
      <c r="I103" s="26">
        <f t="shared" si="3"/>
        <v>10050</v>
      </c>
      <c r="J103" s="29">
        <f t="shared" si="2"/>
        <v>9748.5</v>
      </c>
    </row>
    <row r="104" spans="1:10" ht="18.75" customHeight="1" x14ac:dyDescent="0.35">
      <c r="A104" s="6">
        <v>47</v>
      </c>
      <c r="B104" s="6" t="s">
        <v>197</v>
      </c>
      <c r="C104" s="14" t="s">
        <v>198</v>
      </c>
      <c r="D104" s="301">
        <v>5</v>
      </c>
      <c r="E104" s="301">
        <v>3.75</v>
      </c>
      <c r="F104" s="1">
        <v>80</v>
      </c>
      <c r="G104" s="1">
        <v>65</v>
      </c>
      <c r="H104" s="5">
        <v>24600</v>
      </c>
      <c r="I104" s="26">
        <f t="shared" si="3"/>
        <v>16482</v>
      </c>
      <c r="J104" s="29">
        <f t="shared" si="2"/>
        <v>15987.539999999999</v>
      </c>
    </row>
    <row r="105" spans="1:10" ht="18.75" customHeight="1" x14ac:dyDescent="0.35">
      <c r="A105" s="4">
        <v>48</v>
      </c>
      <c r="B105" s="4"/>
      <c r="C105" s="20" t="s">
        <v>199</v>
      </c>
      <c r="D105" s="301"/>
      <c r="E105" s="301"/>
      <c r="F105" s="1">
        <v>80</v>
      </c>
      <c r="G105" s="1">
        <v>65</v>
      </c>
      <c r="H105" s="5">
        <v>26000</v>
      </c>
      <c r="I105" s="26">
        <f t="shared" si="3"/>
        <v>17420</v>
      </c>
      <c r="J105" s="29">
        <f t="shared" si="2"/>
        <v>16897.399999999998</v>
      </c>
    </row>
    <row r="106" spans="1:10" ht="18.75" customHeight="1" x14ac:dyDescent="0.35">
      <c r="A106" s="6">
        <v>49</v>
      </c>
      <c r="B106" s="6" t="s">
        <v>200</v>
      </c>
      <c r="C106" s="20" t="s">
        <v>201</v>
      </c>
      <c r="D106" s="301"/>
      <c r="E106" s="301"/>
      <c r="F106" s="1">
        <v>80</v>
      </c>
      <c r="G106" s="1">
        <v>65</v>
      </c>
      <c r="H106" s="5">
        <v>23600</v>
      </c>
      <c r="I106" s="26">
        <f t="shared" si="3"/>
        <v>15812.000000000002</v>
      </c>
      <c r="J106" s="29">
        <f t="shared" si="2"/>
        <v>15337.640000000001</v>
      </c>
    </row>
    <row r="107" spans="1:10" ht="18.75" customHeight="1" x14ac:dyDescent="0.35">
      <c r="A107" s="6">
        <v>50</v>
      </c>
      <c r="B107" s="4" t="s">
        <v>202</v>
      </c>
      <c r="C107" s="18" t="s">
        <v>203</v>
      </c>
      <c r="D107" s="7">
        <v>0.75</v>
      </c>
      <c r="E107" s="7">
        <v>0.56000000000000005</v>
      </c>
      <c r="F107" s="2">
        <v>25</v>
      </c>
      <c r="G107" s="2">
        <v>25</v>
      </c>
      <c r="H107" s="5">
        <v>5170</v>
      </c>
      <c r="I107" s="26">
        <f t="shared" si="3"/>
        <v>3463.9</v>
      </c>
      <c r="J107" s="29">
        <f t="shared" si="2"/>
        <v>3359.9830000000002</v>
      </c>
    </row>
    <row r="108" spans="1:10" ht="18.75" customHeight="1" x14ac:dyDescent="0.35">
      <c r="A108" s="4">
        <v>51</v>
      </c>
      <c r="B108" s="4" t="s">
        <v>204</v>
      </c>
      <c r="C108" s="18" t="s">
        <v>205</v>
      </c>
      <c r="D108" s="301">
        <v>1</v>
      </c>
      <c r="E108" s="301">
        <v>0.75</v>
      </c>
      <c r="F108" s="1">
        <v>40</v>
      </c>
      <c r="G108" s="1">
        <v>40</v>
      </c>
      <c r="H108" s="5">
        <v>9000</v>
      </c>
      <c r="I108" s="26">
        <f t="shared" si="3"/>
        <v>6030</v>
      </c>
      <c r="J108" s="29">
        <f t="shared" si="2"/>
        <v>5849.0999999999995</v>
      </c>
    </row>
    <row r="109" spans="1:10" ht="18.75" customHeight="1" x14ac:dyDescent="0.35">
      <c r="A109" s="6">
        <v>52</v>
      </c>
      <c r="B109" s="4"/>
      <c r="C109" s="18" t="s">
        <v>206</v>
      </c>
      <c r="D109" s="301"/>
      <c r="E109" s="301"/>
      <c r="F109" s="1">
        <v>40</v>
      </c>
      <c r="G109" s="1">
        <v>40</v>
      </c>
      <c r="H109" s="5">
        <v>9000</v>
      </c>
      <c r="I109" s="26">
        <f t="shared" si="3"/>
        <v>6030</v>
      </c>
      <c r="J109" s="29">
        <f t="shared" si="2"/>
        <v>5849.0999999999995</v>
      </c>
    </row>
    <row r="110" spans="1:10" ht="18.75" customHeight="1" x14ac:dyDescent="0.35">
      <c r="A110" s="6">
        <v>53</v>
      </c>
      <c r="B110" s="4"/>
      <c r="C110" s="20" t="s">
        <v>207</v>
      </c>
      <c r="D110" s="301">
        <v>2</v>
      </c>
      <c r="E110" s="301">
        <v>1.5</v>
      </c>
      <c r="F110" s="1">
        <v>75</v>
      </c>
      <c r="G110" s="1">
        <v>75</v>
      </c>
      <c r="H110" s="5">
        <v>12500</v>
      </c>
      <c r="I110" s="26">
        <f t="shared" si="3"/>
        <v>8375</v>
      </c>
      <c r="J110" s="29">
        <f t="shared" si="2"/>
        <v>8123.75</v>
      </c>
    </row>
    <row r="111" spans="1:10" ht="18.75" customHeight="1" x14ac:dyDescent="0.35">
      <c r="A111" s="4">
        <v>54</v>
      </c>
      <c r="B111" s="4" t="s">
        <v>208</v>
      </c>
      <c r="C111" s="20" t="s">
        <v>209</v>
      </c>
      <c r="D111" s="301"/>
      <c r="E111" s="301"/>
      <c r="F111" s="1">
        <v>75</v>
      </c>
      <c r="G111" s="1">
        <v>75</v>
      </c>
      <c r="H111" s="5">
        <v>12500</v>
      </c>
      <c r="I111" s="26">
        <f t="shared" si="3"/>
        <v>8375</v>
      </c>
      <c r="J111" s="29">
        <f t="shared" si="2"/>
        <v>8123.75</v>
      </c>
    </row>
    <row r="112" spans="1:10" ht="18.75" customHeight="1" x14ac:dyDescent="0.35">
      <c r="A112" s="6">
        <v>55</v>
      </c>
      <c r="B112" s="4" t="s">
        <v>210</v>
      </c>
      <c r="C112" s="20" t="s">
        <v>211</v>
      </c>
      <c r="D112" s="301"/>
      <c r="E112" s="301"/>
      <c r="F112" s="1">
        <v>65</v>
      </c>
      <c r="G112" s="1">
        <v>50</v>
      </c>
      <c r="H112" s="5">
        <v>12200</v>
      </c>
      <c r="I112" s="26">
        <f t="shared" si="3"/>
        <v>8174.0000000000009</v>
      </c>
      <c r="J112" s="29">
        <f t="shared" si="2"/>
        <v>7928.7800000000007</v>
      </c>
    </row>
    <row r="113" spans="1:10" ht="18.75" customHeight="1" x14ac:dyDescent="0.35">
      <c r="A113" s="6">
        <v>56</v>
      </c>
      <c r="B113" s="4" t="s">
        <v>212</v>
      </c>
      <c r="C113" s="20" t="s">
        <v>213</v>
      </c>
      <c r="D113" s="301"/>
      <c r="E113" s="301"/>
      <c r="F113" s="1">
        <v>50</v>
      </c>
      <c r="G113" s="1">
        <v>50</v>
      </c>
      <c r="H113" s="5">
        <v>12200</v>
      </c>
      <c r="I113" s="26">
        <f t="shared" si="3"/>
        <v>8174.0000000000009</v>
      </c>
      <c r="J113" s="29">
        <f t="shared" si="2"/>
        <v>7928.7800000000007</v>
      </c>
    </row>
    <row r="114" spans="1:10" ht="18.75" customHeight="1" x14ac:dyDescent="0.35">
      <c r="A114" s="300" t="s">
        <v>214</v>
      </c>
      <c r="B114" s="300"/>
      <c r="C114" s="300"/>
      <c r="D114" s="300"/>
      <c r="E114" s="300"/>
      <c r="F114" s="300"/>
      <c r="G114" s="300"/>
      <c r="H114" s="306" t="s">
        <v>109</v>
      </c>
      <c r="I114" s="299" t="s">
        <v>504</v>
      </c>
      <c r="J114" s="299"/>
    </row>
    <row r="115" spans="1:10" ht="18.75" customHeight="1" x14ac:dyDescent="0.35">
      <c r="A115" s="287" t="s">
        <v>2</v>
      </c>
      <c r="B115" s="287" t="s">
        <v>3</v>
      </c>
      <c r="C115" s="298" t="s">
        <v>4</v>
      </c>
      <c r="D115" s="287" t="s">
        <v>5</v>
      </c>
      <c r="E115" s="287"/>
      <c r="F115" s="287" t="s">
        <v>6</v>
      </c>
      <c r="G115" s="287"/>
      <c r="H115" s="306"/>
      <c r="I115" s="299"/>
      <c r="J115" s="299"/>
    </row>
    <row r="116" spans="1:10" ht="18.75" customHeight="1" x14ac:dyDescent="0.35">
      <c r="A116" s="287"/>
      <c r="B116" s="287"/>
      <c r="C116" s="298"/>
      <c r="D116" s="11" t="s">
        <v>9</v>
      </c>
      <c r="E116" s="11" t="s">
        <v>10</v>
      </c>
      <c r="F116" s="11" t="s">
        <v>11</v>
      </c>
      <c r="G116" s="11" t="s">
        <v>12</v>
      </c>
      <c r="H116" s="306"/>
      <c r="I116" s="41">
        <v>0.33</v>
      </c>
      <c r="J116" s="41">
        <v>0.03</v>
      </c>
    </row>
    <row r="117" spans="1:10" ht="18.75" customHeight="1" x14ac:dyDescent="0.35">
      <c r="A117" s="4">
        <v>1</v>
      </c>
      <c r="B117" s="4" t="s">
        <v>215</v>
      </c>
      <c r="C117" s="12" t="s">
        <v>216</v>
      </c>
      <c r="D117" s="2">
        <v>0.5</v>
      </c>
      <c r="E117" s="2">
        <v>0.37</v>
      </c>
      <c r="F117" s="2">
        <v>25</v>
      </c>
      <c r="G117" s="2">
        <v>25</v>
      </c>
      <c r="H117" s="13">
        <v>5370</v>
      </c>
      <c r="I117" s="295">
        <v>3552</v>
      </c>
      <c r="J117" s="296"/>
    </row>
    <row r="118" spans="1:10" ht="18.75" customHeight="1" x14ac:dyDescent="0.35">
      <c r="A118" s="4">
        <v>2</v>
      </c>
      <c r="B118" s="4" t="s">
        <v>217</v>
      </c>
      <c r="C118" s="12" t="s">
        <v>218</v>
      </c>
      <c r="D118" s="2">
        <v>1</v>
      </c>
      <c r="E118" s="2">
        <v>0.75</v>
      </c>
      <c r="F118" s="2">
        <v>25</v>
      </c>
      <c r="G118" s="2">
        <v>25</v>
      </c>
      <c r="H118" s="13">
        <v>7070</v>
      </c>
      <c r="I118" s="302">
        <v>4793</v>
      </c>
      <c r="J118" s="302"/>
    </row>
    <row r="119" spans="1:10" ht="18.75" customHeight="1" x14ac:dyDescent="0.35">
      <c r="A119" s="4">
        <v>3</v>
      </c>
      <c r="B119" s="21" t="s">
        <v>219</v>
      </c>
      <c r="C119" s="22" t="s">
        <v>220</v>
      </c>
      <c r="D119" s="23">
        <v>2</v>
      </c>
      <c r="E119" s="4">
        <v>1.5</v>
      </c>
      <c r="F119" s="4">
        <v>50</v>
      </c>
      <c r="G119" s="4">
        <v>50</v>
      </c>
      <c r="H119" s="4">
        <v>12200</v>
      </c>
      <c r="I119" s="26">
        <f t="shared" ref="I119:I128" si="4">H119*0.67</f>
        <v>8174.0000000000009</v>
      </c>
      <c r="J119" s="29">
        <f t="shared" ref="J119:J128" si="5">I119*0.97</f>
        <v>7928.7800000000007</v>
      </c>
    </row>
    <row r="120" spans="1:10" ht="18.75" customHeight="1" x14ac:dyDescent="0.35">
      <c r="A120" s="4">
        <v>4</v>
      </c>
      <c r="B120" s="21" t="s">
        <v>221</v>
      </c>
      <c r="C120" s="22" t="s">
        <v>222</v>
      </c>
      <c r="D120" s="23">
        <v>2</v>
      </c>
      <c r="E120" s="4">
        <v>1.5</v>
      </c>
      <c r="F120" s="4">
        <v>50</v>
      </c>
      <c r="G120" s="4">
        <v>50</v>
      </c>
      <c r="H120" s="4">
        <v>12200</v>
      </c>
      <c r="I120" s="26">
        <f t="shared" si="4"/>
        <v>8174.0000000000009</v>
      </c>
      <c r="J120" s="29">
        <f t="shared" si="5"/>
        <v>7928.7800000000007</v>
      </c>
    </row>
    <row r="121" spans="1:10" ht="18.75" customHeight="1" x14ac:dyDescent="0.35">
      <c r="A121" s="4">
        <v>5</v>
      </c>
      <c r="B121" s="21" t="s">
        <v>223</v>
      </c>
      <c r="C121" s="22" t="s">
        <v>224</v>
      </c>
      <c r="D121" s="23">
        <v>2</v>
      </c>
      <c r="E121" s="4">
        <v>1.5</v>
      </c>
      <c r="F121" s="4">
        <v>65</v>
      </c>
      <c r="G121" s="4">
        <v>50</v>
      </c>
      <c r="H121" s="4">
        <v>12300</v>
      </c>
      <c r="I121" s="26">
        <f t="shared" si="4"/>
        <v>8241</v>
      </c>
      <c r="J121" s="29">
        <f t="shared" si="5"/>
        <v>7993.7699999999995</v>
      </c>
    </row>
    <row r="122" spans="1:10" ht="18.75" customHeight="1" x14ac:dyDescent="0.35">
      <c r="A122" s="4">
        <v>6</v>
      </c>
      <c r="B122" s="21" t="s">
        <v>225</v>
      </c>
      <c r="C122" s="22" t="s">
        <v>226</v>
      </c>
      <c r="D122" s="23">
        <v>2</v>
      </c>
      <c r="E122" s="4">
        <v>1.5</v>
      </c>
      <c r="F122" s="4">
        <v>65</v>
      </c>
      <c r="G122" s="4">
        <v>50</v>
      </c>
      <c r="H122" s="4">
        <v>12300</v>
      </c>
      <c r="I122" s="26">
        <f t="shared" si="4"/>
        <v>8241</v>
      </c>
      <c r="J122" s="29">
        <f t="shared" si="5"/>
        <v>7993.7699999999995</v>
      </c>
    </row>
    <row r="123" spans="1:10" ht="18.75" customHeight="1" x14ac:dyDescent="0.35">
      <c r="A123" s="4">
        <v>7</v>
      </c>
      <c r="B123" s="21" t="s">
        <v>227</v>
      </c>
      <c r="C123" s="22" t="s">
        <v>228</v>
      </c>
      <c r="D123" s="21">
        <v>3</v>
      </c>
      <c r="E123" s="4">
        <v>2.25</v>
      </c>
      <c r="F123" s="4">
        <v>65</v>
      </c>
      <c r="G123" s="4">
        <v>50</v>
      </c>
      <c r="H123" s="4">
        <v>12900</v>
      </c>
      <c r="I123" s="26">
        <f t="shared" si="4"/>
        <v>8643</v>
      </c>
      <c r="J123" s="29">
        <f t="shared" si="5"/>
        <v>8383.7099999999991</v>
      </c>
    </row>
    <row r="124" spans="1:10" ht="18.75" customHeight="1" x14ac:dyDescent="0.35">
      <c r="A124" s="4">
        <v>8</v>
      </c>
      <c r="B124" s="21" t="s">
        <v>229</v>
      </c>
      <c r="C124" s="24" t="s">
        <v>230</v>
      </c>
      <c r="D124" s="21">
        <v>3</v>
      </c>
      <c r="E124" s="4">
        <v>2.25</v>
      </c>
      <c r="F124" s="4">
        <v>65</v>
      </c>
      <c r="G124" s="4">
        <v>50</v>
      </c>
      <c r="H124" s="4">
        <v>13000</v>
      </c>
      <c r="I124" s="26">
        <f t="shared" si="4"/>
        <v>8710</v>
      </c>
      <c r="J124" s="29">
        <f t="shared" si="5"/>
        <v>8448.6999999999989</v>
      </c>
    </row>
    <row r="125" spans="1:10" ht="18.75" customHeight="1" x14ac:dyDescent="0.35">
      <c r="A125" s="4">
        <v>9</v>
      </c>
      <c r="B125" s="21" t="s">
        <v>231</v>
      </c>
      <c r="C125" s="24" t="s">
        <v>232</v>
      </c>
      <c r="D125" s="21">
        <v>3</v>
      </c>
      <c r="E125" s="4">
        <v>2.25</v>
      </c>
      <c r="F125" s="4">
        <v>65</v>
      </c>
      <c r="G125" s="4">
        <v>50</v>
      </c>
      <c r="H125" s="4">
        <v>12900</v>
      </c>
      <c r="I125" s="26">
        <f t="shared" si="4"/>
        <v>8643</v>
      </c>
      <c r="J125" s="29">
        <f t="shared" si="5"/>
        <v>8383.7099999999991</v>
      </c>
    </row>
    <row r="126" spans="1:10" ht="18.75" customHeight="1" x14ac:dyDescent="0.35">
      <c r="A126" s="4">
        <v>10</v>
      </c>
      <c r="B126" s="21" t="s">
        <v>233</v>
      </c>
      <c r="C126" s="24" t="s">
        <v>234</v>
      </c>
      <c r="D126" s="21">
        <v>3</v>
      </c>
      <c r="E126" s="4">
        <v>2.25</v>
      </c>
      <c r="F126" s="4">
        <v>65</v>
      </c>
      <c r="G126" s="4">
        <v>50</v>
      </c>
      <c r="H126" s="4">
        <v>19300</v>
      </c>
      <c r="I126" s="26">
        <f t="shared" si="4"/>
        <v>12931</v>
      </c>
      <c r="J126" s="29">
        <f t="shared" si="5"/>
        <v>12543.07</v>
      </c>
    </row>
    <row r="127" spans="1:10" ht="18.75" customHeight="1" x14ac:dyDescent="0.35">
      <c r="A127" s="4">
        <v>11</v>
      </c>
      <c r="B127" s="21" t="s">
        <v>235</v>
      </c>
      <c r="C127" s="24" t="s">
        <v>236</v>
      </c>
      <c r="D127" s="21">
        <v>5</v>
      </c>
      <c r="E127" s="1">
        <v>3.75</v>
      </c>
      <c r="F127" s="4">
        <v>65</v>
      </c>
      <c r="G127" s="4">
        <v>50</v>
      </c>
      <c r="H127" s="4">
        <v>18700</v>
      </c>
      <c r="I127" s="26">
        <f t="shared" si="4"/>
        <v>12529</v>
      </c>
      <c r="J127" s="29">
        <f t="shared" si="5"/>
        <v>12153.13</v>
      </c>
    </row>
    <row r="128" spans="1:10" ht="18.75" customHeight="1" x14ac:dyDescent="0.35">
      <c r="A128" s="4">
        <v>12</v>
      </c>
      <c r="B128" s="21" t="s">
        <v>237</v>
      </c>
      <c r="C128" s="24" t="s">
        <v>238</v>
      </c>
      <c r="D128" s="21">
        <v>5</v>
      </c>
      <c r="E128" s="1">
        <v>3.75</v>
      </c>
      <c r="F128" s="4">
        <v>65</v>
      </c>
      <c r="G128" s="4">
        <v>50</v>
      </c>
      <c r="H128" s="4">
        <v>22900</v>
      </c>
      <c r="I128" s="26">
        <f t="shared" si="4"/>
        <v>15343.000000000002</v>
      </c>
      <c r="J128" s="29">
        <f t="shared" si="5"/>
        <v>14882.710000000001</v>
      </c>
    </row>
    <row r="129" spans="1:10" ht="18.75" customHeight="1" x14ac:dyDescent="0.35">
      <c r="A129" s="300" t="s">
        <v>239</v>
      </c>
      <c r="B129" s="300"/>
      <c r="C129" s="300"/>
      <c r="D129" s="300"/>
      <c r="E129" s="300"/>
      <c r="F129" s="300"/>
      <c r="G129" s="300"/>
      <c r="H129" s="305" t="s">
        <v>109</v>
      </c>
      <c r="I129" s="299" t="s">
        <v>504</v>
      </c>
      <c r="J129" s="299"/>
    </row>
    <row r="130" spans="1:10" ht="18.75" customHeight="1" x14ac:dyDescent="0.35">
      <c r="A130" s="287" t="s">
        <v>2</v>
      </c>
      <c r="B130" s="287" t="s">
        <v>3</v>
      </c>
      <c r="C130" s="298" t="s">
        <v>4</v>
      </c>
      <c r="D130" s="287" t="s">
        <v>5</v>
      </c>
      <c r="E130" s="287"/>
      <c r="F130" s="287" t="s">
        <v>6</v>
      </c>
      <c r="G130" s="287"/>
      <c r="H130" s="305"/>
      <c r="I130" s="299"/>
      <c r="J130" s="299"/>
    </row>
    <row r="131" spans="1:10" ht="18.75" customHeight="1" x14ac:dyDescent="0.35">
      <c r="A131" s="287"/>
      <c r="B131" s="287"/>
      <c r="C131" s="298"/>
      <c r="D131" s="11" t="s">
        <v>9</v>
      </c>
      <c r="E131" s="11" t="s">
        <v>10</v>
      </c>
      <c r="F131" s="287"/>
      <c r="G131" s="287"/>
      <c r="H131" s="305"/>
      <c r="I131" s="41">
        <v>0.33</v>
      </c>
      <c r="J131" s="41">
        <v>0.03</v>
      </c>
    </row>
    <row r="132" spans="1:10" ht="18.75" customHeight="1" x14ac:dyDescent="0.35">
      <c r="A132" s="4">
        <v>1</v>
      </c>
      <c r="B132" s="4" t="s">
        <v>240</v>
      </c>
      <c r="C132" s="25" t="s">
        <v>241</v>
      </c>
      <c r="D132" s="4">
        <v>0.5</v>
      </c>
      <c r="E132" s="4"/>
      <c r="F132" s="292">
        <v>32</v>
      </c>
      <c r="G132" s="292"/>
      <c r="H132" s="4">
        <v>8240</v>
      </c>
      <c r="I132" s="26">
        <f t="shared" ref="I132:I154" si="6">H132*0.67</f>
        <v>5520.8</v>
      </c>
      <c r="J132" s="29">
        <f t="shared" ref="J132:J154" si="7">I132*0.97</f>
        <v>5355.1760000000004</v>
      </c>
    </row>
    <row r="133" spans="1:10" ht="18.75" customHeight="1" x14ac:dyDescent="0.35">
      <c r="A133" s="4">
        <v>2</v>
      </c>
      <c r="B133" s="4" t="s">
        <v>242</v>
      </c>
      <c r="C133" s="25" t="s">
        <v>243</v>
      </c>
      <c r="D133" s="4">
        <v>0.5</v>
      </c>
      <c r="E133" s="4"/>
      <c r="F133" s="292">
        <v>32</v>
      </c>
      <c r="G133" s="292"/>
      <c r="H133" s="4">
        <v>8450</v>
      </c>
      <c r="I133" s="26">
        <f t="shared" si="6"/>
        <v>5661.5</v>
      </c>
      <c r="J133" s="29">
        <f t="shared" si="7"/>
        <v>5491.6549999999997</v>
      </c>
    </row>
    <row r="134" spans="1:10" ht="18.75" customHeight="1" x14ac:dyDescent="0.35">
      <c r="A134" s="4">
        <v>3</v>
      </c>
      <c r="B134" s="4" t="s">
        <v>244</v>
      </c>
      <c r="C134" s="25" t="s">
        <v>245</v>
      </c>
      <c r="D134" s="4">
        <v>0.75</v>
      </c>
      <c r="E134" s="4"/>
      <c r="F134" s="292">
        <v>32</v>
      </c>
      <c r="G134" s="292"/>
      <c r="H134" s="4">
        <v>8550</v>
      </c>
      <c r="I134" s="26">
        <f t="shared" si="6"/>
        <v>5728.5</v>
      </c>
      <c r="J134" s="29">
        <f t="shared" si="7"/>
        <v>5556.6449999999995</v>
      </c>
    </row>
    <row r="135" spans="1:10" ht="18.75" customHeight="1" x14ac:dyDescent="0.35">
      <c r="A135" s="4">
        <v>4</v>
      </c>
      <c r="B135" s="4" t="s">
        <v>246</v>
      </c>
      <c r="C135" s="25" t="s">
        <v>247</v>
      </c>
      <c r="D135" s="4">
        <v>0.75</v>
      </c>
      <c r="E135" s="4"/>
      <c r="F135" s="292">
        <v>32</v>
      </c>
      <c r="G135" s="292"/>
      <c r="H135" s="4">
        <v>8750</v>
      </c>
      <c r="I135" s="26">
        <f t="shared" si="6"/>
        <v>5862.5</v>
      </c>
      <c r="J135" s="29">
        <f t="shared" si="7"/>
        <v>5686.625</v>
      </c>
    </row>
    <row r="136" spans="1:10" ht="18.75" customHeight="1" x14ac:dyDescent="0.35">
      <c r="A136" s="4">
        <v>5</v>
      </c>
      <c r="B136" s="4" t="s">
        <v>248</v>
      </c>
      <c r="C136" s="25" t="s">
        <v>249</v>
      </c>
      <c r="D136" s="4">
        <v>1</v>
      </c>
      <c r="E136" s="4"/>
      <c r="F136" s="292">
        <v>32</v>
      </c>
      <c r="G136" s="292"/>
      <c r="H136" s="26">
        <v>8800</v>
      </c>
      <c r="I136" s="26">
        <f t="shared" si="6"/>
        <v>5896</v>
      </c>
      <c r="J136" s="29">
        <f t="shared" si="7"/>
        <v>5719.12</v>
      </c>
    </row>
    <row r="137" spans="1:10" ht="18.75" customHeight="1" x14ac:dyDescent="0.35">
      <c r="A137" s="4">
        <v>6</v>
      </c>
      <c r="B137" s="4" t="s">
        <v>250</v>
      </c>
      <c r="C137" s="25" t="s">
        <v>251</v>
      </c>
      <c r="D137" s="4">
        <v>1</v>
      </c>
      <c r="E137" s="4"/>
      <c r="F137" s="292">
        <v>32</v>
      </c>
      <c r="G137" s="292"/>
      <c r="H137" s="26">
        <v>9000</v>
      </c>
      <c r="I137" s="26">
        <f t="shared" si="6"/>
        <v>6030</v>
      </c>
      <c r="J137" s="29">
        <f t="shared" si="7"/>
        <v>5849.0999999999995</v>
      </c>
    </row>
    <row r="138" spans="1:10" ht="18.75" customHeight="1" x14ac:dyDescent="0.35">
      <c r="A138" s="4">
        <v>7</v>
      </c>
      <c r="B138" s="4" t="s">
        <v>252</v>
      </c>
      <c r="C138" s="25" t="s">
        <v>253</v>
      </c>
      <c r="D138" s="4">
        <v>1</v>
      </c>
      <c r="E138" s="4"/>
      <c r="F138" s="292">
        <v>32</v>
      </c>
      <c r="G138" s="292"/>
      <c r="H138" s="4">
        <v>9480</v>
      </c>
      <c r="I138" s="26">
        <f t="shared" si="6"/>
        <v>6351.6</v>
      </c>
      <c r="J138" s="29">
        <f t="shared" si="7"/>
        <v>6161.0520000000006</v>
      </c>
    </row>
    <row r="139" spans="1:10" ht="18.75" customHeight="1" x14ac:dyDescent="0.35">
      <c r="A139" s="4">
        <v>8</v>
      </c>
      <c r="B139" s="4" t="s">
        <v>254</v>
      </c>
      <c r="C139" s="25" t="s">
        <v>255</v>
      </c>
      <c r="D139" s="4">
        <v>1</v>
      </c>
      <c r="E139" s="4"/>
      <c r="F139" s="292">
        <v>32</v>
      </c>
      <c r="G139" s="292"/>
      <c r="H139" s="4">
        <v>9790</v>
      </c>
      <c r="I139" s="26">
        <f t="shared" si="6"/>
        <v>6559.3</v>
      </c>
      <c r="J139" s="29">
        <f t="shared" si="7"/>
        <v>6362.5209999999997</v>
      </c>
    </row>
    <row r="140" spans="1:10" ht="18.75" customHeight="1" x14ac:dyDescent="0.35">
      <c r="A140" s="4">
        <v>9</v>
      </c>
      <c r="B140" s="4" t="s">
        <v>256</v>
      </c>
      <c r="C140" s="25" t="s">
        <v>257</v>
      </c>
      <c r="D140" s="4">
        <v>1.5</v>
      </c>
      <c r="E140" s="4"/>
      <c r="F140" s="292">
        <v>32</v>
      </c>
      <c r="G140" s="292"/>
      <c r="H140" s="4">
        <v>11330</v>
      </c>
      <c r="I140" s="26">
        <f t="shared" si="6"/>
        <v>7591.1</v>
      </c>
      <c r="J140" s="29">
        <f t="shared" si="7"/>
        <v>7363.3670000000002</v>
      </c>
    </row>
    <row r="141" spans="1:10" ht="18.75" customHeight="1" x14ac:dyDescent="0.35">
      <c r="A141" s="4">
        <v>10</v>
      </c>
      <c r="B141" s="4" t="s">
        <v>258</v>
      </c>
      <c r="C141" s="25" t="s">
        <v>259</v>
      </c>
      <c r="D141" s="4">
        <v>1.5</v>
      </c>
      <c r="E141" s="4"/>
      <c r="F141" s="292">
        <v>32</v>
      </c>
      <c r="G141" s="292"/>
      <c r="H141" s="4">
        <v>11640</v>
      </c>
      <c r="I141" s="26">
        <f t="shared" si="6"/>
        <v>7798.8</v>
      </c>
      <c r="J141" s="29">
        <f t="shared" si="7"/>
        <v>7564.8360000000002</v>
      </c>
    </row>
    <row r="142" spans="1:10" ht="18.75" customHeight="1" x14ac:dyDescent="0.35">
      <c r="A142" s="4">
        <v>11</v>
      </c>
      <c r="B142" s="4" t="s">
        <v>260</v>
      </c>
      <c r="C142" s="25" t="s">
        <v>261</v>
      </c>
      <c r="D142" s="4">
        <v>1.5</v>
      </c>
      <c r="E142" s="4"/>
      <c r="F142" s="292">
        <v>32</v>
      </c>
      <c r="G142" s="292"/>
      <c r="H142" s="4">
        <v>11800</v>
      </c>
      <c r="I142" s="26">
        <f t="shared" si="6"/>
        <v>7906.0000000000009</v>
      </c>
      <c r="J142" s="29">
        <f t="shared" si="7"/>
        <v>7668.8200000000006</v>
      </c>
    </row>
    <row r="143" spans="1:10" ht="18.75" customHeight="1" x14ac:dyDescent="0.35">
      <c r="A143" s="4">
        <v>12</v>
      </c>
      <c r="B143" s="4" t="s">
        <v>262</v>
      </c>
      <c r="C143" s="25" t="s">
        <v>263</v>
      </c>
      <c r="D143" s="4">
        <v>1.5</v>
      </c>
      <c r="E143" s="4"/>
      <c r="F143" s="292">
        <v>32</v>
      </c>
      <c r="G143" s="292"/>
      <c r="H143" s="4">
        <v>12670</v>
      </c>
      <c r="I143" s="26">
        <f t="shared" si="6"/>
        <v>8488.9</v>
      </c>
      <c r="J143" s="29">
        <f t="shared" si="7"/>
        <v>8234.2330000000002</v>
      </c>
    </row>
    <row r="144" spans="1:10" ht="18.75" customHeight="1" x14ac:dyDescent="0.35">
      <c r="A144" s="4">
        <v>13</v>
      </c>
      <c r="B144" s="4" t="s">
        <v>264</v>
      </c>
      <c r="C144" s="25" t="s">
        <v>265</v>
      </c>
      <c r="D144" s="4">
        <v>2</v>
      </c>
      <c r="E144" s="4"/>
      <c r="F144" s="292">
        <v>40</v>
      </c>
      <c r="G144" s="292"/>
      <c r="H144" s="4">
        <v>14730</v>
      </c>
      <c r="I144" s="26">
        <f t="shared" si="6"/>
        <v>9869.1</v>
      </c>
      <c r="J144" s="29">
        <f t="shared" si="7"/>
        <v>9573.027</v>
      </c>
    </row>
    <row r="145" spans="1:10" ht="18.75" customHeight="1" x14ac:dyDescent="0.35">
      <c r="A145" s="4">
        <v>14</v>
      </c>
      <c r="B145" s="4" t="s">
        <v>266</v>
      </c>
      <c r="C145" s="25" t="s">
        <v>267</v>
      </c>
      <c r="D145" s="4">
        <v>2</v>
      </c>
      <c r="E145" s="4"/>
      <c r="F145" s="292">
        <v>32</v>
      </c>
      <c r="G145" s="292"/>
      <c r="H145" s="4">
        <v>15250</v>
      </c>
      <c r="I145" s="26">
        <f t="shared" si="6"/>
        <v>10217.5</v>
      </c>
      <c r="J145" s="29">
        <f t="shared" si="7"/>
        <v>9910.9750000000004</v>
      </c>
    </row>
    <row r="146" spans="1:10" ht="18.75" customHeight="1" x14ac:dyDescent="0.35">
      <c r="A146" s="4">
        <v>15</v>
      </c>
      <c r="B146" s="4" t="s">
        <v>268</v>
      </c>
      <c r="C146" s="25" t="s">
        <v>269</v>
      </c>
      <c r="D146" s="4">
        <v>2</v>
      </c>
      <c r="E146" s="4"/>
      <c r="F146" s="292">
        <v>32</v>
      </c>
      <c r="G146" s="292"/>
      <c r="H146" s="4">
        <v>15860</v>
      </c>
      <c r="I146" s="26">
        <f t="shared" si="6"/>
        <v>10626.2</v>
      </c>
      <c r="J146" s="29">
        <f t="shared" si="7"/>
        <v>10307.414000000001</v>
      </c>
    </row>
    <row r="147" spans="1:10" ht="18.75" customHeight="1" x14ac:dyDescent="0.35">
      <c r="A147" s="4">
        <v>16</v>
      </c>
      <c r="B147" s="4" t="s">
        <v>270</v>
      </c>
      <c r="C147" s="25" t="s">
        <v>271</v>
      </c>
      <c r="D147" s="4">
        <v>2</v>
      </c>
      <c r="E147" s="4"/>
      <c r="F147" s="292">
        <v>32</v>
      </c>
      <c r="G147" s="292"/>
      <c r="H147" s="4">
        <v>15970</v>
      </c>
      <c r="I147" s="26">
        <f t="shared" si="6"/>
        <v>10699.900000000001</v>
      </c>
      <c r="J147" s="29">
        <f t="shared" si="7"/>
        <v>10378.903</v>
      </c>
    </row>
    <row r="148" spans="1:10" ht="18.75" customHeight="1" x14ac:dyDescent="0.35">
      <c r="A148" s="4">
        <v>17</v>
      </c>
      <c r="B148" s="4" t="s">
        <v>272</v>
      </c>
      <c r="C148" s="25" t="s">
        <v>273</v>
      </c>
      <c r="D148" s="4">
        <v>2</v>
      </c>
      <c r="E148" s="4"/>
      <c r="F148" s="292">
        <v>32</v>
      </c>
      <c r="G148" s="292"/>
      <c r="H148" s="4">
        <v>16480</v>
      </c>
      <c r="I148" s="26">
        <f t="shared" si="6"/>
        <v>11041.6</v>
      </c>
      <c r="J148" s="29">
        <f t="shared" si="7"/>
        <v>10710.352000000001</v>
      </c>
    </row>
    <row r="149" spans="1:10" ht="18.75" customHeight="1" x14ac:dyDescent="0.35">
      <c r="A149" s="4">
        <v>18</v>
      </c>
      <c r="B149" s="4" t="s">
        <v>274</v>
      </c>
      <c r="C149" s="25" t="s">
        <v>275</v>
      </c>
      <c r="D149" s="4">
        <v>2</v>
      </c>
      <c r="E149" s="4"/>
      <c r="F149" s="292">
        <v>65</v>
      </c>
      <c r="G149" s="292"/>
      <c r="H149" s="4">
        <v>14940</v>
      </c>
      <c r="I149" s="26">
        <f t="shared" si="6"/>
        <v>10009.800000000001</v>
      </c>
      <c r="J149" s="29">
        <f t="shared" si="7"/>
        <v>9709.5060000000012</v>
      </c>
    </row>
    <row r="150" spans="1:10" ht="18.75" customHeight="1" x14ac:dyDescent="0.35">
      <c r="A150" s="4">
        <v>19</v>
      </c>
      <c r="B150" s="4" t="s">
        <v>276</v>
      </c>
      <c r="C150" s="25" t="s">
        <v>277</v>
      </c>
      <c r="D150" s="4">
        <v>3</v>
      </c>
      <c r="E150" s="4"/>
      <c r="F150" s="292">
        <v>32</v>
      </c>
      <c r="G150" s="292"/>
      <c r="H150" s="4">
        <v>23500</v>
      </c>
      <c r="I150" s="26">
        <f t="shared" si="6"/>
        <v>15745.000000000002</v>
      </c>
      <c r="J150" s="29">
        <f t="shared" si="7"/>
        <v>15272.650000000001</v>
      </c>
    </row>
    <row r="151" spans="1:10" ht="18.75" customHeight="1" x14ac:dyDescent="0.35">
      <c r="A151" s="4">
        <v>20</v>
      </c>
      <c r="B151" s="4" t="s">
        <v>278</v>
      </c>
      <c r="C151" s="25" t="s">
        <v>279</v>
      </c>
      <c r="D151" s="4">
        <v>3</v>
      </c>
      <c r="E151" s="4"/>
      <c r="F151" s="292">
        <v>32</v>
      </c>
      <c r="G151" s="292"/>
      <c r="H151" s="4">
        <v>24000</v>
      </c>
      <c r="I151" s="26">
        <f t="shared" si="6"/>
        <v>16080.000000000002</v>
      </c>
      <c r="J151" s="29">
        <f t="shared" si="7"/>
        <v>15597.600000000002</v>
      </c>
    </row>
    <row r="152" spans="1:10" ht="18.75" customHeight="1" x14ac:dyDescent="0.35">
      <c r="A152" s="4">
        <v>21</v>
      </c>
      <c r="B152" s="4" t="s">
        <v>280</v>
      </c>
      <c r="C152" s="25" t="s">
        <v>281</v>
      </c>
      <c r="D152" s="4">
        <v>3</v>
      </c>
      <c r="E152" s="4"/>
      <c r="F152" s="292">
        <v>32</v>
      </c>
      <c r="G152" s="292"/>
      <c r="H152" s="4">
        <v>24500</v>
      </c>
      <c r="I152" s="26">
        <f t="shared" si="6"/>
        <v>16415</v>
      </c>
      <c r="J152" s="29">
        <f t="shared" si="7"/>
        <v>15922.55</v>
      </c>
    </row>
    <row r="153" spans="1:10" ht="18.75" customHeight="1" x14ac:dyDescent="0.35">
      <c r="A153" s="4">
        <v>22</v>
      </c>
      <c r="B153" s="4" t="s">
        <v>282</v>
      </c>
      <c r="C153" s="25" t="s">
        <v>283</v>
      </c>
      <c r="D153" s="4">
        <v>3</v>
      </c>
      <c r="E153" s="4"/>
      <c r="F153" s="292">
        <v>65</v>
      </c>
      <c r="G153" s="292"/>
      <c r="H153" s="4">
        <v>23690</v>
      </c>
      <c r="I153" s="26">
        <f t="shared" si="6"/>
        <v>15872.300000000001</v>
      </c>
      <c r="J153" s="29">
        <f t="shared" si="7"/>
        <v>15396.131000000001</v>
      </c>
    </row>
    <row r="154" spans="1:10" ht="18.75" customHeight="1" x14ac:dyDescent="0.35">
      <c r="A154" s="4">
        <v>23</v>
      </c>
      <c r="B154" s="4" t="s">
        <v>284</v>
      </c>
      <c r="C154" s="25" t="s">
        <v>283</v>
      </c>
      <c r="D154" s="4">
        <v>3</v>
      </c>
      <c r="E154" s="4"/>
      <c r="F154" s="292">
        <v>65</v>
      </c>
      <c r="G154" s="292"/>
      <c r="H154" s="4">
        <v>15450</v>
      </c>
      <c r="I154" s="26">
        <f t="shared" si="6"/>
        <v>10351.5</v>
      </c>
      <c r="J154" s="29">
        <f t="shared" si="7"/>
        <v>10040.955</v>
      </c>
    </row>
    <row r="155" spans="1:10" ht="18.75" customHeight="1" x14ac:dyDescent="0.35">
      <c r="A155" s="300" t="s">
        <v>285</v>
      </c>
      <c r="B155" s="300"/>
      <c r="C155" s="300"/>
      <c r="D155" s="300"/>
      <c r="E155" s="300"/>
      <c r="F155" s="300"/>
      <c r="G155" s="300"/>
      <c r="H155" s="305" t="s">
        <v>109</v>
      </c>
      <c r="I155" s="299" t="s">
        <v>504</v>
      </c>
      <c r="J155" s="299"/>
    </row>
    <row r="156" spans="1:10" ht="18.75" customHeight="1" x14ac:dyDescent="0.35">
      <c r="A156" s="287" t="s">
        <v>2</v>
      </c>
      <c r="B156" s="287" t="s">
        <v>3</v>
      </c>
      <c r="C156" s="298" t="s">
        <v>4</v>
      </c>
      <c r="D156" s="287" t="s">
        <v>5</v>
      </c>
      <c r="E156" s="287"/>
      <c r="F156" s="287" t="s">
        <v>6</v>
      </c>
      <c r="G156" s="287"/>
      <c r="H156" s="305"/>
      <c r="I156" s="299"/>
      <c r="J156" s="299"/>
    </row>
    <row r="157" spans="1:10" ht="18.75" customHeight="1" x14ac:dyDescent="0.35">
      <c r="A157" s="287"/>
      <c r="B157" s="287"/>
      <c r="C157" s="298"/>
      <c r="D157" s="11" t="s">
        <v>9</v>
      </c>
      <c r="E157" s="11" t="s">
        <v>10</v>
      </c>
      <c r="F157" s="11" t="s">
        <v>11</v>
      </c>
      <c r="G157" s="11" t="s">
        <v>12</v>
      </c>
      <c r="H157" s="305"/>
      <c r="I157" s="41">
        <v>0.33</v>
      </c>
      <c r="J157" s="41">
        <v>0.03</v>
      </c>
    </row>
    <row r="158" spans="1:10" ht="18.75" customHeight="1" x14ac:dyDescent="0.35">
      <c r="A158" s="4">
        <v>1</v>
      </c>
      <c r="B158" s="4" t="s">
        <v>286</v>
      </c>
      <c r="C158" s="25" t="s">
        <v>287</v>
      </c>
      <c r="D158" s="4">
        <v>0.5</v>
      </c>
      <c r="E158" s="4"/>
      <c r="F158" s="292">
        <v>32</v>
      </c>
      <c r="G158" s="292"/>
      <c r="H158" s="4">
        <v>6800</v>
      </c>
      <c r="I158" s="26">
        <f t="shared" ref="I158:I174" si="8">H158*0.67</f>
        <v>4556</v>
      </c>
      <c r="J158" s="29">
        <f t="shared" ref="J158:J174" si="9">I158*0.97</f>
        <v>4419.32</v>
      </c>
    </row>
    <row r="159" spans="1:10" ht="18.75" customHeight="1" x14ac:dyDescent="0.35">
      <c r="A159" s="4">
        <v>2</v>
      </c>
      <c r="B159" s="4" t="s">
        <v>288</v>
      </c>
      <c r="C159" s="25" t="s">
        <v>289</v>
      </c>
      <c r="D159" s="4">
        <v>0.5</v>
      </c>
      <c r="E159" s="4"/>
      <c r="F159" s="292">
        <v>32</v>
      </c>
      <c r="G159" s="292"/>
      <c r="H159" s="4">
        <v>7600</v>
      </c>
      <c r="I159" s="26">
        <f t="shared" si="8"/>
        <v>5092</v>
      </c>
      <c r="J159" s="29">
        <f t="shared" si="9"/>
        <v>4939.24</v>
      </c>
    </row>
    <row r="160" spans="1:10" ht="18.75" customHeight="1" x14ac:dyDescent="0.35">
      <c r="A160" s="4">
        <v>3</v>
      </c>
      <c r="B160" s="4" t="s">
        <v>290</v>
      </c>
      <c r="C160" s="25" t="s">
        <v>291</v>
      </c>
      <c r="D160" s="4">
        <v>0.75</v>
      </c>
      <c r="E160" s="4"/>
      <c r="F160" s="292">
        <v>32</v>
      </c>
      <c r="G160" s="292"/>
      <c r="H160" s="4">
        <v>7800</v>
      </c>
      <c r="I160" s="26">
        <f t="shared" si="8"/>
        <v>5226</v>
      </c>
      <c r="J160" s="29">
        <f t="shared" si="9"/>
        <v>5069.22</v>
      </c>
    </row>
    <row r="161" spans="1:10" ht="18.75" customHeight="1" x14ac:dyDescent="0.35">
      <c r="A161" s="4">
        <v>4</v>
      </c>
      <c r="B161" s="4" t="s">
        <v>292</v>
      </c>
      <c r="C161" s="25" t="s">
        <v>293</v>
      </c>
      <c r="D161" s="4">
        <v>0.75</v>
      </c>
      <c r="E161" s="4"/>
      <c r="F161" s="292">
        <v>32</v>
      </c>
      <c r="G161" s="292"/>
      <c r="H161" s="4">
        <v>8000</v>
      </c>
      <c r="I161" s="26">
        <f t="shared" si="8"/>
        <v>5360</v>
      </c>
      <c r="J161" s="29">
        <f t="shared" si="9"/>
        <v>5199.2</v>
      </c>
    </row>
    <row r="162" spans="1:10" ht="18.75" customHeight="1" x14ac:dyDescent="0.35">
      <c r="A162" s="4">
        <v>5</v>
      </c>
      <c r="B162" s="4" t="s">
        <v>294</v>
      </c>
      <c r="C162" s="25" t="s">
        <v>295</v>
      </c>
      <c r="D162" s="4">
        <v>1</v>
      </c>
      <c r="E162" s="4"/>
      <c r="F162" s="292">
        <v>32</v>
      </c>
      <c r="G162" s="292"/>
      <c r="H162" s="4">
        <v>8200</v>
      </c>
      <c r="I162" s="26">
        <f t="shared" si="8"/>
        <v>5494</v>
      </c>
      <c r="J162" s="29">
        <f t="shared" si="9"/>
        <v>5329.18</v>
      </c>
    </row>
    <row r="163" spans="1:10" ht="18.75" customHeight="1" x14ac:dyDescent="0.35">
      <c r="A163" s="4">
        <v>6</v>
      </c>
      <c r="B163" s="4" t="s">
        <v>296</v>
      </c>
      <c r="C163" s="25" t="s">
        <v>297</v>
      </c>
      <c r="D163" s="4">
        <v>1</v>
      </c>
      <c r="E163" s="4"/>
      <c r="F163" s="292">
        <v>32</v>
      </c>
      <c r="G163" s="292"/>
      <c r="H163" s="4">
        <v>8400</v>
      </c>
      <c r="I163" s="26">
        <f t="shared" si="8"/>
        <v>5628</v>
      </c>
      <c r="J163" s="29">
        <f t="shared" si="9"/>
        <v>5459.16</v>
      </c>
    </row>
    <row r="164" spans="1:10" ht="18.75" customHeight="1" x14ac:dyDescent="0.35">
      <c r="A164" s="4">
        <v>7</v>
      </c>
      <c r="B164" s="4" t="s">
        <v>298</v>
      </c>
      <c r="C164" s="25" t="s">
        <v>299</v>
      </c>
      <c r="D164" s="4">
        <v>1</v>
      </c>
      <c r="E164" s="4"/>
      <c r="F164" s="292">
        <v>32</v>
      </c>
      <c r="G164" s="292"/>
      <c r="H164" s="4">
        <v>8600</v>
      </c>
      <c r="I164" s="26">
        <f t="shared" si="8"/>
        <v>5762</v>
      </c>
      <c r="J164" s="29">
        <f t="shared" si="9"/>
        <v>5589.1399999999994</v>
      </c>
    </row>
    <row r="165" spans="1:10" ht="18.75" customHeight="1" x14ac:dyDescent="0.35">
      <c r="A165" s="4">
        <v>8</v>
      </c>
      <c r="B165" s="4" t="s">
        <v>300</v>
      </c>
      <c r="C165" s="25" t="s">
        <v>301</v>
      </c>
      <c r="D165" s="4">
        <v>1.5</v>
      </c>
      <c r="E165" s="4"/>
      <c r="F165" s="292">
        <v>32</v>
      </c>
      <c r="G165" s="292"/>
      <c r="H165" s="4">
        <v>9000</v>
      </c>
      <c r="I165" s="26">
        <f t="shared" si="8"/>
        <v>6030</v>
      </c>
      <c r="J165" s="29">
        <f t="shared" si="9"/>
        <v>5849.0999999999995</v>
      </c>
    </row>
    <row r="166" spans="1:10" ht="18.75" customHeight="1" x14ac:dyDescent="0.35">
      <c r="A166" s="4">
        <v>9</v>
      </c>
      <c r="B166" s="4" t="s">
        <v>302</v>
      </c>
      <c r="C166" s="25" t="s">
        <v>303</v>
      </c>
      <c r="D166" s="4">
        <v>1.5</v>
      </c>
      <c r="E166" s="4"/>
      <c r="F166" s="292">
        <v>32</v>
      </c>
      <c r="G166" s="292"/>
      <c r="H166" s="4">
        <v>10600</v>
      </c>
      <c r="I166" s="26">
        <f t="shared" si="8"/>
        <v>7102</v>
      </c>
      <c r="J166" s="29">
        <f t="shared" si="9"/>
        <v>6888.94</v>
      </c>
    </row>
    <row r="167" spans="1:10" ht="18.75" customHeight="1" x14ac:dyDescent="0.35">
      <c r="A167" s="4">
        <v>10</v>
      </c>
      <c r="B167" s="4" t="s">
        <v>304</v>
      </c>
      <c r="C167" s="25" t="s">
        <v>305</v>
      </c>
      <c r="D167" s="4">
        <v>1.5</v>
      </c>
      <c r="E167" s="4"/>
      <c r="F167" s="292">
        <v>32</v>
      </c>
      <c r="G167" s="292"/>
      <c r="H167" s="4">
        <v>11000</v>
      </c>
      <c r="I167" s="26">
        <f t="shared" si="8"/>
        <v>7370</v>
      </c>
      <c r="J167" s="29">
        <f t="shared" si="9"/>
        <v>7148.9</v>
      </c>
    </row>
    <row r="168" spans="1:10" ht="18.75" customHeight="1" x14ac:dyDescent="0.35">
      <c r="A168" s="4">
        <v>11</v>
      </c>
      <c r="B168" s="4" t="s">
        <v>306</v>
      </c>
      <c r="C168" s="25" t="s">
        <v>307</v>
      </c>
      <c r="D168" s="4">
        <v>2</v>
      </c>
      <c r="E168" s="4"/>
      <c r="F168" s="292">
        <v>32</v>
      </c>
      <c r="G168" s="292"/>
      <c r="H168" s="4">
        <v>13000</v>
      </c>
      <c r="I168" s="26">
        <f t="shared" si="8"/>
        <v>8710</v>
      </c>
      <c r="J168" s="29">
        <f t="shared" si="9"/>
        <v>8448.6999999999989</v>
      </c>
    </row>
    <row r="169" spans="1:10" ht="18.75" customHeight="1" x14ac:dyDescent="0.35">
      <c r="A169" s="4">
        <v>12</v>
      </c>
      <c r="B169" s="4" t="s">
        <v>308</v>
      </c>
      <c r="C169" s="25" t="s">
        <v>309</v>
      </c>
      <c r="D169" s="4">
        <v>2</v>
      </c>
      <c r="E169" s="4"/>
      <c r="F169" s="292">
        <v>32</v>
      </c>
      <c r="G169" s="292"/>
      <c r="H169" s="4">
        <v>15500</v>
      </c>
      <c r="I169" s="26">
        <f t="shared" si="8"/>
        <v>10385</v>
      </c>
      <c r="J169" s="29">
        <f t="shared" si="9"/>
        <v>10073.449999999999</v>
      </c>
    </row>
    <row r="170" spans="1:10" ht="18.75" customHeight="1" x14ac:dyDescent="0.35">
      <c r="A170" s="4">
        <v>13</v>
      </c>
      <c r="B170" s="4" t="s">
        <v>310</v>
      </c>
      <c r="C170" s="25" t="s">
        <v>311</v>
      </c>
      <c r="D170" s="4">
        <v>3</v>
      </c>
      <c r="E170" s="4"/>
      <c r="F170" s="292">
        <v>32</v>
      </c>
      <c r="G170" s="292"/>
      <c r="H170" s="4">
        <v>19000</v>
      </c>
      <c r="I170" s="26">
        <f t="shared" si="8"/>
        <v>12730</v>
      </c>
      <c r="J170" s="29">
        <f t="shared" si="9"/>
        <v>12348.1</v>
      </c>
    </row>
    <row r="171" spans="1:10" ht="18.75" customHeight="1" x14ac:dyDescent="0.35">
      <c r="A171" s="4">
        <v>14</v>
      </c>
      <c r="B171" s="4" t="s">
        <v>312</v>
      </c>
      <c r="C171" s="25" t="s">
        <v>313</v>
      </c>
      <c r="D171" s="4">
        <v>3</v>
      </c>
      <c r="E171" s="4"/>
      <c r="F171" s="292">
        <v>32</v>
      </c>
      <c r="G171" s="292"/>
      <c r="H171" s="4">
        <v>20000</v>
      </c>
      <c r="I171" s="26">
        <f t="shared" si="8"/>
        <v>13400</v>
      </c>
      <c r="J171" s="29">
        <f t="shared" si="9"/>
        <v>12998</v>
      </c>
    </row>
    <row r="172" spans="1:10" ht="18.75" customHeight="1" x14ac:dyDescent="0.35">
      <c r="A172" s="4">
        <v>15</v>
      </c>
      <c r="B172" s="4" t="s">
        <v>314</v>
      </c>
      <c r="C172" s="25" t="s">
        <v>315</v>
      </c>
      <c r="D172" s="4">
        <v>3</v>
      </c>
      <c r="E172" s="4"/>
      <c r="F172" s="292">
        <v>32</v>
      </c>
      <c r="G172" s="292"/>
      <c r="H172" s="4">
        <v>20500</v>
      </c>
      <c r="I172" s="26">
        <f t="shared" si="8"/>
        <v>13735</v>
      </c>
      <c r="J172" s="29">
        <f t="shared" si="9"/>
        <v>13322.949999999999</v>
      </c>
    </row>
    <row r="173" spans="1:10" ht="18.75" customHeight="1" x14ac:dyDescent="0.35">
      <c r="A173" s="28">
        <v>14</v>
      </c>
      <c r="B173" s="28" t="s">
        <v>312</v>
      </c>
      <c r="C173" s="27" t="s">
        <v>313</v>
      </c>
      <c r="D173" s="28">
        <v>3</v>
      </c>
      <c r="E173" s="28"/>
      <c r="F173" s="291">
        <v>32</v>
      </c>
      <c r="G173" s="291"/>
      <c r="H173" s="94">
        <v>12600</v>
      </c>
      <c r="I173" s="26">
        <f t="shared" si="8"/>
        <v>8442</v>
      </c>
      <c r="J173" s="29">
        <f t="shared" si="9"/>
        <v>8188.74</v>
      </c>
    </row>
    <row r="174" spans="1:10" ht="18.75" customHeight="1" x14ac:dyDescent="0.35">
      <c r="A174" s="28">
        <v>15</v>
      </c>
      <c r="B174" s="28" t="s">
        <v>314</v>
      </c>
      <c r="C174" s="27" t="s">
        <v>315</v>
      </c>
      <c r="D174" s="28">
        <v>3</v>
      </c>
      <c r="E174" s="28"/>
      <c r="F174" s="291">
        <v>32</v>
      </c>
      <c r="G174" s="291"/>
      <c r="H174" s="94">
        <v>12915</v>
      </c>
      <c r="I174" s="26">
        <f t="shared" si="8"/>
        <v>8653.0500000000011</v>
      </c>
      <c r="J174" s="29">
        <f t="shared" si="9"/>
        <v>8393.4585000000006</v>
      </c>
    </row>
  </sheetData>
  <mergeCells count="108">
    <mergeCell ref="I7:J7"/>
    <mergeCell ref="I8:J8"/>
    <mergeCell ref="I9:J9"/>
    <mergeCell ref="I10:J10"/>
    <mergeCell ref="I26:J26"/>
    <mergeCell ref="I27:J27"/>
    <mergeCell ref="A1:J3"/>
    <mergeCell ref="A4:J4"/>
    <mergeCell ref="A5:A6"/>
    <mergeCell ref="B5:B6"/>
    <mergeCell ref="C5:C6"/>
    <mergeCell ref="D5:E5"/>
    <mergeCell ref="F5:G5"/>
    <mergeCell ref="H5:H6"/>
    <mergeCell ref="I5:J5"/>
    <mergeCell ref="I31:J31"/>
    <mergeCell ref="I32:J32"/>
    <mergeCell ref="I47:J47"/>
    <mergeCell ref="A55:G55"/>
    <mergeCell ref="H55:H57"/>
    <mergeCell ref="I55:J56"/>
    <mergeCell ref="A56:A57"/>
    <mergeCell ref="B56:B57"/>
    <mergeCell ref="C56:C57"/>
    <mergeCell ref="D56:E56"/>
    <mergeCell ref="D74:D91"/>
    <mergeCell ref="E74:E91"/>
    <mergeCell ref="D92:D103"/>
    <mergeCell ref="E92:E103"/>
    <mergeCell ref="D104:D106"/>
    <mergeCell ref="E104:E106"/>
    <mergeCell ref="F56:G56"/>
    <mergeCell ref="D58:D59"/>
    <mergeCell ref="E58:E59"/>
    <mergeCell ref="D61:D66"/>
    <mergeCell ref="E61:E66"/>
    <mergeCell ref="D67:D73"/>
    <mergeCell ref="E67:E73"/>
    <mergeCell ref="I114:J115"/>
    <mergeCell ref="A115:A116"/>
    <mergeCell ref="B115:B116"/>
    <mergeCell ref="C115:C116"/>
    <mergeCell ref="D115:E115"/>
    <mergeCell ref="F115:G115"/>
    <mergeCell ref="D108:D109"/>
    <mergeCell ref="E108:E109"/>
    <mergeCell ref="D110:D113"/>
    <mergeCell ref="E110:E113"/>
    <mergeCell ref="A114:G114"/>
    <mergeCell ref="H114:H116"/>
    <mergeCell ref="I117:J117"/>
    <mergeCell ref="I118:J118"/>
    <mergeCell ref="A129:G129"/>
    <mergeCell ref="H129:H131"/>
    <mergeCell ref="I129:J130"/>
    <mergeCell ref="A130:A131"/>
    <mergeCell ref="B130:B131"/>
    <mergeCell ref="C130:C131"/>
    <mergeCell ref="D130:E130"/>
    <mergeCell ref="F130:G131"/>
    <mergeCell ref="F138:G138"/>
    <mergeCell ref="F139:G139"/>
    <mergeCell ref="F140:G140"/>
    <mergeCell ref="F141:G141"/>
    <mergeCell ref="F142:G142"/>
    <mergeCell ref="F143:G143"/>
    <mergeCell ref="F132:G132"/>
    <mergeCell ref="F133:G133"/>
    <mergeCell ref="F134:G134"/>
    <mergeCell ref="F135:G135"/>
    <mergeCell ref="F136:G136"/>
    <mergeCell ref="F137:G137"/>
    <mergeCell ref="F150:G150"/>
    <mergeCell ref="F151:G151"/>
    <mergeCell ref="F152:G152"/>
    <mergeCell ref="F153:G153"/>
    <mergeCell ref="F154:G154"/>
    <mergeCell ref="A155:G155"/>
    <mergeCell ref="F144:G144"/>
    <mergeCell ref="F145:G145"/>
    <mergeCell ref="F146:G146"/>
    <mergeCell ref="F147:G147"/>
    <mergeCell ref="F148:G148"/>
    <mergeCell ref="F149:G149"/>
    <mergeCell ref="F158:G158"/>
    <mergeCell ref="F159:G159"/>
    <mergeCell ref="F160:G160"/>
    <mergeCell ref="F161:G161"/>
    <mergeCell ref="F162:G162"/>
    <mergeCell ref="F163:G163"/>
    <mergeCell ref="H155:H157"/>
    <mergeCell ref="I155:J156"/>
    <mergeCell ref="A156:A157"/>
    <mergeCell ref="B156:B157"/>
    <mergeCell ref="C156:C157"/>
    <mergeCell ref="D156:E156"/>
    <mergeCell ref="F156:G156"/>
    <mergeCell ref="F170:G170"/>
    <mergeCell ref="F171:G171"/>
    <mergeCell ref="F172:G172"/>
    <mergeCell ref="F173:G173"/>
    <mergeCell ref="F174:G174"/>
    <mergeCell ref="F164:G164"/>
    <mergeCell ref="F165:G165"/>
    <mergeCell ref="F166:G166"/>
    <mergeCell ref="F167:G167"/>
    <mergeCell ref="F168:G168"/>
    <mergeCell ref="F169:G169"/>
  </mergeCells>
  <conditionalFormatting sqref="B7:B172">
    <cfRule type="duplicateValues" dxfId="42" priority="1"/>
  </conditionalFormatting>
  <pageMargins left="0.7" right="0.7" top="0.75" bottom="0.75" header="0.3" footer="0.3"/>
  <pageSetup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174"/>
  <sheetViews>
    <sheetView workbookViewId="0">
      <selection activeCell="M10" sqref="M10"/>
    </sheetView>
  </sheetViews>
  <sheetFormatPr defaultRowHeight="20.25" customHeight="1" x14ac:dyDescent="0.35"/>
  <cols>
    <col min="2" max="2" width="12.81640625" customWidth="1"/>
    <col min="3" max="3" width="20.81640625" customWidth="1"/>
  </cols>
  <sheetData>
    <row r="1" spans="1:10" ht="20.25" customHeight="1" x14ac:dyDescent="0.35">
      <c r="A1" s="203" t="s">
        <v>0</v>
      </c>
      <c r="B1" s="204"/>
      <c r="C1" s="204"/>
      <c r="D1" s="204"/>
      <c r="E1" s="204"/>
      <c r="F1" s="204"/>
      <c r="G1" s="204"/>
      <c r="H1" s="204"/>
      <c r="I1" s="204"/>
      <c r="J1" s="204"/>
    </row>
    <row r="2" spans="1:10" ht="20.25" customHeight="1" x14ac:dyDescent="0.35">
      <c r="A2" s="203"/>
      <c r="B2" s="204"/>
      <c r="C2" s="204"/>
      <c r="D2" s="204"/>
      <c r="E2" s="204"/>
      <c r="F2" s="204"/>
      <c r="G2" s="204"/>
      <c r="H2" s="204"/>
      <c r="I2" s="204"/>
      <c r="J2" s="204"/>
    </row>
    <row r="3" spans="1:10" ht="20.25" customHeight="1" x14ac:dyDescent="0.35">
      <c r="A3" s="203"/>
      <c r="B3" s="204"/>
      <c r="C3" s="204"/>
      <c r="D3" s="204"/>
      <c r="E3" s="204"/>
      <c r="F3" s="204"/>
      <c r="G3" s="204"/>
      <c r="H3" s="204"/>
      <c r="I3" s="204"/>
      <c r="J3" s="204"/>
    </row>
    <row r="4" spans="1:10" ht="24.75" customHeight="1" x14ac:dyDescent="0.35">
      <c r="A4" s="313" t="s">
        <v>532</v>
      </c>
      <c r="B4" s="314"/>
      <c r="C4" s="314"/>
      <c r="D4" s="314"/>
      <c r="E4" s="314"/>
      <c r="F4" s="314"/>
      <c r="G4" s="314"/>
      <c r="H4" s="314"/>
      <c r="I4" s="314"/>
      <c r="J4" s="314"/>
    </row>
    <row r="5" spans="1:10" ht="20.25" customHeight="1" x14ac:dyDescent="0.35">
      <c r="A5" s="287" t="s">
        <v>2</v>
      </c>
      <c r="B5" s="287" t="s">
        <v>3</v>
      </c>
      <c r="C5" s="287" t="s">
        <v>4</v>
      </c>
      <c r="D5" s="287" t="s">
        <v>5</v>
      </c>
      <c r="E5" s="287"/>
      <c r="F5" s="287" t="s">
        <v>6</v>
      </c>
      <c r="G5" s="287"/>
      <c r="H5" s="287" t="s">
        <v>7</v>
      </c>
      <c r="I5" s="80" t="s">
        <v>504</v>
      </c>
      <c r="J5" s="81"/>
    </row>
    <row r="6" spans="1:10" ht="27.75" customHeight="1" x14ac:dyDescent="0.35">
      <c r="A6" s="287"/>
      <c r="B6" s="287"/>
      <c r="C6" s="287"/>
      <c r="D6" s="11" t="s">
        <v>9</v>
      </c>
      <c r="E6" s="11" t="s">
        <v>10</v>
      </c>
      <c r="F6" s="11" t="s">
        <v>11</v>
      </c>
      <c r="G6" s="11" t="s">
        <v>12</v>
      </c>
      <c r="H6" s="287"/>
      <c r="I6" s="41">
        <v>0.37</v>
      </c>
      <c r="J6" s="41">
        <v>0.03</v>
      </c>
    </row>
    <row r="7" spans="1:10" ht="20.25" customHeight="1" x14ac:dyDescent="0.35">
      <c r="A7" s="42">
        <v>1</v>
      </c>
      <c r="B7" s="43" t="s">
        <v>13</v>
      </c>
      <c r="C7" s="44" t="s">
        <v>14</v>
      </c>
      <c r="D7" s="82">
        <v>0.5</v>
      </c>
      <c r="E7" s="82">
        <v>0.37</v>
      </c>
      <c r="F7" s="82">
        <v>25</v>
      </c>
      <c r="G7" s="82">
        <v>25</v>
      </c>
      <c r="H7" s="46">
        <v>2640</v>
      </c>
      <c r="I7" s="309">
        <f>H7*0.63</f>
        <v>1663.2</v>
      </c>
      <c r="J7" s="309"/>
    </row>
    <row r="8" spans="1:10" ht="20.25" customHeight="1" x14ac:dyDescent="0.35">
      <c r="A8" s="42">
        <v>2</v>
      </c>
      <c r="B8" s="43" t="s">
        <v>15</v>
      </c>
      <c r="C8" s="44" t="s">
        <v>16</v>
      </c>
      <c r="D8" s="82">
        <v>1</v>
      </c>
      <c r="E8" s="82">
        <v>0.75</v>
      </c>
      <c r="F8" s="82">
        <v>25</v>
      </c>
      <c r="G8" s="82">
        <v>25</v>
      </c>
      <c r="H8" s="46">
        <v>3420</v>
      </c>
      <c r="I8" s="309">
        <f t="shared" ref="I8:I54" si="0">H8*0.63</f>
        <v>2154.6</v>
      </c>
      <c r="J8" s="309"/>
    </row>
    <row r="9" spans="1:10" ht="20.25" customHeight="1" x14ac:dyDescent="0.35">
      <c r="A9" s="43">
        <v>3</v>
      </c>
      <c r="B9" s="43" t="s">
        <v>17</v>
      </c>
      <c r="C9" s="44" t="s">
        <v>18</v>
      </c>
      <c r="D9" s="82">
        <v>0.5</v>
      </c>
      <c r="E9" s="82">
        <v>0.37</v>
      </c>
      <c r="F9" s="82">
        <v>25</v>
      </c>
      <c r="G9" s="82">
        <v>25</v>
      </c>
      <c r="H9" s="46">
        <v>2840</v>
      </c>
      <c r="I9" s="309">
        <f t="shared" si="0"/>
        <v>1789.2</v>
      </c>
      <c r="J9" s="309"/>
    </row>
    <row r="10" spans="1:10" ht="20.25" customHeight="1" x14ac:dyDescent="0.35">
      <c r="A10" s="42">
        <v>4</v>
      </c>
      <c r="B10" s="43" t="s">
        <v>19</v>
      </c>
      <c r="C10" s="44" t="s">
        <v>20</v>
      </c>
      <c r="D10" s="82">
        <v>1</v>
      </c>
      <c r="E10" s="82">
        <v>0.75</v>
      </c>
      <c r="F10" s="82">
        <v>25</v>
      </c>
      <c r="G10" s="82">
        <v>25</v>
      </c>
      <c r="H10" s="46">
        <v>3660</v>
      </c>
      <c r="I10" s="309">
        <f t="shared" si="0"/>
        <v>2305.8000000000002</v>
      </c>
      <c r="J10" s="309"/>
    </row>
    <row r="11" spans="1:10" ht="20.25" customHeight="1" x14ac:dyDescent="0.35">
      <c r="A11" s="42">
        <v>5</v>
      </c>
      <c r="B11" s="42" t="s">
        <v>21</v>
      </c>
      <c r="C11" s="48" t="s">
        <v>22</v>
      </c>
      <c r="D11" s="82">
        <v>0.5</v>
      </c>
      <c r="E11" s="82">
        <v>0.37</v>
      </c>
      <c r="F11" s="82">
        <v>25</v>
      </c>
      <c r="G11" s="82">
        <v>25</v>
      </c>
      <c r="H11" s="83">
        <v>3160</v>
      </c>
      <c r="I11" s="47">
        <f t="shared" si="0"/>
        <v>1990.8</v>
      </c>
      <c r="J11" s="84">
        <f>I11*0.97</f>
        <v>1931.0759999999998</v>
      </c>
    </row>
    <row r="12" spans="1:10" ht="20.25" customHeight="1" x14ac:dyDescent="0.35">
      <c r="A12" s="42">
        <v>6</v>
      </c>
      <c r="B12" s="42" t="s">
        <v>23</v>
      </c>
      <c r="C12" s="48" t="s">
        <v>24</v>
      </c>
      <c r="D12" s="82">
        <v>1</v>
      </c>
      <c r="E12" s="82">
        <v>0.75</v>
      </c>
      <c r="F12" s="82">
        <v>25</v>
      </c>
      <c r="G12" s="82">
        <v>25</v>
      </c>
      <c r="H12" s="83">
        <v>4120</v>
      </c>
      <c r="I12" s="47">
        <f t="shared" si="0"/>
        <v>2595.6</v>
      </c>
      <c r="J12" s="84">
        <f t="shared" ref="J12:J25" si="1">I12*0.97</f>
        <v>2517.732</v>
      </c>
    </row>
    <row r="13" spans="1:10" ht="20.25" customHeight="1" x14ac:dyDescent="0.35">
      <c r="A13" s="43">
        <v>7</v>
      </c>
      <c r="B13" s="43" t="s">
        <v>25</v>
      </c>
      <c r="C13" s="44" t="s">
        <v>26</v>
      </c>
      <c r="D13" s="82">
        <v>1.5</v>
      </c>
      <c r="E13" s="82">
        <v>1</v>
      </c>
      <c r="F13" s="82">
        <v>25</v>
      </c>
      <c r="G13" s="82">
        <v>25</v>
      </c>
      <c r="H13" s="83">
        <v>5750</v>
      </c>
      <c r="I13" s="47">
        <f t="shared" si="0"/>
        <v>3622.5</v>
      </c>
      <c r="J13" s="84">
        <f t="shared" si="1"/>
        <v>3513.8249999999998</v>
      </c>
    </row>
    <row r="14" spans="1:10" ht="20.25" customHeight="1" x14ac:dyDescent="0.35">
      <c r="A14" s="42">
        <v>8</v>
      </c>
      <c r="B14" s="42" t="s">
        <v>27</v>
      </c>
      <c r="C14" s="48" t="s">
        <v>28</v>
      </c>
      <c r="D14" s="82">
        <v>0.5</v>
      </c>
      <c r="E14" s="82">
        <v>0.37</v>
      </c>
      <c r="F14" s="82">
        <v>25</v>
      </c>
      <c r="G14" s="82">
        <v>25</v>
      </c>
      <c r="H14" s="83">
        <v>3520</v>
      </c>
      <c r="I14" s="47">
        <f t="shared" si="0"/>
        <v>2217.6</v>
      </c>
      <c r="J14" s="84">
        <f t="shared" si="1"/>
        <v>2151.0719999999997</v>
      </c>
    </row>
    <row r="15" spans="1:10" ht="20.25" customHeight="1" x14ac:dyDescent="0.35">
      <c r="A15" s="42">
        <v>9</v>
      </c>
      <c r="B15" s="43" t="s">
        <v>29</v>
      </c>
      <c r="C15" s="50" t="s">
        <v>30</v>
      </c>
      <c r="D15" s="82">
        <v>1</v>
      </c>
      <c r="E15" s="82">
        <v>0.75</v>
      </c>
      <c r="F15" s="82">
        <v>25</v>
      </c>
      <c r="G15" s="82">
        <v>25</v>
      </c>
      <c r="H15" s="83">
        <v>3660</v>
      </c>
      <c r="I15" s="47">
        <f t="shared" si="0"/>
        <v>2305.8000000000002</v>
      </c>
      <c r="J15" s="84">
        <f t="shared" si="1"/>
        <v>2236.6260000000002</v>
      </c>
    </row>
    <row r="16" spans="1:10" ht="20.25" customHeight="1" x14ac:dyDescent="0.35">
      <c r="A16" s="42">
        <v>10</v>
      </c>
      <c r="B16" s="43" t="s">
        <v>31</v>
      </c>
      <c r="C16" s="44" t="s">
        <v>32</v>
      </c>
      <c r="D16" s="82">
        <v>1</v>
      </c>
      <c r="E16" s="82">
        <v>0.75</v>
      </c>
      <c r="F16" s="82">
        <v>25</v>
      </c>
      <c r="G16" s="82">
        <v>25</v>
      </c>
      <c r="H16" s="83">
        <v>4220</v>
      </c>
      <c r="I16" s="47">
        <f t="shared" si="0"/>
        <v>2658.6</v>
      </c>
      <c r="J16" s="84">
        <f t="shared" si="1"/>
        <v>2578.8419999999996</v>
      </c>
    </row>
    <row r="17" spans="1:10" ht="20.25" customHeight="1" x14ac:dyDescent="0.35">
      <c r="A17" s="43">
        <v>11</v>
      </c>
      <c r="B17" s="42" t="s">
        <v>33</v>
      </c>
      <c r="C17" s="48" t="s">
        <v>34</v>
      </c>
      <c r="D17" s="82">
        <v>0.75</v>
      </c>
      <c r="E17" s="82">
        <v>0.56000000000000005</v>
      </c>
      <c r="F17" s="82">
        <v>25</v>
      </c>
      <c r="G17" s="82">
        <v>25</v>
      </c>
      <c r="H17" s="83">
        <v>4080</v>
      </c>
      <c r="I17" s="47">
        <f t="shared" si="0"/>
        <v>2570.4</v>
      </c>
      <c r="J17" s="84">
        <f t="shared" si="1"/>
        <v>2493.288</v>
      </c>
    </row>
    <row r="18" spans="1:10" ht="20.25" customHeight="1" x14ac:dyDescent="0.35">
      <c r="A18" s="42">
        <v>12</v>
      </c>
      <c r="B18" s="43" t="s">
        <v>35</v>
      </c>
      <c r="C18" s="51" t="s">
        <v>36</v>
      </c>
      <c r="D18" s="82">
        <v>1</v>
      </c>
      <c r="E18" s="82">
        <v>0.75</v>
      </c>
      <c r="F18" s="82">
        <v>25</v>
      </c>
      <c r="G18" s="82">
        <v>25</v>
      </c>
      <c r="H18" s="83">
        <v>4730</v>
      </c>
      <c r="I18" s="47">
        <f t="shared" si="0"/>
        <v>2979.9</v>
      </c>
      <c r="J18" s="84">
        <f t="shared" si="1"/>
        <v>2890.5030000000002</v>
      </c>
    </row>
    <row r="19" spans="1:10" ht="20.25" customHeight="1" x14ac:dyDescent="0.35">
      <c r="A19" s="42">
        <v>13</v>
      </c>
      <c r="B19" s="43" t="s">
        <v>37</v>
      </c>
      <c r="C19" s="51" t="s">
        <v>38</v>
      </c>
      <c r="D19" s="82">
        <v>1</v>
      </c>
      <c r="E19" s="82">
        <v>0.75</v>
      </c>
      <c r="F19" s="82">
        <v>25</v>
      </c>
      <c r="G19" s="82">
        <v>25</v>
      </c>
      <c r="H19" s="83">
        <v>4730</v>
      </c>
      <c r="I19" s="47">
        <f t="shared" si="0"/>
        <v>2979.9</v>
      </c>
      <c r="J19" s="84">
        <f t="shared" si="1"/>
        <v>2890.5030000000002</v>
      </c>
    </row>
    <row r="20" spans="1:10" ht="20.25" customHeight="1" x14ac:dyDescent="0.35">
      <c r="A20" s="42">
        <v>14</v>
      </c>
      <c r="B20" s="42" t="s">
        <v>39</v>
      </c>
      <c r="C20" s="48" t="s">
        <v>40</v>
      </c>
      <c r="D20" s="82">
        <v>1</v>
      </c>
      <c r="E20" s="82">
        <v>0.75</v>
      </c>
      <c r="F20" s="82">
        <v>25</v>
      </c>
      <c r="G20" s="82">
        <v>25</v>
      </c>
      <c r="H20" s="83">
        <v>5170</v>
      </c>
      <c r="I20" s="47">
        <f t="shared" si="0"/>
        <v>3257.1</v>
      </c>
      <c r="J20" s="84">
        <f t="shared" si="1"/>
        <v>3159.3869999999997</v>
      </c>
    </row>
    <row r="21" spans="1:10" ht="20.25" customHeight="1" x14ac:dyDescent="0.35">
      <c r="A21" s="43">
        <v>15</v>
      </c>
      <c r="B21" s="42" t="s">
        <v>41</v>
      </c>
      <c r="C21" s="48" t="s">
        <v>42</v>
      </c>
      <c r="D21" s="82">
        <v>1</v>
      </c>
      <c r="E21" s="82">
        <v>0.75</v>
      </c>
      <c r="F21" s="82">
        <v>25</v>
      </c>
      <c r="G21" s="82">
        <v>25</v>
      </c>
      <c r="H21" s="83">
        <v>4670</v>
      </c>
      <c r="I21" s="47">
        <f t="shared" si="0"/>
        <v>2942.1</v>
      </c>
      <c r="J21" s="84">
        <f t="shared" si="1"/>
        <v>2853.837</v>
      </c>
    </row>
    <row r="22" spans="1:10" ht="20.25" customHeight="1" x14ac:dyDescent="0.35">
      <c r="A22" s="42">
        <v>16</v>
      </c>
      <c r="B22" s="43" t="s">
        <v>43</v>
      </c>
      <c r="C22" s="44" t="s">
        <v>44</v>
      </c>
      <c r="D22" s="82">
        <v>1.2</v>
      </c>
      <c r="E22" s="82">
        <v>0.9</v>
      </c>
      <c r="F22" s="82">
        <v>25</v>
      </c>
      <c r="G22" s="82">
        <v>25</v>
      </c>
      <c r="H22" s="83">
        <v>6650</v>
      </c>
      <c r="I22" s="47">
        <f t="shared" si="0"/>
        <v>4189.5</v>
      </c>
      <c r="J22" s="84">
        <f t="shared" si="1"/>
        <v>4063.8150000000001</v>
      </c>
    </row>
    <row r="23" spans="1:10" ht="20.25" customHeight="1" x14ac:dyDescent="0.35">
      <c r="A23" s="42">
        <v>17</v>
      </c>
      <c r="B23" s="42" t="s">
        <v>45</v>
      </c>
      <c r="C23" s="48" t="s">
        <v>46</v>
      </c>
      <c r="D23" s="82">
        <v>1.5</v>
      </c>
      <c r="E23" s="82">
        <v>1.1000000000000001</v>
      </c>
      <c r="F23" s="82">
        <v>25</v>
      </c>
      <c r="G23" s="82">
        <v>25</v>
      </c>
      <c r="H23" s="83">
        <v>8150</v>
      </c>
      <c r="I23" s="47">
        <f t="shared" si="0"/>
        <v>5134.5</v>
      </c>
      <c r="J23" s="84">
        <f t="shared" si="1"/>
        <v>4980.4650000000001</v>
      </c>
    </row>
    <row r="24" spans="1:10" ht="20.25" customHeight="1" x14ac:dyDescent="0.35">
      <c r="A24" s="42">
        <v>18</v>
      </c>
      <c r="B24" s="42" t="s">
        <v>47</v>
      </c>
      <c r="C24" s="48" t="s">
        <v>48</v>
      </c>
      <c r="D24" s="82">
        <v>2</v>
      </c>
      <c r="E24" s="82">
        <v>1.5</v>
      </c>
      <c r="F24" s="82">
        <v>25</v>
      </c>
      <c r="G24" s="82">
        <v>25</v>
      </c>
      <c r="H24" s="83">
        <v>9190</v>
      </c>
      <c r="I24" s="47">
        <f t="shared" si="0"/>
        <v>5789.7</v>
      </c>
      <c r="J24" s="84">
        <f t="shared" si="1"/>
        <v>5616.009</v>
      </c>
    </row>
    <row r="25" spans="1:10" ht="20.25" customHeight="1" x14ac:dyDescent="0.35">
      <c r="A25" s="43">
        <v>19</v>
      </c>
      <c r="B25" s="42" t="s">
        <v>49</v>
      </c>
      <c r="C25" s="48" t="s">
        <v>50</v>
      </c>
      <c r="D25" s="82">
        <v>0.5</v>
      </c>
      <c r="E25" s="82">
        <v>0.37</v>
      </c>
      <c r="F25" s="82">
        <v>25</v>
      </c>
      <c r="G25" s="82">
        <v>25</v>
      </c>
      <c r="H25" s="83">
        <v>3310</v>
      </c>
      <c r="I25" s="47">
        <f t="shared" si="0"/>
        <v>2085.3000000000002</v>
      </c>
      <c r="J25" s="84">
        <f t="shared" si="1"/>
        <v>2022.7410000000002</v>
      </c>
    </row>
    <row r="26" spans="1:10" ht="20.25" customHeight="1" x14ac:dyDescent="0.35">
      <c r="A26" s="42">
        <v>20</v>
      </c>
      <c r="B26" s="43" t="s">
        <v>51</v>
      </c>
      <c r="C26" s="44" t="s">
        <v>52</v>
      </c>
      <c r="D26" s="82">
        <v>0.5</v>
      </c>
      <c r="E26" s="82">
        <v>0.37</v>
      </c>
      <c r="F26" s="82">
        <v>25</v>
      </c>
      <c r="G26" s="82">
        <v>25</v>
      </c>
      <c r="H26" s="85">
        <v>4380</v>
      </c>
      <c r="I26" s="309">
        <f t="shared" si="0"/>
        <v>2759.4</v>
      </c>
      <c r="J26" s="309"/>
    </row>
    <row r="27" spans="1:10" ht="20.25" customHeight="1" x14ac:dyDescent="0.35">
      <c r="A27" s="42">
        <v>21</v>
      </c>
      <c r="B27" s="43" t="s">
        <v>53</v>
      </c>
      <c r="C27" s="44" t="s">
        <v>54</v>
      </c>
      <c r="D27" s="82">
        <v>1</v>
      </c>
      <c r="E27" s="82">
        <v>0.75</v>
      </c>
      <c r="F27" s="82">
        <v>25</v>
      </c>
      <c r="G27" s="82">
        <v>25</v>
      </c>
      <c r="H27" s="85">
        <v>5300</v>
      </c>
      <c r="I27" s="309">
        <f t="shared" si="0"/>
        <v>3339</v>
      </c>
      <c r="J27" s="309"/>
    </row>
    <row r="28" spans="1:10" ht="20.25" customHeight="1" x14ac:dyDescent="0.35">
      <c r="A28" s="42">
        <v>22</v>
      </c>
      <c r="B28" s="42" t="s">
        <v>55</v>
      </c>
      <c r="C28" s="48" t="s">
        <v>56</v>
      </c>
      <c r="D28" s="82">
        <v>1.1000000000000001</v>
      </c>
      <c r="E28" s="82">
        <v>0.8</v>
      </c>
      <c r="F28" s="82">
        <v>25</v>
      </c>
      <c r="G28" s="82">
        <v>25</v>
      </c>
      <c r="H28" s="83">
        <v>5040</v>
      </c>
      <c r="I28" s="47">
        <f t="shared" si="0"/>
        <v>3175.2</v>
      </c>
      <c r="J28" s="84">
        <f>I28*0.97</f>
        <v>3079.944</v>
      </c>
    </row>
    <row r="29" spans="1:10" ht="20.25" customHeight="1" x14ac:dyDescent="0.35">
      <c r="A29" s="43">
        <v>23</v>
      </c>
      <c r="B29" s="42" t="s">
        <v>57</v>
      </c>
      <c r="C29" s="48" t="s">
        <v>58</v>
      </c>
      <c r="D29" s="82">
        <v>1.1000000000000001</v>
      </c>
      <c r="E29" s="82">
        <v>0.8</v>
      </c>
      <c r="F29" s="82">
        <v>25</v>
      </c>
      <c r="G29" s="82">
        <v>25</v>
      </c>
      <c r="H29" s="83">
        <v>5150</v>
      </c>
      <c r="I29" s="47">
        <f t="shared" si="0"/>
        <v>3244.5</v>
      </c>
      <c r="J29" s="84">
        <f>I29*0.97</f>
        <v>3147.165</v>
      </c>
    </row>
    <row r="30" spans="1:10" ht="20.25" customHeight="1" x14ac:dyDescent="0.35">
      <c r="A30" s="42">
        <v>24</v>
      </c>
      <c r="B30" s="43" t="s">
        <v>59</v>
      </c>
      <c r="C30" s="51" t="s">
        <v>60</v>
      </c>
      <c r="D30" s="82">
        <v>1.25</v>
      </c>
      <c r="E30" s="82">
        <v>0.94</v>
      </c>
      <c r="F30" s="82">
        <v>25</v>
      </c>
      <c r="G30" s="82">
        <v>25</v>
      </c>
      <c r="H30" s="83">
        <v>6630</v>
      </c>
      <c r="I30" s="47">
        <f t="shared" si="0"/>
        <v>4176.8999999999996</v>
      </c>
      <c r="J30" s="84">
        <f>I30*0.97</f>
        <v>4051.5929999999994</v>
      </c>
    </row>
    <row r="31" spans="1:10" ht="20.25" customHeight="1" x14ac:dyDescent="0.35">
      <c r="A31" s="42">
        <v>25</v>
      </c>
      <c r="B31" s="42" t="s">
        <v>61</v>
      </c>
      <c r="C31" s="48" t="s">
        <v>62</v>
      </c>
      <c r="D31" s="86">
        <v>0.5</v>
      </c>
      <c r="E31" s="86">
        <v>0.37</v>
      </c>
      <c r="F31" s="86">
        <v>25</v>
      </c>
      <c r="G31" s="86">
        <v>25</v>
      </c>
      <c r="H31" s="87">
        <v>4950</v>
      </c>
      <c r="I31" s="309">
        <f t="shared" si="0"/>
        <v>3118.5</v>
      </c>
      <c r="J31" s="309"/>
    </row>
    <row r="32" spans="1:10" ht="20.25" customHeight="1" x14ac:dyDescent="0.35">
      <c r="A32" s="42">
        <v>26</v>
      </c>
      <c r="B32" s="42" t="s">
        <v>63</v>
      </c>
      <c r="C32" s="48" t="s">
        <v>64</v>
      </c>
      <c r="D32" s="86">
        <v>0.5</v>
      </c>
      <c r="E32" s="86">
        <v>0.37</v>
      </c>
      <c r="F32" s="86">
        <v>25</v>
      </c>
      <c r="G32" s="86">
        <v>25</v>
      </c>
      <c r="H32" s="87">
        <v>5000</v>
      </c>
      <c r="I32" s="309">
        <f t="shared" si="0"/>
        <v>3150</v>
      </c>
      <c r="J32" s="309"/>
    </row>
    <row r="33" spans="1:10" ht="20.25" customHeight="1" x14ac:dyDescent="0.35">
      <c r="A33" s="43">
        <v>27</v>
      </c>
      <c r="B33" s="42" t="s">
        <v>65</v>
      </c>
      <c r="C33" s="48" t="s">
        <v>66</v>
      </c>
      <c r="D33" s="82">
        <v>1</v>
      </c>
      <c r="E33" s="82">
        <v>0.75</v>
      </c>
      <c r="F33" s="82">
        <v>25</v>
      </c>
      <c r="G33" s="82">
        <v>25</v>
      </c>
      <c r="H33" s="83">
        <v>5560</v>
      </c>
      <c r="I33" s="47">
        <f t="shared" si="0"/>
        <v>3502.8</v>
      </c>
      <c r="J33" s="84">
        <f t="shared" ref="J33:J54" si="2">I33*0.97</f>
        <v>3397.7159999999999</v>
      </c>
    </row>
    <row r="34" spans="1:10" ht="20.25" customHeight="1" x14ac:dyDescent="0.35">
      <c r="A34" s="42">
        <v>28</v>
      </c>
      <c r="B34" s="42" t="s">
        <v>67</v>
      </c>
      <c r="C34" s="48" t="s">
        <v>68</v>
      </c>
      <c r="D34" s="82">
        <v>1</v>
      </c>
      <c r="E34" s="82">
        <v>0.75</v>
      </c>
      <c r="F34" s="82">
        <v>25</v>
      </c>
      <c r="G34" s="82">
        <v>25</v>
      </c>
      <c r="H34" s="83">
        <v>5650</v>
      </c>
      <c r="I34" s="47">
        <f t="shared" si="0"/>
        <v>3559.5</v>
      </c>
      <c r="J34" s="84">
        <f t="shared" si="2"/>
        <v>3452.7149999999997</v>
      </c>
    </row>
    <row r="35" spans="1:10" ht="20.25" customHeight="1" x14ac:dyDescent="0.35">
      <c r="A35" s="42">
        <v>29</v>
      </c>
      <c r="B35" s="42" t="s">
        <v>69</v>
      </c>
      <c r="C35" s="48" t="s">
        <v>70</v>
      </c>
      <c r="D35" s="82">
        <v>1.5</v>
      </c>
      <c r="E35" s="82">
        <v>1.1000000000000001</v>
      </c>
      <c r="F35" s="82">
        <v>25</v>
      </c>
      <c r="G35" s="82">
        <v>25</v>
      </c>
      <c r="H35" s="83">
        <v>7840</v>
      </c>
      <c r="I35" s="47">
        <f t="shared" si="0"/>
        <v>4939.2</v>
      </c>
      <c r="J35" s="84">
        <f t="shared" si="2"/>
        <v>4791.0239999999994</v>
      </c>
    </row>
    <row r="36" spans="1:10" ht="20.25" customHeight="1" x14ac:dyDescent="0.35">
      <c r="A36" s="42">
        <v>30</v>
      </c>
      <c r="B36" s="42" t="s">
        <v>71</v>
      </c>
      <c r="C36" s="48" t="s">
        <v>72</v>
      </c>
      <c r="D36" s="82">
        <v>1.5</v>
      </c>
      <c r="E36" s="82">
        <v>1.1000000000000001</v>
      </c>
      <c r="F36" s="82">
        <v>25</v>
      </c>
      <c r="G36" s="82">
        <v>25</v>
      </c>
      <c r="H36" s="83">
        <v>8170</v>
      </c>
      <c r="I36" s="47">
        <f t="shared" si="0"/>
        <v>5147.1000000000004</v>
      </c>
      <c r="J36" s="84">
        <f t="shared" si="2"/>
        <v>4992.6869999999999</v>
      </c>
    </row>
    <row r="37" spans="1:10" ht="20.25" customHeight="1" x14ac:dyDescent="0.35">
      <c r="A37" s="43">
        <v>31</v>
      </c>
      <c r="B37" s="43" t="s">
        <v>73</v>
      </c>
      <c r="C37" s="44" t="s">
        <v>74</v>
      </c>
      <c r="D37" s="82">
        <v>0.5</v>
      </c>
      <c r="E37" s="82">
        <v>0.37</v>
      </c>
      <c r="F37" s="82">
        <v>25</v>
      </c>
      <c r="G37" s="82">
        <v>25</v>
      </c>
      <c r="H37" s="83">
        <v>6450</v>
      </c>
      <c r="I37" s="47">
        <f t="shared" si="0"/>
        <v>4063.5</v>
      </c>
      <c r="J37" s="84">
        <f t="shared" si="2"/>
        <v>3941.5949999999998</v>
      </c>
    </row>
    <row r="38" spans="1:10" ht="20.25" customHeight="1" x14ac:dyDescent="0.35">
      <c r="A38" s="42">
        <v>32</v>
      </c>
      <c r="B38" s="42" t="s">
        <v>75</v>
      </c>
      <c r="C38" s="48" t="s">
        <v>76</v>
      </c>
      <c r="D38" s="88">
        <v>0.9</v>
      </c>
      <c r="E38" s="88">
        <v>0.7</v>
      </c>
      <c r="F38" s="88">
        <v>25</v>
      </c>
      <c r="G38" s="88">
        <v>25</v>
      </c>
      <c r="H38" s="83">
        <v>6640</v>
      </c>
      <c r="I38" s="47">
        <f t="shared" si="0"/>
        <v>4183.2</v>
      </c>
      <c r="J38" s="84">
        <f t="shared" si="2"/>
        <v>4057.7039999999997</v>
      </c>
    </row>
    <row r="39" spans="1:10" ht="20.25" customHeight="1" x14ac:dyDescent="0.35">
      <c r="A39" s="42">
        <v>33</v>
      </c>
      <c r="B39" s="42" t="s">
        <v>77</v>
      </c>
      <c r="C39" s="48" t="s">
        <v>78</v>
      </c>
      <c r="D39" s="88">
        <v>1</v>
      </c>
      <c r="E39" s="88">
        <v>0.75</v>
      </c>
      <c r="F39" s="88">
        <v>25</v>
      </c>
      <c r="G39" s="88">
        <v>25</v>
      </c>
      <c r="H39" s="83">
        <v>7100</v>
      </c>
      <c r="I39" s="47">
        <f t="shared" si="0"/>
        <v>4473</v>
      </c>
      <c r="J39" s="84">
        <f t="shared" si="2"/>
        <v>4338.8099999999995</v>
      </c>
    </row>
    <row r="40" spans="1:10" ht="20.25" customHeight="1" x14ac:dyDescent="0.35">
      <c r="A40" s="42">
        <v>34</v>
      </c>
      <c r="B40" s="43" t="s">
        <v>79</v>
      </c>
      <c r="C40" s="50" t="s">
        <v>80</v>
      </c>
      <c r="D40" s="88">
        <v>0.5</v>
      </c>
      <c r="E40" s="88">
        <v>0.37</v>
      </c>
      <c r="F40" s="88">
        <v>25</v>
      </c>
      <c r="G40" s="88">
        <v>25</v>
      </c>
      <c r="H40" s="83">
        <v>5500</v>
      </c>
      <c r="I40" s="47">
        <f t="shared" si="0"/>
        <v>3465</v>
      </c>
      <c r="J40" s="84">
        <f t="shared" si="2"/>
        <v>3361.0499999999997</v>
      </c>
    </row>
    <row r="41" spans="1:10" ht="20.25" customHeight="1" x14ac:dyDescent="0.35">
      <c r="A41" s="43">
        <v>35</v>
      </c>
      <c r="B41" s="43"/>
      <c r="C41" s="50" t="s">
        <v>81</v>
      </c>
      <c r="D41" s="88">
        <v>1</v>
      </c>
      <c r="E41" s="88">
        <v>0.75</v>
      </c>
      <c r="F41" s="88">
        <v>25</v>
      </c>
      <c r="G41" s="88">
        <v>25</v>
      </c>
      <c r="H41" s="83">
        <v>6200</v>
      </c>
      <c r="I41" s="47">
        <f t="shared" si="0"/>
        <v>3906</v>
      </c>
      <c r="J41" s="84">
        <f t="shared" si="2"/>
        <v>3788.8199999999997</v>
      </c>
    </row>
    <row r="42" spans="1:10" ht="20.25" customHeight="1" x14ac:dyDescent="0.35">
      <c r="A42" s="42">
        <v>36</v>
      </c>
      <c r="B42" s="43" t="s">
        <v>82</v>
      </c>
      <c r="C42" s="44" t="s">
        <v>83</v>
      </c>
      <c r="D42" s="89">
        <v>0.5</v>
      </c>
      <c r="E42" s="89">
        <v>0.37</v>
      </c>
      <c r="F42" s="89">
        <v>25</v>
      </c>
      <c r="G42" s="89">
        <v>25</v>
      </c>
      <c r="H42" s="83">
        <v>7140</v>
      </c>
      <c r="I42" s="47">
        <f t="shared" si="0"/>
        <v>4498.2</v>
      </c>
      <c r="J42" s="84">
        <f t="shared" si="2"/>
        <v>4363.2539999999999</v>
      </c>
    </row>
    <row r="43" spans="1:10" ht="20.25" customHeight="1" x14ac:dyDescent="0.35">
      <c r="A43" s="42">
        <v>37</v>
      </c>
      <c r="B43" s="42" t="s">
        <v>84</v>
      </c>
      <c r="C43" s="48" t="s">
        <v>85</v>
      </c>
      <c r="D43" s="89">
        <v>1.1000000000000001</v>
      </c>
      <c r="E43" s="89">
        <v>0.8</v>
      </c>
      <c r="F43" s="89">
        <v>25</v>
      </c>
      <c r="G43" s="89">
        <v>25</v>
      </c>
      <c r="H43" s="83">
        <v>7700</v>
      </c>
      <c r="I43" s="47">
        <f t="shared" si="0"/>
        <v>4851</v>
      </c>
      <c r="J43" s="84">
        <f t="shared" si="2"/>
        <v>4705.47</v>
      </c>
    </row>
    <row r="44" spans="1:10" ht="20.25" customHeight="1" x14ac:dyDescent="0.35">
      <c r="A44" s="42">
        <v>38</v>
      </c>
      <c r="B44" s="42" t="s">
        <v>86</v>
      </c>
      <c r="C44" s="48" t="s">
        <v>87</v>
      </c>
      <c r="D44" s="89">
        <v>1.5</v>
      </c>
      <c r="E44" s="89">
        <v>1.1000000000000001</v>
      </c>
      <c r="F44" s="89">
        <v>25</v>
      </c>
      <c r="G44" s="89">
        <v>25</v>
      </c>
      <c r="H44" s="83">
        <v>8690</v>
      </c>
      <c r="I44" s="47">
        <f t="shared" si="0"/>
        <v>5474.7</v>
      </c>
      <c r="J44" s="84">
        <f t="shared" si="2"/>
        <v>5310.4589999999998</v>
      </c>
    </row>
    <row r="45" spans="1:10" ht="20.25" customHeight="1" x14ac:dyDescent="0.35">
      <c r="A45" s="43">
        <v>39</v>
      </c>
      <c r="B45" s="43" t="s">
        <v>88</v>
      </c>
      <c r="C45" s="44" t="s">
        <v>89</v>
      </c>
      <c r="D45" s="82">
        <v>0.5</v>
      </c>
      <c r="E45" s="82">
        <v>0.37</v>
      </c>
      <c r="F45" s="82">
        <v>25</v>
      </c>
      <c r="G45" s="82">
        <v>12</v>
      </c>
      <c r="H45" s="83">
        <v>4860</v>
      </c>
      <c r="I45" s="47">
        <f t="shared" si="0"/>
        <v>3061.8</v>
      </c>
      <c r="J45" s="84">
        <f t="shared" si="2"/>
        <v>2969.9459999999999</v>
      </c>
    </row>
    <row r="46" spans="1:10" ht="20.25" customHeight="1" x14ac:dyDescent="0.35">
      <c r="A46" s="42">
        <v>40</v>
      </c>
      <c r="B46" s="43" t="s">
        <v>90</v>
      </c>
      <c r="C46" s="44" t="s">
        <v>91</v>
      </c>
      <c r="D46" s="82">
        <v>1</v>
      </c>
      <c r="E46" s="82">
        <v>0.75</v>
      </c>
      <c r="F46" s="82">
        <v>25</v>
      </c>
      <c r="G46" s="82">
        <v>25</v>
      </c>
      <c r="H46" s="83">
        <v>5600</v>
      </c>
      <c r="I46" s="47">
        <f t="shared" si="0"/>
        <v>3528</v>
      </c>
      <c r="J46" s="84">
        <f t="shared" si="2"/>
        <v>3422.16</v>
      </c>
    </row>
    <row r="47" spans="1:10" ht="20.25" customHeight="1" x14ac:dyDescent="0.35">
      <c r="A47" s="42">
        <v>41</v>
      </c>
      <c r="B47" s="42" t="s">
        <v>92</v>
      </c>
      <c r="C47" s="48" t="s">
        <v>93</v>
      </c>
      <c r="D47" s="86">
        <v>1</v>
      </c>
      <c r="E47" s="86">
        <v>0.75</v>
      </c>
      <c r="F47" s="86">
        <v>25</v>
      </c>
      <c r="G47" s="86">
        <v>25</v>
      </c>
      <c r="H47" s="87">
        <v>8420</v>
      </c>
      <c r="I47" s="311">
        <f t="shared" si="0"/>
        <v>5304.6</v>
      </c>
      <c r="J47" s="312"/>
    </row>
    <row r="48" spans="1:10" ht="20.25" customHeight="1" x14ac:dyDescent="0.35">
      <c r="A48" s="42">
        <v>42</v>
      </c>
      <c r="B48" s="42" t="s">
        <v>94</v>
      </c>
      <c r="C48" s="48" t="s">
        <v>95</v>
      </c>
      <c r="D48" s="82">
        <v>1.1000000000000001</v>
      </c>
      <c r="E48" s="82">
        <v>0.8</v>
      </c>
      <c r="F48" s="82">
        <v>25</v>
      </c>
      <c r="G48" s="82">
        <v>25</v>
      </c>
      <c r="H48" s="83">
        <v>12020</v>
      </c>
      <c r="I48" s="47">
        <f t="shared" si="0"/>
        <v>7572.6</v>
      </c>
      <c r="J48" s="84">
        <f t="shared" si="2"/>
        <v>7345.4220000000005</v>
      </c>
    </row>
    <row r="49" spans="1:10" ht="20.25" customHeight="1" x14ac:dyDescent="0.35">
      <c r="A49" s="43">
        <v>43</v>
      </c>
      <c r="B49" s="43" t="s">
        <v>96</v>
      </c>
      <c r="C49" s="44" t="s">
        <v>97</v>
      </c>
      <c r="D49" s="82">
        <v>0.5</v>
      </c>
      <c r="E49" s="82">
        <v>0.37</v>
      </c>
      <c r="F49" s="82">
        <v>25</v>
      </c>
      <c r="G49" s="82">
        <v>25</v>
      </c>
      <c r="H49" s="83">
        <v>7530</v>
      </c>
      <c r="I49" s="47">
        <f t="shared" si="0"/>
        <v>4743.8999999999996</v>
      </c>
      <c r="J49" s="84">
        <f t="shared" si="2"/>
        <v>4601.5829999999996</v>
      </c>
    </row>
    <row r="50" spans="1:10" ht="20.25" customHeight="1" x14ac:dyDescent="0.35">
      <c r="A50" s="42">
        <v>44</v>
      </c>
      <c r="B50" s="43" t="s">
        <v>98</v>
      </c>
      <c r="C50" s="44" t="s">
        <v>99</v>
      </c>
      <c r="D50" s="82">
        <v>1</v>
      </c>
      <c r="E50" s="82">
        <v>0.75</v>
      </c>
      <c r="F50" s="82">
        <v>25</v>
      </c>
      <c r="G50" s="82">
        <v>25</v>
      </c>
      <c r="H50" s="83">
        <v>9150</v>
      </c>
      <c r="I50" s="47">
        <f t="shared" si="0"/>
        <v>5764.5</v>
      </c>
      <c r="J50" s="84">
        <f t="shared" si="2"/>
        <v>5591.5649999999996</v>
      </c>
    </row>
    <row r="51" spans="1:10" ht="20.25" customHeight="1" x14ac:dyDescent="0.35">
      <c r="A51" s="42">
        <v>45</v>
      </c>
      <c r="B51" s="43" t="s">
        <v>100</v>
      </c>
      <c r="C51" s="44" t="s">
        <v>101</v>
      </c>
      <c r="D51" s="82">
        <v>1</v>
      </c>
      <c r="E51" s="82">
        <v>0.75</v>
      </c>
      <c r="F51" s="82">
        <v>25</v>
      </c>
      <c r="G51" s="82">
        <v>25</v>
      </c>
      <c r="H51" s="90">
        <v>16800</v>
      </c>
      <c r="I51" s="47">
        <f t="shared" si="0"/>
        <v>10584</v>
      </c>
      <c r="J51" s="84">
        <f t="shared" si="2"/>
        <v>10266.48</v>
      </c>
    </row>
    <row r="52" spans="1:10" ht="20.25" customHeight="1" x14ac:dyDescent="0.35">
      <c r="A52" s="42">
        <v>46</v>
      </c>
      <c r="B52" s="42" t="s">
        <v>102</v>
      </c>
      <c r="C52" s="48" t="s">
        <v>103</v>
      </c>
      <c r="D52" s="82">
        <v>0.5</v>
      </c>
      <c r="E52" s="82">
        <v>0.37</v>
      </c>
      <c r="F52" s="82">
        <v>25</v>
      </c>
      <c r="G52" s="82">
        <v>25</v>
      </c>
      <c r="H52" s="83">
        <v>17760</v>
      </c>
      <c r="I52" s="47">
        <f t="shared" si="0"/>
        <v>11188.8</v>
      </c>
      <c r="J52" s="84">
        <f t="shared" si="2"/>
        <v>10853.135999999999</v>
      </c>
    </row>
    <row r="53" spans="1:10" ht="20.25" customHeight="1" x14ac:dyDescent="0.35">
      <c r="A53" s="43">
        <v>47</v>
      </c>
      <c r="B53" s="42" t="s">
        <v>104</v>
      </c>
      <c r="C53" s="48" t="s">
        <v>105</v>
      </c>
      <c r="D53" s="82">
        <v>1</v>
      </c>
      <c r="E53" s="82">
        <v>0.75</v>
      </c>
      <c r="F53" s="82">
        <v>25</v>
      </c>
      <c r="G53" s="82">
        <v>25</v>
      </c>
      <c r="H53" s="83">
        <v>19120</v>
      </c>
      <c r="I53" s="47">
        <f t="shared" si="0"/>
        <v>12045.6</v>
      </c>
      <c r="J53" s="84">
        <f t="shared" si="2"/>
        <v>11684.232</v>
      </c>
    </row>
    <row r="54" spans="1:10" ht="20.25" customHeight="1" x14ac:dyDescent="0.35">
      <c r="A54" s="42">
        <v>48</v>
      </c>
      <c r="B54" s="42" t="s">
        <v>106</v>
      </c>
      <c r="C54" s="48" t="s">
        <v>107</v>
      </c>
      <c r="D54" s="82">
        <v>1.1000000000000001</v>
      </c>
      <c r="E54" s="82">
        <v>0.8</v>
      </c>
      <c r="F54" s="82">
        <v>25</v>
      </c>
      <c r="G54" s="82">
        <v>25</v>
      </c>
      <c r="H54" s="83">
        <v>20900</v>
      </c>
      <c r="I54" s="47">
        <f t="shared" si="0"/>
        <v>13167</v>
      </c>
      <c r="J54" s="84">
        <f t="shared" si="2"/>
        <v>12771.99</v>
      </c>
    </row>
    <row r="55" spans="1:10" ht="20.25" customHeight="1" x14ac:dyDescent="0.35">
      <c r="A55" s="284" t="s">
        <v>108</v>
      </c>
      <c r="B55" s="284"/>
      <c r="C55" s="284"/>
      <c r="D55" s="284"/>
      <c r="E55" s="284"/>
      <c r="F55" s="284"/>
      <c r="G55" s="284"/>
      <c r="H55" s="307" t="s">
        <v>109</v>
      </c>
      <c r="I55" s="310" t="s">
        <v>505</v>
      </c>
      <c r="J55" s="310"/>
    </row>
    <row r="56" spans="1:10" ht="20.25" customHeight="1" x14ac:dyDescent="0.35">
      <c r="A56" s="281" t="s">
        <v>2</v>
      </c>
      <c r="B56" s="281" t="s">
        <v>3</v>
      </c>
      <c r="C56" s="283" t="s">
        <v>4</v>
      </c>
      <c r="D56" s="281" t="s">
        <v>5</v>
      </c>
      <c r="E56" s="281"/>
      <c r="F56" s="281" t="s">
        <v>6</v>
      </c>
      <c r="G56" s="281"/>
      <c r="H56" s="307"/>
      <c r="I56" s="310"/>
      <c r="J56" s="310"/>
    </row>
    <row r="57" spans="1:10" ht="20.25" customHeight="1" x14ac:dyDescent="0.35">
      <c r="A57" s="281"/>
      <c r="B57" s="281"/>
      <c r="C57" s="283"/>
      <c r="D57" s="58" t="s">
        <v>9</v>
      </c>
      <c r="E57" s="58" t="s">
        <v>10</v>
      </c>
      <c r="F57" s="58" t="s">
        <v>11</v>
      </c>
      <c r="G57" s="58" t="s">
        <v>12</v>
      </c>
      <c r="H57" s="307"/>
      <c r="I57" s="59">
        <v>0.37</v>
      </c>
      <c r="J57" s="91">
        <v>0.03</v>
      </c>
    </row>
    <row r="58" spans="1:10" ht="20.25" customHeight="1" x14ac:dyDescent="0.35">
      <c r="A58" s="42">
        <v>1</v>
      </c>
      <c r="B58" s="42" t="s">
        <v>110</v>
      </c>
      <c r="C58" s="48" t="s">
        <v>111</v>
      </c>
      <c r="D58" s="286">
        <v>0.5</v>
      </c>
      <c r="E58" s="286">
        <v>0.37</v>
      </c>
      <c r="F58" s="45">
        <v>25</v>
      </c>
      <c r="G58" s="45">
        <v>25</v>
      </c>
      <c r="H58" s="83">
        <v>4680</v>
      </c>
      <c r="I58" s="47">
        <f>H58*0.63</f>
        <v>2948.4</v>
      </c>
      <c r="J58" s="84">
        <f t="shared" ref="J58:J113" si="3">I58*0.97</f>
        <v>2859.9479999999999</v>
      </c>
    </row>
    <row r="59" spans="1:10" ht="20.25" customHeight="1" x14ac:dyDescent="0.35">
      <c r="A59" s="42">
        <v>2</v>
      </c>
      <c r="B59" s="42" t="s">
        <v>112</v>
      </c>
      <c r="C59" s="48" t="s">
        <v>113</v>
      </c>
      <c r="D59" s="286"/>
      <c r="E59" s="286"/>
      <c r="F59" s="45">
        <v>40</v>
      </c>
      <c r="G59" s="45">
        <v>40</v>
      </c>
      <c r="H59" s="83">
        <v>6430</v>
      </c>
      <c r="I59" s="47">
        <f t="shared" ref="I59:I113" si="4">H59*0.63</f>
        <v>4050.9</v>
      </c>
      <c r="J59" s="84">
        <f t="shared" si="3"/>
        <v>3929.373</v>
      </c>
    </row>
    <row r="60" spans="1:10" ht="20.25" customHeight="1" x14ac:dyDescent="0.35">
      <c r="A60" s="43">
        <v>3</v>
      </c>
      <c r="B60" s="43" t="s">
        <v>114</v>
      </c>
      <c r="C60" s="60" t="s">
        <v>115</v>
      </c>
      <c r="D60" s="45">
        <v>0.75</v>
      </c>
      <c r="E60" s="45">
        <v>0.56000000000000005</v>
      </c>
      <c r="F60" s="45">
        <v>40</v>
      </c>
      <c r="G60" s="45">
        <v>40</v>
      </c>
      <c r="H60" s="90">
        <v>6240</v>
      </c>
      <c r="I60" s="47">
        <f t="shared" si="4"/>
        <v>3931.2</v>
      </c>
      <c r="J60" s="84">
        <f t="shared" si="3"/>
        <v>3813.2639999999997</v>
      </c>
    </row>
    <row r="61" spans="1:10" ht="20.25" customHeight="1" x14ac:dyDescent="0.35">
      <c r="A61" s="42">
        <v>4</v>
      </c>
      <c r="B61" s="42" t="s">
        <v>116</v>
      </c>
      <c r="C61" s="48" t="s">
        <v>117</v>
      </c>
      <c r="D61" s="285">
        <v>1</v>
      </c>
      <c r="E61" s="285">
        <v>0.75</v>
      </c>
      <c r="F61" s="56">
        <v>25</v>
      </c>
      <c r="G61" s="56">
        <v>25</v>
      </c>
      <c r="H61" s="83">
        <v>7572</v>
      </c>
      <c r="I61" s="47">
        <f t="shared" si="4"/>
        <v>4770.3599999999997</v>
      </c>
      <c r="J61" s="84">
        <f t="shared" si="3"/>
        <v>4627.2491999999993</v>
      </c>
    </row>
    <row r="62" spans="1:10" ht="20.25" customHeight="1" x14ac:dyDescent="0.35">
      <c r="A62" s="42">
        <v>5</v>
      </c>
      <c r="B62" s="42" t="s">
        <v>118</v>
      </c>
      <c r="C62" s="48" t="s">
        <v>119</v>
      </c>
      <c r="D62" s="285"/>
      <c r="E62" s="285"/>
      <c r="F62" s="56">
        <v>50</v>
      </c>
      <c r="G62" s="56">
        <v>50</v>
      </c>
      <c r="H62" s="83">
        <v>8900</v>
      </c>
      <c r="I62" s="47">
        <f t="shared" si="4"/>
        <v>5607</v>
      </c>
      <c r="J62" s="84">
        <f t="shared" si="3"/>
        <v>5438.79</v>
      </c>
    </row>
    <row r="63" spans="1:10" ht="20.25" customHeight="1" x14ac:dyDescent="0.35">
      <c r="A63" s="43">
        <v>6</v>
      </c>
      <c r="B63" s="42" t="s">
        <v>120</v>
      </c>
      <c r="C63" s="48" t="s">
        <v>121</v>
      </c>
      <c r="D63" s="285"/>
      <c r="E63" s="285"/>
      <c r="F63" s="56">
        <v>50</v>
      </c>
      <c r="G63" s="56">
        <v>50</v>
      </c>
      <c r="H63" s="90">
        <v>9100</v>
      </c>
      <c r="I63" s="47">
        <f t="shared" si="4"/>
        <v>5733</v>
      </c>
      <c r="J63" s="84">
        <f t="shared" si="3"/>
        <v>5561.01</v>
      </c>
    </row>
    <row r="64" spans="1:10" ht="20.25" customHeight="1" x14ac:dyDescent="0.35">
      <c r="A64" s="42">
        <v>7</v>
      </c>
      <c r="B64" s="43" t="s">
        <v>122</v>
      </c>
      <c r="C64" s="60" t="s">
        <v>123</v>
      </c>
      <c r="D64" s="285"/>
      <c r="E64" s="285"/>
      <c r="F64" s="56">
        <v>50</v>
      </c>
      <c r="G64" s="56">
        <v>50</v>
      </c>
      <c r="H64" s="90">
        <v>9000</v>
      </c>
      <c r="I64" s="47">
        <f t="shared" si="4"/>
        <v>5670</v>
      </c>
      <c r="J64" s="84">
        <f t="shared" si="3"/>
        <v>5499.9</v>
      </c>
    </row>
    <row r="65" spans="1:10" ht="20.25" customHeight="1" x14ac:dyDescent="0.35">
      <c r="A65" s="42">
        <v>8</v>
      </c>
      <c r="B65" s="43" t="s">
        <v>124</v>
      </c>
      <c r="C65" s="61" t="s">
        <v>125</v>
      </c>
      <c r="D65" s="285"/>
      <c r="E65" s="285"/>
      <c r="F65" s="56">
        <v>75</v>
      </c>
      <c r="G65" s="56">
        <v>75</v>
      </c>
      <c r="H65" s="83">
        <v>10000</v>
      </c>
      <c r="I65" s="47">
        <f t="shared" si="4"/>
        <v>6300</v>
      </c>
      <c r="J65" s="84">
        <f t="shared" si="3"/>
        <v>6111</v>
      </c>
    </row>
    <row r="66" spans="1:10" ht="20.25" customHeight="1" x14ac:dyDescent="0.35">
      <c r="A66" s="43">
        <v>9</v>
      </c>
      <c r="B66" s="43"/>
      <c r="C66" s="60" t="s">
        <v>126</v>
      </c>
      <c r="D66" s="285"/>
      <c r="E66" s="285"/>
      <c r="F66" s="56">
        <v>75</v>
      </c>
      <c r="G66" s="56">
        <v>75</v>
      </c>
      <c r="H66" s="90">
        <v>10200</v>
      </c>
      <c r="I66" s="47">
        <f t="shared" si="4"/>
        <v>6426</v>
      </c>
      <c r="J66" s="84">
        <f t="shared" si="3"/>
        <v>6233.22</v>
      </c>
    </row>
    <row r="67" spans="1:10" ht="20.25" customHeight="1" x14ac:dyDescent="0.35">
      <c r="A67" s="42">
        <v>10</v>
      </c>
      <c r="B67" s="43" t="s">
        <v>127</v>
      </c>
      <c r="C67" s="61" t="s">
        <v>128</v>
      </c>
      <c r="D67" s="285">
        <v>1.5</v>
      </c>
      <c r="E67" s="285">
        <v>1.1000000000000001</v>
      </c>
      <c r="F67" s="56">
        <v>50</v>
      </c>
      <c r="G67" s="56">
        <v>50</v>
      </c>
      <c r="H67" s="90">
        <v>10420</v>
      </c>
      <c r="I67" s="47">
        <f t="shared" si="4"/>
        <v>6564.6</v>
      </c>
      <c r="J67" s="84">
        <f t="shared" si="3"/>
        <v>6367.6620000000003</v>
      </c>
    </row>
    <row r="68" spans="1:10" ht="20.25" customHeight="1" x14ac:dyDescent="0.35">
      <c r="A68" s="42">
        <v>11</v>
      </c>
      <c r="B68" s="43" t="s">
        <v>129</v>
      </c>
      <c r="C68" s="60" t="s">
        <v>130</v>
      </c>
      <c r="D68" s="285"/>
      <c r="E68" s="285"/>
      <c r="F68" s="56">
        <v>50</v>
      </c>
      <c r="G68" s="56">
        <v>50</v>
      </c>
      <c r="H68" s="90">
        <v>10600</v>
      </c>
      <c r="I68" s="47">
        <f t="shared" si="4"/>
        <v>6678</v>
      </c>
      <c r="J68" s="84">
        <f t="shared" si="3"/>
        <v>6477.66</v>
      </c>
    </row>
    <row r="69" spans="1:10" ht="20.25" customHeight="1" x14ac:dyDescent="0.35">
      <c r="A69" s="43">
        <v>12</v>
      </c>
      <c r="B69" s="43" t="s">
        <v>131</v>
      </c>
      <c r="C69" s="61" t="s">
        <v>132</v>
      </c>
      <c r="D69" s="285"/>
      <c r="E69" s="285"/>
      <c r="F69" s="56">
        <v>65</v>
      </c>
      <c r="G69" s="56">
        <v>50</v>
      </c>
      <c r="H69" s="90">
        <v>10600</v>
      </c>
      <c r="I69" s="47">
        <f t="shared" si="4"/>
        <v>6678</v>
      </c>
      <c r="J69" s="84">
        <f t="shared" si="3"/>
        <v>6477.66</v>
      </c>
    </row>
    <row r="70" spans="1:10" ht="20.25" customHeight="1" x14ac:dyDescent="0.35">
      <c r="A70" s="42">
        <v>13</v>
      </c>
      <c r="B70" s="43" t="s">
        <v>133</v>
      </c>
      <c r="C70" s="60" t="s">
        <v>134</v>
      </c>
      <c r="D70" s="285"/>
      <c r="E70" s="285"/>
      <c r="F70" s="56">
        <v>65</v>
      </c>
      <c r="G70" s="56">
        <v>50</v>
      </c>
      <c r="H70" s="90">
        <v>10800</v>
      </c>
      <c r="I70" s="47">
        <f t="shared" si="4"/>
        <v>6804</v>
      </c>
      <c r="J70" s="84">
        <f t="shared" si="3"/>
        <v>6599.88</v>
      </c>
    </row>
    <row r="71" spans="1:10" ht="20.25" customHeight="1" x14ac:dyDescent="0.35">
      <c r="A71" s="42">
        <v>14</v>
      </c>
      <c r="B71" s="43" t="s">
        <v>135</v>
      </c>
      <c r="C71" s="61" t="s">
        <v>136</v>
      </c>
      <c r="D71" s="285"/>
      <c r="E71" s="285"/>
      <c r="F71" s="56">
        <v>75</v>
      </c>
      <c r="G71" s="56">
        <v>75</v>
      </c>
      <c r="H71" s="83">
        <v>11000</v>
      </c>
      <c r="I71" s="47">
        <f t="shared" si="4"/>
        <v>6930</v>
      </c>
      <c r="J71" s="84">
        <f t="shared" si="3"/>
        <v>6722.0999999999995</v>
      </c>
    </row>
    <row r="72" spans="1:10" ht="20.25" customHeight="1" x14ac:dyDescent="0.35">
      <c r="A72" s="43">
        <v>15</v>
      </c>
      <c r="B72" s="43" t="s">
        <v>137</v>
      </c>
      <c r="C72" s="60" t="s">
        <v>138</v>
      </c>
      <c r="D72" s="285"/>
      <c r="E72" s="285"/>
      <c r="F72" s="56">
        <v>75</v>
      </c>
      <c r="G72" s="56">
        <v>75</v>
      </c>
      <c r="H72" s="90">
        <v>11200</v>
      </c>
      <c r="I72" s="47">
        <f t="shared" si="4"/>
        <v>7056</v>
      </c>
      <c r="J72" s="84">
        <f t="shared" si="3"/>
        <v>6844.32</v>
      </c>
    </row>
    <row r="73" spans="1:10" ht="20.25" customHeight="1" x14ac:dyDescent="0.35">
      <c r="A73" s="42">
        <v>16</v>
      </c>
      <c r="B73" s="43" t="s">
        <v>139</v>
      </c>
      <c r="C73" s="60" t="s">
        <v>140</v>
      </c>
      <c r="D73" s="285"/>
      <c r="E73" s="285"/>
      <c r="F73" s="56">
        <v>75</v>
      </c>
      <c r="G73" s="56">
        <v>75</v>
      </c>
      <c r="H73" s="90">
        <v>11200</v>
      </c>
      <c r="I73" s="47">
        <f t="shared" si="4"/>
        <v>7056</v>
      </c>
      <c r="J73" s="84">
        <f t="shared" si="3"/>
        <v>6844.32</v>
      </c>
    </row>
    <row r="74" spans="1:10" ht="20.25" customHeight="1" x14ac:dyDescent="0.35">
      <c r="A74" s="42">
        <v>17</v>
      </c>
      <c r="B74" s="43" t="s">
        <v>141</v>
      </c>
      <c r="C74" s="61" t="s">
        <v>142</v>
      </c>
      <c r="D74" s="285">
        <v>2</v>
      </c>
      <c r="E74" s="285">
        <v>1.5</v>
      </c>
      <c r="F74" s="56">
        <v>50</v>
      </c>
      <c r="G74" s="56">
        <v>40</v>
      </c>
      <c r="H74" s="83">
        <v>15000</v>
      </c>
      <c r="I74" s="47">
        <f t="shared" si="4"/>
        <v>9450</v>
      </c>
      <c r="J74" s="84">
        <f t="shared" si="3"/>
        <v>9166.5</v>
      </c>
    </row>
    <row r="75" spans="1:10" ht="20.25" customHeight="1" x14ac:dyDescent="0.35">
      <c r="A75" s="43">
        <v>18</v>
      </c>
      <c r="B75" s="43" t="s">
        <v>143</v>
      </c>
      <c r="C75" s="60" t="s">
        <v>144</v>
      </c>
      <c r="D75" s="285"/>
      <c r="E75" s="285"/>
      <c r="F75" s="56">
        <v>50</v>
      </c>
      <c r="G75" s="56">
        <v>40</v>
      </c>
      <c r="H75" s="90">
        <v>15200</v>
      </c>
      <c r="I75" s="47">
        <f t="shared" si="4"/>
        <v>9576</v>
      </c>
      <c r="J75" s="84">
        <f t="shared" si="3"/>
        <v>9288.7199999999993</v>
      </c>
    </row>
    <row r="76" spans="1:10" ht="20.25" customHeight="1" x14ac:dyDescent="0.35">
      <c r="A76" s="42">
        <v>19</v>
      </c>
      <c r="B76" s="42" t="s">
        <v>145</v>
      </c>
      <c r="C76" s="48" t="s">
        <v>146</v>
      </c>
      <c r="D76" s="285"/>
      <c r="E76" s="285"/>
      <c r="F76" s="56">
        <v>50</v>
      </c>
      <c r="G76" s="56">
        <v>50</v>
      </c>
      <c r="H76" s="83">
        <v>13000</v>
      </c>
      <c r="I76" s="47">
        <f t="shared" si="4"/>
        <v>8190</v>
      </c>
      <c r="J76" s="84">
        <f t="shared" si="3"/>
        <v>7944.3</v>
      </c>
    </row>
    <row r="77" spans="1:10" ht="20.25" customHeight="1" x14ac:dyDescent="0.35">
      <c r="A77" s="42">
        <v>20</v>
      </c>
      <c r="B77" s="43" t="s">
        <v>147</v>
      </c>
      <c r="C77" s="60" t="s">
        <v>148</v>
      </c>
      <c r="D77" s="285"/>
      <c r="E77" s="285"/>
      <c r="F77" s="56">
        <v>50</v>
      </c>
      <c r="G77" s="56">
        <v>50</v>
      </c>
      <c r="H77" s="90">
        <v>13200</v>
      </c>
      <c r="I77" s="47">
        <f t="shared" si="4"/>
        <v>8316</v>
      </c>
      <c r="J77" s="84">
        <f t="shared" si="3"/>
        <v>8066.5199999999995</v>
      </c>
    </row>
    <row r="78" spans="1:10" ht="20.25" customHeight="1" x14ac:dyDescent="0.35">
      <c r="A78" s="43">
        <v>21</v>
      </c>
      <c r="B78" s="42" t="s">
        <v>149</v>
      </c>
      <c r="C78" s="48" t="s">
        <v>150</v>
      </c>
      <c r="D78" s="285"/>
      <c r="E78" s="285"/>
      <c r="F78" s="56">
        <v>65</v>
      </c>
      <c r="G78" s="56">
        <v>50</v>
      </c>
      <c r="H78" s="83">
        <v>13300</v>
      </c>
      <c r="I78" s="47">
        <f t="shared" si="4"/>
        <v>8379</v>
      </c>
      <c r="J78" s="84">
        <f t="shared" si="3"/>
        <v>8127.63</v>
      </c>
    </row>
    <row r="79" spans="1:10" ht="20.25" customHeight="1" x14ac:dyDescent="0.35">
      <c r="A79" s="42">
        <v>22</v>
      </c>
      <c r="B79" s="42" t="s">
        <v>151</v>
      </c>
      <c r="C79" s="48" t="s">
        <v>152</v>
      </c>
      <c r="D79" s="285"/>
      <c r="E79" s="285"/>
      <c r="F79" s="56">
        <v>65</v>
      </c>
      <c r="G79" s="56">
        <v>50</v>
      </c>
      <c r="H79" s="90">
        <v>13500</v>
      </c>
      <c r="I79" s="47">
        <f t="shared" si="4"/>
        <v>8505</v>
      </c>
      <c r="J79" s="84">
        <f t="shared" si="3"/>
        <v>8249.85</v>
      </c>
    </row>
    <row r="80" spans="1:10" ht="20.25" customHeight="1" x14ac:dyDescent="0.35">
      <c r="A80" s="42">
        <v>23</v>
      </c>
      <c r="B80" s="43" t="s">
        <v>153</v>
      </c>
      <c r="C80" s="60" t="s">
        <v>154</v>
      </c>
      <c r="D80" s="285"/>
      <c r="E80" s="285"/>
      <c r="F80" s="56">
        <v>65</v>
      </c>
      <c r="G80" s="56">
        <v>50</v>
      </c>
      <c r="H80" s="90">
        <v>13340</v>
      </c>
      <c r="I80" s="47">
        <f t="shared" si="4"/>
        <v>8404.2000000000007</v>
      </c>
      <c r="J80" s="84">
        <f t="shared" si="3"/>
        <v>8152.0740000000005</v>
      </c>
    </row>
    <row r="81" spans="1:10" ht="20.25" customHeight="1" x14ac:dyDescent="0.35">
      <c r="A81" s="43">
        <v>24</v>
      </c>
      <c r="B81" s="42"/>
      <c r="C81" s="48" t="s">
        <v>155</v>
      </c>
      <c r="D81" s="285"/>
      <c r="E81" s="285"/>
      <c r="F81" s="56">
        <v>65</v>
      </c>
      <c r="G81" s="56">
        <v>50</v>
      </c>
      <c r="H81" s="83">
        <v>13300</v>
      </c>
      <c r="I81" s="47">
        <f t="shared" si="4"/>
        <v>8379</v>
      </c>
      <c r="J81" s="84">
        <f t="shared" si="3"/>
        <v>8127.63</v>
      </c>
    </row>
    <row r="82" spans="1:10" ht="20.25" customHeight="1" x14ac:dyDescent="0.35">
      <c r="A82" s="42">
        <v>25</v>
      </c>
      <c r="B82" s="43" t="s">
        <v>156</v>
      </c>
      <c r="C82" s="60" t="s">
        <v>157</v>
      </c>
      <c r="D82" s="285"/>
      <c r="E82" s="285"/>
      <c r="F82" s="56">
        <v>75</v>
      </c>
      <c r="G82" s="56">
        <v>75</v>
      </c>
      <c r="H82" s="90">
        <v>13600</v>
      </c>
      <c r="I82" s="47">
        <f t="shared" si="4"/>
        <v>8568</v>
      </c>
      <c r="J82" s="84">
        <f t="shared" si="3"/>
        <v>8310.9599999999991</v>
      </c>
    </row>
    <row r="83" spans="1:10" ht="20.25" customHeight="1" x14ac:dyDescent="0.35">
      <c r="A83" s="42">
        <v>26</v>
      </c>
      <c r="B83" s="42" t="s">
        <v>158</v>
      </c>
      <c r="C83" s="48" t="s">
        <v>159</v>
      </c>
      <c r="D83" s="285"/>
      <c r="E83" s="285"/>
      <c r="F83" s="56">
        <v>75</v>
      </c>
      <c r="G83" s="56">
        <v>75</v>
      </c>
      <c r="H83" s="83">
        <v>13450</v>
      </c>
      <c r="I83" s="47">
        <f t="shared" si="4"/>
        <v>8473.5</v>
      </c>
      <c r="J83" s="84">
        <f t="shared" si="3"/>
        <v>8219.2950000000001</v>
      </c>
    </row>
    <row r="84" spans="1:10" ht="20.25" customHeight="1" x14ac:dyDescent="0.35">
      <c r="A84" s="43">
        <v>27</v>
      </c>
      <c r="B84" s="42" t="s">
        <v>160</v>
      </c>
      <c r="C84" s="48" t="s">
        <v>161</v>
      </c>
      <c r="D84" s="285"/>
      <c r="E84" s="285"/>
      <c r="F84" s="56">
        <v>75</v>
      </c>
      <c r="G84" s="56">
        <v>75</v>
      </c>
      <c r="H84" s="90">
        <v>13800</v>
      </c>
      <c r="I84" s="47">
        <f t="shared" si="4"/>
        <v>8694</v>
      </c>
      <c r="J84" s="84">
        <f t="shared" si="3"/>
        <v>8433.18</v>
      </c>
    </row>
    <row r="85" spans="1:10" ht="20.25" customHeight="1" x14ac:dyDescent="0.35">
      <c r="A85" s="42">
        <v>28</v>
      </c>
      <c r="B85" s="42" t="s">
        <v>162</v>
      </c>
      <c r="C85" s="48" t="s">
        <v>163</v>
      </c>
      <c r="D85" s="285"/>
      <c r="E85" s="285"/>
      <c r="F85" s="56">
        <v>75</v>
      </c>
      <c r="G85" s="56">
        <v>75</v>
      </c>
      <c r="H85" s="90">
        <v>14000</v>
      </c>
      <c r="I85" s="47">
        <f t="shared" si="4"/>
        <v>8820</v>
      </c>
      <c r="J85" s="84">
        <f t="shared" si="3"/>
        <v>8555.4</v>
      </c>
    </row>
    <row r="86" spans="1:10" ht="20.25" customHeight="1" x14ac:dyDescent="0.35">
      <c r="A86" s="42">
        <v>29</v>
      </c>
      <c r="B86" s="42" t="s">
        <v>164</v>
      </c>
      <c r="C86" s="48" t="s">
        <v>165</v>
      </c>
      <c r="D86" s="285"/>
      <c r="E86" s="285"/>
      <c r="F86" s="56">
        <v>75</v>
      </c>
      <c r="G86" s="56">
        <v>75</v>
      </c>
      <c r="H86" s="90">
        <v>14500</v>
      </c>
      <c r="I86" s="47">
        <f t="shared" si="4"/>
        <v>9135</v>
      </c>
      <c r="J86" s="84">
        <f t="shared" si="3"/>
        <v>8860.9499999999989</v>
      </c>
    </row>
    <row r="87" spans="1:10" ht="20.25" customHeight="1" x14ac:dyDescent="0.35">
      <c r="A87" s="43">
        <v>30</v>
      </c>
      <c r="B87" s="43" t="s">
        <v>166</v>
      </c>
      <c r="C87" s="60" t="s">
        <v>167</v>
      </c>
      <c r="D87" s="285"/>
      <c r="E87" s="285"/>
      <c r="F87" s="56">
        <v>75</v>
      </c>
      <c r="G87" s="56">
        <v>75</v>
      </c>
      <c r="H87" s="90">
        <v>13550</v>
      </c>
      <c r="I87" s="47">
        <f t="shared" si="4"/>
        <v>8536.5</v>
      </c>
      <c r="J87" s="84">
        <f t="shared" si="3"/>
        <v>8280.4050000000007</v>
      </c>
    </row>
    <row r="88" spans="1:10" ht="20.25" customHeight="1" x14ac:dyDescent="0.35">
      <c r="A88" s="42">
        <v>31</v>
      </c>
      <c r="B88" s="42" t="s">
        <v>168</v>
      </c>
      <c r="C88" s="48" t="s">
        <v>169</v>
      </c>
      <c r="D88" s="285"/>
      <c r="E88" s="285"/>
      <c r="F88" s="56">
        <v>75</v>
      </c>
      <c r="G88" s="56">
        <v>65</v>
      </c>
      <c r="H88" s="83">
        <v>13450</v>
      </c>
      <c r="I88" s="47">
        <f t="shared" si="4"/>
        <v>8473.5</v>
      </c>
      <c r="J88" s="84">
        <f t="shared" si="3"/>
        <v>8219.2950000000001</v>
      </c>
    </row>
    <row r="89" spans="1:10" ht="20.25" customHeight="1" x14ac:dyDescent="0.35">
      <c r="A89" s="42">
        <v>32</v>
      </c>
      <c r="B89" s="42" t="s">
        <v>170</v>
      </c>
      <c r="C89" s="48" t="s">
        <v>171</v>
      </c>
      <c r="D89" s="285"/>
      <c r="E89" s="285"/>
      <c r="F89" s="56">
        <v>75</v>
      </c>
      <c r="G89" s="56">
        <v>65</v>
      </c>
      <c r="H89" s="90">
        <v>13740</v>
      </c>
      <c r="I89" s="47">
        <f t="shared" si="4"/>
        <v>8656.2000000000007</v>
      </c>
      <c r="J89" s="84">
        <f t="shared" si="3"/>
        <v>8396.514000000001</v>
      </c>
    </row>
    <row r="90" spans="1:10" ht="20.25" customHeight="1" x14ac:dyDescent="0.35">
      <c r="A90" s="43">
        <v>33</v>
      </c>
      <c r="B90" s="43"/>
      <c r="C90" s="61" t="s">
        <v>172</v>
      </c>
      <c r="D90" s="285"/>
      <c r="E90" s="285"/>
      <c r="F90" s="56">
        <v>100</v>
      </c>
      <c r="G90" s="56">
        <v>100</v>
      </c>
      <c r="H90" s="83">
        <v>15000</v>
      </c>
      <c r="I90" s="47">
        <f t="shared" si="4"/>
        <v>9450</v>
      </c>
      <c r="J90" s="84">
        <f t="shared" si="3"/>
        <v>9166.5</v>
      </c>
    </row>
    <row r="91" spans="1:10" ht="20.25" customHeight="1" x14ac:dyDescent="0.35">
      <c r="A91" s="42">
        <v>34</v>
      </c>
      <c r="B91" s="43"/>
      <c r="C91" s="60" t="s">
        <v>173</v>
      </c>
      <c r="D91" s="285"/>
      <c r="E91" s="285"/>
      <c r="F91" s="56">
        <v>100</v>
      </c>
      <c r="G91" s="56">
        <v>100</v>
      </c>
      <c r="H91" s="90">
        <v>15200</v>
      </c>
      <c r="I91" s="47">
        <f t="shared" si="4"/>
        <v>9576</v>
      </c>
      <c r="J91" s="84">
        <f t="shared" si="3"/>
        <v>9288.7199999999993</v>
      </c>
    </row>
    <row r="92" spans="1:10" ht="20.25" customHeight="1" x14ac:dyDescent="0.35">
      <c r="A92" s="42">
        <v>35</v>
      </c>
      <c r="B92" s="43"/>
      <c r="C92" s="61" t="s">
        <v>174</v>
      </c>
      <c r="D92" s="285">
        <v>3</v>
      </c>
      <c r="E92" s="285">
        <v>2.25</v>
      </c>
      <c r="F92" s="56">
        <v>50</v>
      </c>
      <c r="G92" s="56">
        <v>40</v>
      </c>
      <c r="H92" s="83">
        <v>18000</v>
      </c>
      <c r="I92" s="47">
        <f t="shared" si="4"/>
        <v>11340</v>
      </c>
      <c r="J92" s="84">
        <f t="shared" si="3"/>
        <v>10999.8</v>
      </c>
    </row>
    <row r="93" spans="1:10" ht="20.25" customHeight="1" x14ac:dyDescent="0.35">
      <c r="A93" s="43">
        <v>36</v>
      </c>
      <c r="B93" s="43" t="s">
        <v>175</v>
      </c>
      <c r="C93" s="60" t="s">
        <v>176</v>
      </c>
      <c r="D93" s="285"/>
      <c r="E93" s="285"/>
      <c r="F93" s="56">
        <v>50</v>
      </c>
      <c r="G93" s="56">
        <v>40</v>
      </c>
      <c r="H93" s="90">
        <v>18560</v>
      </c>
      <c r="I93" s="47">
        <f t="shared" si="4"/>
        <v>11692.8</v>
      </c>
      <c r="J93" s="84">
        <f t="shared" si="3"/>
        <v>11342.016</v>
      </c>
    </row>
    <row r="94" spans="1:10" ht="20.25" customHeight="1" x14ac:dyDescent="0.35">
      <c r="A94" s="42">
        <v>37</v>
      </c>
      <c r="B94" s="43" t="s">
        <v>177</v>
      </c>
      <c r="C94" s="61" t="s">
        <v>178</v>
      </c>
      <c r="D94" s="285"/>
      <c r="E94" s="285"/>
      <c r="F94" s="56">
        <v>50</v>
      </c>
      <c r="G94" s="56">
        <v>50</v>
      </c>
      <c r="H94" s="83">
        <v>18250</v>
      </c>
      <c r="I94" s="47">
        <f t="shared" si="4"/>
        <v>11497.5</v>
      </c>
      <c r="J94" s="84">
        <f t="shared" si="3"/>
        <v>11152.574999999999</v>
      </c>
    </row>
    <row r="95" spans="1:10" ht="20.25" customHeight="1" x14ac:dyDescent="0.35">
      <c r="A95" s="42">
        <v>38</v>
      </c>
      <c r="B95" s="43" t="s">
        <v>179</v>
      </c>
      <c r="C95" s="60" t="s">
        <v>180</v>
      </c>
      <c r="D95" s="285"/>
      <c r="E95" s="285"/>
      <c r="F95" s="56">
        <v>50</v>
      </c>
      <c r="G95" s="56">
        <v>50</v>
      </c>
      <c r="H95" s="90">
        <v>18670</v>
      </c>
      <c r="I95" s="47">
        <f t="shared" si="4"/>
        <v>11762.1</v>
      </c>
      <c r="J95" s="84">
        <f t="shared" si="3"/>
        <v>11409.236999999999</v>
      </c>
    </row>
    <row r="96" spans="1:10" ht="20.25" customHeight="1" x14ac:dyDescent="0.35">
      <c r="A96" s="43">
        <v>39</v>
      </c>
      <c r="B96" s="42" t="s">
        <v>181</v>
      </c>
      <c r="C96" s="48" t="s">
        <v>182</v>
      </c>
      <c r="D96" s="285"/>
      <c r="E96" s="285"/>
      <c r="F96" s="56">
        <v>65</v>
      </c>
      <c r="G96" s="56">
        <v>50</v>
      </c>
      <c r="H96" s="83">
        <v>18100</v>
      </c>
      <c r="I96" s="47">
        <f t="shared" si="4"/>
        <v>11403</v>
      </c>
      <c r="J96" s="84">
        <f t="shared" si="3"/>
        <v>11060.91</v>
      </c>
    </row>
    <row r="97" spans="1:10" ht="20.25" customHeight="1" x14ac:dyDescent="0.35">
      <c r="A97" s="42">
        <v>40</v>
      </c>
      <c r="B97" s="42" t="s">
        <v>183</v>
      </c>
      <c r="C97" s="48" t="s">
        <v>184</v>
      </c>
      <c r="D97" s="285"/>
      <c r="E97" s="285"/>
      <c r="F97" s="56">
        <v>65</v>
      </c>
      <c r="G97" s="56">
        <v>50</v>
      </c>
      <c r="H97" s="90">
        <v>18770</v>
      </c>
      <c r="I97" s="47">
        <f t="shared" si="4"/>
        <v>11825.1</v>
      </c>
      <c r="J97" s="84">
        <f t="shared" si="3"/>
        <v>11470.347</v>
      </c>
    </row>
    <row r="98" spans="1:10" ht="20.25" customHeight="1" x14ac:dyDescent="0.35">
      <c r="A98" s="42">
        <v>41</v>
      </c>
      <c r="B98" s="42" t="s">
        <v>185</v>
      </c>
      <c r="C98" s="48" t="s">
        <v>186</v>
      </c>
      <c r="D98" s="285"/>
      <c r="E98" s="285"/>
      <c r="F98" s="56">
        <v>75</v>
      </c>
      <c r="G98" s="56">
        <v>75</v>
      </c>
      <c r="H98" s="83">
        <v>18020</v>
      </c>
      <c r="I98" s="47">
        <f t="shared" si="4"/>
        <v>11352.6</v>
      </c>
      <c r="J98" s="84">
        <f t="shared" si="3"/>
        <v>11012.022000000001</v>
      </c>
    </row>
    <row r="99" spans="1:10" ht="20.25" customHeight="1" x14ac:dyDescent="0.35">
      <c r="A99" s="43">
        <v>42</v>
      </c>
      <c r="B99" s="42" t="s">
        <v>187</v>
      </c>
      <c r="C99" s="48" t="s">
        <v>188</v>
      </c>
      <c r="D99" s="285"/>
      <c r="E99" s="285"/>
      <c r="F99" s="56">
        <v>75</v>
      </c>
      <c r="G99" s="56">
        <v>75</v>
      </c>
      <c r="H99" s="90">
        <v>18680</v>
      </c>
      <c r="I99" s="47">
        <f t="shared" si="4"/>
        <v>11768.4</v>
      </c>
      <c r="J99" s="84">
        <f t="shared" si="3"/>
        <v>11415.348</v>
      </c>
    </row>
    <row r="100" spans="1:10" ht="20.25" customHeight="1" x14ac:dyDescent="0.35">
      <c r="A100" s="42">
        <v>43</v>
      </c>
      <c r="B100" s="42" t="s">
        <v>189</v>
      </c>
      <c r="C100" s="48" t="s">
        <v>190</v>
      </c>
      <c r="D100" s="285"/>
      <c r="E100" s="285"/>
      <c r="F100" s="56">
        <v>100</v>
      </c>
      <c r="G100" s="56">
        <v>100</v>
      </c>
      <c r="H100" s="83">
        <v>19100</v>
      </c>
      <c r="I100" s="47">
        <f t="shared" si="4"/>
        <v>12033</v>
      </c>
      <c r="J100" s="84">
        <f t="shared" si="3"/>
        <v>11672.01</v>
      </c>
    </row>
    <row r="101" spans="1:10" ht="20.25" customHeight="1" x14ac:dyDescent="0.35">
      <c r="A101" s="42">
        <v>44</v>
      </c>
      <c r="B101" s="42" t="s">
        <v>191</v>
      </c>
      <c r="C101" s="48" t="s">
        <v>192</v>
      </c>
      <c r="D101" s="285"/>
      <c r="E101" s="285"/>
      <c r="F101" s="56">
        <v>100</v>
      </c>
      <c r="G101" s="56">
        <v>100</v>
      </c>
      <c r="H101" s="90">
        <v>19500</v>
      </c>
      <c r="I101" s="47">
        <f t="shared" si="4"/>
        <v>12285</v>
      </c>
      <c r="J101" s="84">
        <f t="shared" si="3"/>
        <v>11916.449999999999</v>
      </c>
    </row>
    <row r="102" spans="1:10" ht="20.25" customHeight="1" x14ac:dyDescent="0.35">
      <c r="A102" s="43">
        <v>45</v>
      </c>
      <c r="B102" s="42" t="s">
        <v>193</v>
      </c>
      <c r="C102" s="48" t="s">
        <v>194</v>
      </c>
      <c r="D102" s="285"/>
      <c r="E102" s="285"/>
      <c r="F102" s="56">
        <v>100</v>
      </c>
      <c r="G102" s="56">
        <v>100</v>
      </c>
      <c r="H102" s="90">
        <v>14800</v>
      </c>
      <c r="I102" s="47">
        <f t="shared" si="4"/>
        <v>9324</v>
      </c>
      <c r="J102" s="84">
        <f t="shared" si="3"/>
        <v>9044.2800000000007</v>
      </c>
    </row>
    <row r="103" spans="1:10" ht="20.25" customHeight="1" x14ac:dyDescent="0.35">
      <c r="A103" s="42">
        <v>46</v>
      </c>
      <c r="B103" s="43" t="s">
        <v>195</v>
      </c>
      <c r="C103" s="60" t="s">
        <v>196</v>
      </c>
      <c r="D103" s="285"/>
      <c r="E103" s="285"/>
      <c r="F103" s="56">
        <v>100</v>
      </c>
      <c r="G103" s="56">
        <v>100</v>
      </c>
      <c r="H103" s="90">
        <v>15000</v>
      </c>
      <c r="I103" s="47">
        <f t="shared" si="4"/>
        <v>9450</v>
      </c>
      <c r="J103" s="84">
        <f t="shared" si="3"/>
        <v>9166.5</v>
      </c>
    </row>
    <row r="104" spans="1:10" ht="20.25" customHeight="1" x14ac:dyDescent="0.35">
      <c r="A104" s="42">
        <v>47</v>
      </c>
      <c r="B104" s="42" t="s">
        <v>197</v>
      </c>
      <c r="C104" s="48" t="s">
        <v>198</v>
      </c>
      <c r="D104" s="285">
        <v>5</v>
      </c>
      <c r="E104" s="285">
        <v>3.75</v>
      </c>
      <c r="F104" s="56">
        <v>80</v>
      </c>
      <c r="G104" s="56">
        <v>65</v>
      </c>
      <c r="H104" s="90">
        <v>24600</v>
      </c>
      <c r="I104" s="47">
        <f t="shared" si="4"/>
        <v>15498</v>
      </c>
      <c r="J104" s="84">
        <f t="shared" si="3"/>
        <v>15033.06</v>
      </c>
    </row>
    <row r="105" spans="1:10" ht="20.25" customHeight="1" x14ac:dyDescent="0.35">
      <c r="A105" s="43">
        <v>48</v>
      </c>
      <c r="B105" s="43"/>
      <c r="C105" s="62" t="s">
        <v>199</v>
      </c>
      <c r="D105" s="285"/>
      <c r="E105" s="285"/>
      <c r="F105" s="56">
        <v>80</v>
      </c>
      <c r="G105" s="56">
        <v>65</v>
      </c>
      <c r="H105" s="90">
        <v>26000</v>
      </c>
      <c r="I105" s="47">
        <f t="shared" si="4"/>
        <v>16380</v>
      </c>
      <c r="J105" s="84">
        <f t="shared" si="3"/>
        <v>15888.6</v>
      </c>
    </row>
    <row r="106" spans="1:10" ht="20.25" customHeight="1" x14ac:dyDescent="0.35">
      <c r="A106" s="42">
        <v>49</v>
      </c>
      <c r="B106" s="42" t="s">
        <v>200</v>
      </c>
      <c r="C106" s="62" t="s">
        <v>201</v>
      </c>
      <c r="D106" s="285"/>
      <c r="E106" s="285"/>
      <c r="F106" s="56">
        <v>80</v>
      </c>
      <c r="G106" s="56">
        <v>65</v>
      </c>
      <c r="H106" s="90">
        <v>23600</v>
      </c>
      <c r="I106" s="47">
        <f t="shared" si="4"/>
        <v>14868</v>
      </c>
      <c r="J106" s="84">
        <f t="shared" si="3"/>
        <v>14421.96</v>
      </c>
    </row>
    <row r="107" spans="1:10" ht="20.25" customHeight="1" x14ac:dyDescent="0.35">
      <c r="A107" s="42">
        <v>50</v>
      </c>
      <c r="B107" s="43" t="s">
        <v>202</v>
      </c>
      <c r="C107" s="60" t="s">
        <v>203</v>
      </c>
      <c r="D107" s="63">
        <v>0.75</v>
      </c>
      <c r="E107" s="63">
        <v>0.56000000000000005</v>
      </c>
      <c r="F107" s="45">
        <v>25</v>
      </c>
      <c r="G107" s="45">
        <v>25</v>
      </c>
      <c r="H107" s="90">
        <v>5170</v>
      </c>
      <c r="I107" s="47">
        <f t="shared" si="4"/>
        <v>3257.1</v>
      </c>
      <c r="J107" s="84">
        <f t="shared" si="3"/>
        <v>3159.3869999999997</v>
      </c>
    </row>
    <row r="108" spans="1:10" ht="20.25" customHeight="1" x14ac:dyDescent="0.35">
      <c r="A108" s="43">
        <v>51</v>
      </c>
      <c r="B108" s="43" t="s">
        <v>204</v>
      </c>
      <c r="C108" s="60" t="s">
        <v>205</v>
      </c>
      <c r="D108" s="285">
        <v>1</v>
      </c>
      <c r="E108" s="285">
        <v>0.75</v>
      </c>
      <c r="F108" s="56">
        <v>40</v>
      </c>
      <c r="G108" s="56">
        <v>40</v>
      </c>
      <c r="H108" s="90">
        <v>9000</v>
      </c>
      <c r="I108" s="47">
        <f t="shared" si="4"/>
        <v>5670</v>
      </c>
      <c r="J108" s="84">
        <f t="shared" si="3"/>
        <v>5499.9</v>
      </c>
    </row>
    <row r="109" spans="1:10" ht="20.25" customHeight="1" x14ac:dyDescent="0.35">
      <c r="A109" s="42">
        <v>52</v>
      </c>
      <c r="B109" s="43"/>
      <c r="C109" s="60" t="s">
        <v>206</v>
      </c>
      <c r="D109" s="285"/>
      <c r="E109" s="285"/>
      <c r="F109" s="56">
        <v>40</v>
      </c>
      <c r="G109" s="56">
        <v>40</v>
      </c>
      <c r="H109" s="90">
        <v>9000</v>
      </c>
      <c r="I109" s="47">
        <f t="shared" si="4"/>
        <v>5670</v>
      </c>
      <c r="J109" s="84">
        <f t="shared" si="3"/>
        <v>5499.9</v>
      </c>
    </row>
    <row r="110" spans="1:10" ht="20.25" customHeight="1" x14ac:dyDescent="0.35">
      <c r="A110" s="42">
        <v>53</v>
      </c>
      <c r="B110" s="43"/>
      <c r="C110" s="62" t="s">
        <v>207</v>
      </c>
      <c r="D110" s="285">
        <v>2</v>
      </c>
      <c r="E110" s="285">
        <v>1.5</v>
      </c>
      <c r="F110" s="56">
        <v>75</v>
      </c>
      <c r="G110" s="56">
        <v>75</v>
      </c>
      <c r="H110" s="90">
        <v>12500</v>
      </c>
      <c r="I110" s="47">
        <f t="shared" si="4"/>
        <v>7875</v>
      </c>
      <c r="J110" s="84">
        <f t="shared" si="3"/>
        <v>7638.75</v>
      </c>
    </row>
    <row r="111" spans="1:10" ht="20.25" customHeight="1" x14ac:dyDescent="0.35">
      <c r="A111" s="43">
        <v>54</v>
      </c>
      <c r="B111" s="43" t="s">
        <v>208</v>
      </c>
      <c r="C111" s="62" t="s">
        <v>209</v>
      </c>
      <c r="D111" s="285"/>
      <c r="E111" s="285"/>
      <c r="F111" s="56">
        <v>75</v>
      </c>
      <c r="G111" s="56">
        <v>75</v>
      </c>
      <c r="H111" s="90">
        <v>12500</v>
      </c>
      <c r="I111" s="47">
        <f t="shared" si="4"/>
        <v>7875</v>
      </c>
      <c r="J111" s="84">
        <f t="shared" si="3"/>
        <v>7638.75</v>
      </c>
    </row>
    <row r="112" spans="1:10" ht="20.25" customHeight="1" x14ac:dyDescent="0.35">
      <c r="A112" s="42">
        <v>55</v>
      </c>
      <c r="B112" s="43" t="s">
        <v>210</v>
      </c>
      <c r="C112" s="62" t="s">
        <v>211</v>
      </c>
      <c r="D112" s="285"/>
      <c r="E112" s="285"/>
      <c r="F112" s="56">
        <v>65</v>
      </c>
      <c r="G112" s="56">
        <v>50</v>
      </c>
      <c r="H112" s="90">
        <v>12200</v>
      </c>
      <c r="I112" s="47">
        <f t="shared" si="4"/>
        <v>7686</v>
      </c>
      <c r="J112" s="84">
        <f t="shared" si="3"/>
        <v>7455.42</v>
      </c>
    </row>
    <row r="113" spans="1:10" ht="20.25" customHeight="1" x14ac:dyDescent="0.35">
      <c r="A113" s="42">
        <v>56</v>
      </c>
      <c r="B113" s="43" t="s">
        <v>212</v>
      </c>
      <c r="C113" s="62" t="s">
        <v>213</v>
      </c>
      <c r="D113" s="285"/>
      <c r="E113" s="285"/>
      <c r="F113" s="56">
        <v>50</v>
      </c>
      <c r="G113" s="56">
        <v>50</v>
      </c>
      <c r="H113" s="90">
        <v>12200</v>
      </c>
      <c r="I113" s="47">
        <f t="shared" si="4"/>
        <v>7686</v>
      </c>
      <c r="J113" s="84">
        <f t="shared" si="3"/>
        <v>7455.42</v>
      </c>
    </row>
    <row r="114" spans="1:10" ht="20.25" customHeight="1" x14ac:dyDescent="0.35">
      <c r="A114" s="284" t="s">
        <v>214</v>
      </c>
      <c r="B114" s="284"/>
      <c r="C114" s="284"/>
      <c r="D114" s="284"/>
      <c r="E114" s="284"/>
      <c r="F114" s="284"/>
      <c r="G114" s="284"/>
      <c r="H114" s="307" t="s">
        <v>109</v>
      </c>
      <c r="I114" s="310" t="s">
        <v>505</v>
      </c>
      <c r="J114" s="310"/>
    </row>
    <row r="115" spans="1:10" ht="20.25" customHeight="1" x14ac:dyDescent="0.35">
      <c r="A115" s="281" t="s">
        <v>2</v>
      </c>
      <c r="B115" s="281" t="s">
        <v>3</v>
      </c>
      <c r="C115" s="283" t="s">
        <v>4</v>
      </c>
      <c r="D115" s="281" t="s">
        <v>5</v>
      </c>
      <c r="E115" s="281"/>
      <c r="F115" s="281" t="s">
        <v>6</v>
      </c>
      <c r="G115" s="281"/>
      <c r="H115" s="307"/>
      <c r="I115" s="310"/>
      <c r="J115" s="310"/>
    </row>
    <row r="116" spans="1:10" ht="20.25" customHeight="1" x14ac:dyDescent="0.35">
      <c r="A116" s="281"/>
      <c r="B116" s="281"/>
      <c r="C116" s="283"/>
      <c r="D116" s="58" t="s">
        <v>9</v>
      </c>
      <c r="E116" s="58" t="s">
        <v>10</v>
      </c>
      <c r="F116" s="58" t="s">
        <v>11</v>
      </c>
      <c r="G116" s="58" t="s">
        <v>12</v>
      </c>
      <c r="H116" s="307"/>
      <c r="I116" s="59">
        <v>0.37</v>
      </c>
      <c r="J116" s="91">
        <v>0.03</v>
      </c>
    </row>
    <row r="117" spans="1:10" ht="20.25" customHeight="1" x14ac:dyDescent="0.35">
      <c r="A117" s="43">
        <v>1</v>
      </c>
      <c r="B117" s="43" t="s">
        <v>215</v>
      </c>
      <c r="C117" s="44" t="s">
        <v>216</v>
      </c>
      <c r="D117" s="45">
        <v>0.5</v>
      </c>
      <c r="E117" s="45">
        <v>0.37</v>
      </c>
      <c r="F117" s="45">
        <v>25</v>
      </c>
      <c r="G117" s="45">
        <v>25</v>
      </c>
      <c r="H117" s="46">
        <v>5370</v>
      </c>
      <c r="I117" s="309">
        <f t="shared" ref="I117:I128" si="5">H117*0.63</f>
        <v>3383.1</v>
      </c>
      <c r="J117" s="309"/>
    </row>
    <row r="118" spans="1:10" ht="20.25" customHeight="1" x14ac:dyDescent="0.35">
      <c r="A118" s="43">
        <v>2</v>
      </c>
      <c r="B118" s="43" t="s">
        <v>217</v>
      </c>
      <c r="C118" s="44" t="s">
        <v>218</v>
      </c>
      <c r="D118" s="45">
        <v>1</v>
      </c>
      <c r="E118" s="45">
        <v>0.75</v>
      </c>
      <c r="F118" s="45">
        <v>25</v>
      </c>
      <c r="G118" s="45">
        <v>25</v>
      </c>
      <c r="H118" s="46">
        <v>7070</v>
      </c>
      <c r="I118" s="302">
        <v>4793</v>
      </c>
      <c r="J118" s="302"/>
    </row>
    <row r="119" spans="1:10" ht="20.25" customHeight="1" x14ac:dyDescent="0.35">
      <c r="A119" s="43">
        <v>3</v>
      </c>
      <c r="B119" s="64" t="s">
        <v>219</v>
      </c>
      <c r="C119" s="65" t="s">
        <v>220</v>
      </c>
      <c r="D119" s="66">
        <v>2</v>
      </c>
      <c r="E119" s="43">
        <v>1.5</v>
      </c>
      <c r="F119" s="43">
        <v>50</v>
      </c>
      <c r="G119" s="43">
        <v>50</v>
      </c>
      <c r="H119" s="43">
        <v>12200</v>
      </c>
      <c r="I119" s="47">
        <f t="shared" si="5"/>
        <v>7686</v>
      </c>
      <c r="J119" s="84">
        <f t="shared" ref="J119:J154" si="6">I119*0.97</f>
        <v>7455.42</v>
      </c>
    </row>
    <row r="120" spans="1:10" ht="20.25" customHeight="1" x14ac:dyDescent="0.35">
      <c r="A120" s="43">
        <v>4</v>
      </c>
      <c r="B120" s="64" t="s">
        <v>221</v>
      </c>
      <c r="C120" s="65" t="s">
        <v>222</v>
      </c>
      <c r="D120" s="66">
        <v>2</v>
      </c>
      <c r="E120" s="43">
        <v>1.5</v>
      </c>
      <c r="F120" s="43">
        <v>50</v>
      </c>
      <c r="G120" s="43">
        <v>50</v>
      </c>
      <c r="H120" s="43">
        <v>12200</v>
      </c>
      <c r="I120" s="47">
        <f t="shared" si="5"/>
        <v>7686</v>
      </c>
      <c r="J120" s="84">
        <f t="shared" si="6"/>
        <v>7455.42</v>
      </c>
    </row>
    <row r="121" spans="1:10" ht="20.25" customHeight="1" x14ac:dyDescent="0.35">
      <c r="A121" s="43">
        <v>5</v>
      </c>
      <c r="B121" s="64" t="s">
        <v>223</v>
      </c>
      <c r="C121" s="65" t="s">
        <v>224</v>
      </c>
      <c r="D121" s="66">
        <v>2</v>
      </c>
      <c r="E121" s="43">
        <v>1.5</v>
      </c>
      <c r="F121" s="43">
        <v>65</v>
      </c>
      <c r="G121" s="43">
        <v>50</v>
      </c>
      <c r="H121" s="43">
        <v>12300</v>
      </c>
      <c r="I121" s="47">
        <f t="shared" si="5"/>
        <v>7749</v>
      </c>
      <c r="J121" s="84">
        <f t="shared" si="6"/>
        <v>7516.53</v>
      </c>
    </row>
    <row r="122" spans="1:10" ht="20.25" customHeight="1" x14ac:dyDescent="0.35">
      <c r="A122" s="43">
        <v>6</v>
      </c>
      <c r="B122" s="64" t="s">
        <v>225</v>
      </c>
      <c r="C122" s="65" t="s">
        <v>226</v>
      </c>
      <c r="D122" s="66">
        <v>2</v>
      </c>
      <c r="E122" s="43">
        <v>1.5</v>
      </c>
      <c r="F122" s="43">
        <v>65</v>
      </c>
      <c r="G122" s="43">
        <v>50</v>
      </c>
      <c r="H122" s="43">
        <v>12300</v>
      </c>
      <c r="I122" s="47">
        <f t="shared" si="5"/>
        <v>7749</v>
      </c>
      <c r="J122" s="84">
        <f t="shared" si="6"/>
        <v>7516.53</v>
      </c>
    </row>
    <row r="123" spans="1:10" ht="20.25" customHeight="1" x14ac:dyDescent="0.35">
      <c r="A123" s="43">
        <v>7</v>
      </c>
      <c r="B123" s="64" t="s">
        <v>227</v>
      </c>
      <c r="C123" s="65" t="s">
        <v>228</v>
      </c>
      <c r="D123" s="64">
        <v>3</v>
      </c>
      <c r="E123" s="43">
        <v>2.25</v>
      </c>
      <c r="F123" s="43">
        <v>65</v>
      </c>
      <c r="G123" s="43">
        <v>50</v>
      </c>
      <c r="H123" s="43">
        <v>12900</v>
      </c>
      <c r="I123" s="47">
        <f t="shared" si="5"/>
        <v>8127</v>
      </c>
      <c r="J123" s="84">
        <f t="shared" si="6"/>
        <v>7883.19</v>
      </c>
    </row>
    <row r="124" spans="1:10" ht="20.25" customHeight="1" x14ac:dyDescent="0.35">
      <c r="A124" s="43">
        <v>8</v>
      </c>
      <c r="B124" s="64" t="s">
        <v>229</v>
      </c>
      <c r="C124" s="67" t="s">
        <v>230</v>
      </c>
      <c r="D124" s="64">
        <v>3</v>
      </c>
      <c r="E124" s="43">
        <v>2.25</v>
      </c>
      <c r="F124" s="43">
        <v>65</v>
      </c>
      <c r="G124" s="43">
        <v>50</v>
      </c>
      <c r="H124" s="43">
        <v>13000</v>
      </c>
      <c r="I124" s="47">
        <f t="shared" si="5"/>
        <v>8190</v>
      </c>
      <c r="J124" s="84">
        <f t="shared" si="6"/>
        <v>7944.3</v>
      </c>
    </row>
    <row r="125" spans="1:10" ht="20.25" customHeight="1" x14ac:dyDescent="0.35">
      <c r="A125" s="43">
        <v>9</v>
      </c>
      <c r="B125" s="64" t="s">
        <v>231</v>
      </c>
      <c r="C125" s="67" t="s">
        <v>232</v>
      </c>
      <c r="D125" s="64">
        <v>3</v>
      </c>
      <c r="E125" s="43">
        <v>2.25</v>
      </c>
      <c r="F125" s="43">
        <v>65</v>
      </c>
      <c r="G125" s="43">
        <v>50</v>
      </c>
      <c r="H125" s="43">
        <v>12900</v>
      </c>
      <c r="I125" s="47">
        <f t="shared" si="5"/>
        <v>8127</v>
      </c>
      <c r="J125" s="84">
        <f t="shared" si="6"/>
        <v>7883.19</v>
      </c>
    </row>
    <row r="126" spans="1:10" ht="20.25" customHeight="1" x14ac:dyDescent="0.35">
      <c r="A126" s="43">
        <v>10</v>
      </c>
      <c r="B126" s="64" t="s">
        <v>233</v>
      </c>
      <c r="C126" s="67" t="s">
        <v>234</v>
      </c>
      <c r="D126" s="64">
        <v>3</v>
      </c>
      <c r="E126" s="43">
        <v>2.25</v>
      </c>
      <c r="F126" s="43">
        <v>65</v>
      </c>
      <c r="G126" s="43">
        <v>50</v>
      </c>
      <c r="H126" s="43">
        <v>19300</v>
      </c>
      <c r="I126" s="47">
        <f t="shared" si="5"/>
        <v>12159</v>
      </c>
      <c r="J126" s="84">
        <f t="shared" si="6"/>
        <v>11794.23</v>
      </c>
    </row>
    <row r="127" spans="1:10" ht="20.25" customHeight="1" x14ac:dyDescent="0.35">
      <c r="A127" s="43">
        <v>11</v>
      </c>
      <c r="B127" s="64" t="s">
        <v>235</v>
      </c>
      <c r="C127" s="67" t="s">
        <v>236</v>
      </c>
      <c r="D127" s="64">
        <v>5</v>
      </c>
      <c r="E127" s="56">
        <v>3.75</v>
      </c>
      <c r="F127" s="43">
        <v>65</v>
      </c>
      <c r="G127" s="43">
        <v>50</v>
      </c>
      <c r="H127" s="43">
        <v>18700</v>
      </c>
      <c r="I127" s="47">
        <f t="shared" si="5"/>
        <v>11781</v>
      </c>
      <c r="J127" s="84">
        <f t="shared" si="6"/>
        <v>11427.57</v>
      </c>
    </row>
    <row r="128" spans="1:10" ht="20.25" customHeight="1" x14ac:dyDescent="0.35">
      <c r="A128" s="43">
        <v>12</v>
      </c>
      <c r="B128" s="64" t="s">
        <v>237</v>
      </c>
      <c r="C128" s="67" t="s">
        <v>238</v>
      </c>
      <c r="D128" s="64">
        <v>5</v>
      </c>
      <c r="E128" s="56">
        <v>3.75</v>
      </c>
      <c r="F128" s="43">
        <v>65</v>
      </c>
      <c r="G128" s="43">
        <v>50</v>
      </c>
      <c r="H128" s="43">
        <v>22900</v>
      </c>
      <c r="I128" s="47">
        <f t="shared" si="5"/>
        <v>14427</v>
      </c>
      <c r="J128" s="84">
        <f t="shared" si="6"/>
        <v>13994.19</v>
      </c>
    </row>
    <row r="129" spans="1:10" ht="20.25" customHeight="1" x14ac:dyDescent="0.35">
      <c r="A129" s="284" t="s">
        <v>239</v>
      </c>
      <c r="B129" s="284"/>
      <c r="C129" s="284"/>
      <c r="D129" s="284"/>
      <c r="E129" s="284"/>
      <c r="F129" s="284"/>
      <c r="G129" s="284"/>
      <c r="H129" s="307" t="s">
        <v>109</v>
      </c>
      <c r="I129" s="310" t="s">
        <v>505</v>
      </c>
      <c r="J129" s="310"/>
    </row>
    <row r="130" spans="1:10" ht="20.25" customHeight="1" x14ac:dyDescent="0.35">
      <c r="A130" s="281" t="s">
        <v>2</v>
      </c>
      <c r="B130" s="281" t="s">
        <v>3</v>
      </c>
      <c r="C130" s="283" t="s">
        <v>4</v>
      </c>
      <c r="D130" s="281" t="s">
        <v>5</v>
      </c>
      <c r="E130" s="281"/>
      <c r="F130" s="281" t="s">
        <v>6</v>
      </c>
      <c r="G130" s="281"/>
      <c r="H130" s="307"/>
      <c r="I130" s="310"/>
      <c r="J130" s="310"/>
    </row>
    <row r="131" spans="1:10" ht="20.25" customHeight="1" x14ac:dyDescent="0.35">
      <c r="A131" s="281"/>
      <c r="B131" s="281"/>
      <c r="C131" s="283"/>
      <c r="D131" s="58" t="s">
        <v>9</v>
      </c>
      <c r="E131" s="58" t="s">
        <v>10</v>
      </c>
      <c r="F131" s="281"/>
      <c r="G131" s="281"/>
      <c r="H131" s="307"/>
      <c r="I131" s="59">
        <v>0.37</v>
      </c>
      <c r="J131" s="91">
        <v>0.03</v>
      </c>
    </row>
    <row r="132" spans="1:10" ht="20.25" customHeight="1" x14ac:dyDescent="0.35">
      <c r="A132" s="43">
        <v>1</v>
      </c>
      <c r="B132" s="43" t="s">
        <v>240</v>
      </c>
      <c r="C132" s="68" t="s">
        <v>241</v>
      </c>
      <c r="D132" s="43">
        <v>0.5</v>
      </c>
      <c r="E132" s="43"/>
      <c r="F132" s="279">
        <v>32</v>
      </c>
      <c r="G132" s="279"/>
      <c r="H132" s="43">
        <v>8240</v>
      </c>
      <c r="I132" s="47">
        <f t="shared" ref="I132:I154" si="7">H132*0.63</f>
        <v>5191.2</v>
      </c>
      <c r="J132" s="84">
        <f t="shared" si="6"/>
        <v>5035.4639999999999</v>
      </c>
    </row>
    <row r="133" spans="1:10" ht="20.25" customHeight="1" x14ac:dyDescent="0.35">
      <c r="A133" s="43">
        <v>2</v>
      </c>
      <c r="B133" s="43" t="s">
        <v>242</v>
      </c>
      <c r="C133" s="68" t="s">
        <v>243</v>
      </c>
      <c r="D133" s="43">
        <v>0.5</v>
      </c>
      <c r="E133" s="43"/>
      <c r="F133" s="279">
        <v>32</v>
      </c>
      <c r="G133" s="279"/>
      <c r="H133" s="43">
        <v>8450</v>
      </c>
      <c r="I133" s="47">
        <f t="shared" si="7"/>
        <v>5323.5</v>
      </c>
      <c r="J133" s="84">
        <f t="shared" si="6"/>
        <v>5163.7950000000001</v>
      </c>
    </row>
    <row r="134" spans="1:10" ht="20.25" customHeight="1" x14ac:dyDescent="0.35">
      <c r="A134" s="43">
        <v>3</v>
      </c>
      <c r="B134" s="43" t="s">
        <v>244</v>
      </c>
      <c r="C134" s="68" t="s">
        <v>245</v>
      </c>
      <c r="D134" s="43">
        <v>0.75</v>
      </c>
      <c r="E134" s="43"/>
      <c r="F134" s="279">
        <v>32</v>
      </c>
      <c r="G134" s="279"/>
      <c r="H134" s="43">
        <v>8550</v>
      </c>
      <c r="I134" s="47">
        <f t="shared" si="7"/>
        <v>5386.5</v>
      </c>
      <c r="J134" s="84">
        <f t="shared" si="6"/>
        <v>5224.9049999999997</v>
      </c>
    </row>
    <row r="135" spans="1:10" ht="20.25" customHeight="1" x14ac:dyDescent="0.35">
      <c r="A135" s="43">
        <v>4</v>
      </c>
      <c r="B135" s="43" t="s">
        <v>246</v>
      </c>
      <c r="C135" s="68" t="s">
        <v>247</v>
      </c>
      <c r="D135" s="43">
        <v>0.75</v>
      </c>
      <c r="E135" s="43"/>
      <c r="F135" s="279">
        <v>32</v>
      </c>
      <c r="G135" s="279"/>
      <c r="H135" s="43">
        <v>8750</v>
      </c>
      <c r="I135" s="47">
        <f t="shared" si="7"/>
        <v>5512.5</v>
      </c>
      <c r="J135" s="84">
        <f t="shared" si="6"/>
        <v>5347.125</v>
      </c>
    </row>
    <row r="136" spans="1:10" ht="20.25" customHeight="1" x14ac:dyDescent="0.35">
      <c r="A136" s="43">
        <v>5</v>
      </c>
      <c r="B136" s="43" t="s">
        <v>248</v>
      </c>
      <c r="C136" s="68" t="s">
        <v>249</v>
      </c>
      <c r="D136" s="43">
        <v>1</v>
      </c>
      <c r="E136" s="43"/>
      <c r="F136" s="279">
        <v>32</v>
      </c>
      <c r="G136" s="279"/>
      <c r="H136" s="47">
        <v>8800</v>
      </c>
      <c r="I136" s="47">
        <f t="shared" si="7"/>
        <v>5544</v>
      </c>
      <c r="J136" s="84">
        <f t="shared" si="6"/>
        <v>5377.68</v>
      </c>
    </row>
    <row r="137" spans="1:10" ht="20.25" customHeight="1" x14ac:dyDescent="0.35">
      <c r="A137" s="43">
        <v>6</v>
      </c>
      <c r="B137" s="43" t="s">
        <v>250</v>
      </c>
      <c r="C137" s="68" t="s">
        <v>251</v>
      </c>
      <c r="D137" s="43">
        <v>1</v>
      </c>
      <c r="E137" s="43"/>
      <c r="F137" s="279">
        <v>32</v>
      </c>
      <c r="G137" s="279"/>
      <c r="H137" s="47">
        <v>9000</v>
      </c>
      <c r="I137" s="47">
        <f t="shared" si="7"/>
        <v>5670</v>
      </c>
      <c r="J137" s="84">
        <f t="shared" si="6"/>
        <v>5499.9</v>
      </c>
    </row>
    <row r="138" spans="1:10" ht="20.25" customHeight="1" x14ac:dyDescent="0.35">
      <c r="A138" s="43">
        <v>7</v>
      </c>
      <c r="B138" s="43" t="s">
        <v>252</v>
      </c>
      <c r="C138" s="68" t="s">
        <v>253</v>
      </c>
      <c r="D138" s="43">
        <v>1</v>
      </c>
      <c r="E138" s="43"/>
      <c r="F138" s="279">
        <v>32</v>
      </c>
      <c r="G138" s="279"/>
      <c r="H138" s="43">
        <v>9480</v>
      </c>
      <c r="I138" s="47">
        <f t="shared" si="7"/>
        <v>5972.4</v>
      </c>
      <c r="J138" s="84">
        <f t="shared" si="6"/>
        <v>5793.2279999999992</v>
      </c>
    </row>
    <row r="139" spans="1:10" ht="20.25" customHeight="1" x14ac:dyDescent="0.35">
      <c r="A139" s="43">
        <v>8</v>
      </c>
      <c r="B139" s="43" t="s">
        <v>254</v>
      </c>
      <c r="C139" s="68" t="s">
        <v>255</v>
      </c>
      <c r="D139" s="43">
        <v>1</v>
      </c>
      <c r="E139" s="43"/>
      <c r="F139" s="279">
        <v>32</v>
      </c>
      <c r="G139" s="279"/>
      <c r="H139" s="43">
        <v>9790</v>
      </c>
      <c r="I139" s="47">
        <f t="shared" si="7"/>
        <v>6167.7</v>
      </c>
      <c r="J139" s="84">
        <f t="shared" si="6"/>
        <v>5982.6689999999999</v>
      </c>
    </row>
    <row r="140" spans="1:10" ht="20.25" customHeight="1" x14ac:dyDescent="0.35">
      <c r="A140" s="43">
        <v>9</v>
      </c>
      <c r="B140" s="43" t="s">
        <v>256</v>
      </c>
      <c r="C140" s="68" t="s">
        <v>257</v>
      </c>
      <c r="D140" s="43">
        <v>1.5</v>
      </c>
      <c r="E140" s="43"/>
      <c r="F140" s="279">
        <v>32</v>
      </c>
      <c r="G140" s="279"/>
      <c r="H140" s="43">
        <v>11330</v>
      </c>
      <c r="I140" s="47">
        <f t="shared" si="7"/>
        <v>7137.9</v>
      </c>
      <c r="J140" s="84">
        <f t="shared" si="6"/>
        <v>6923.762999999999</v>
      </c>
    </row>
    <row r="141" spans="1:10" ht="20.25" customHeight="1" x14ac:dyDescent="0.35">
      <c r="A141" s="43">
        <v>10</v>
      </c>
      <c r="B141" s="43" t="s">
        <v>258</v>
      </c>
      <c r="C141" s="68" t="s">
        <v>259</v>
      </c>
      <c r="D141" s="43">
        <v>1.5</v>
      </c>
      <c r="E141" s="43"/>
      <c r="F141" s="279">
        <v>32</v>
      </c>
      <c r="G141" s="279"/>
      <c r="H141" s="43">
        <v>11640</v>
      </c>
      <c r="I141" s="47">
        <f t="shared" si="7"/>
        <v>7333.2</v>
      </c>
      <c r="J141" s="84">
        <f t="shared" si="6"/>
        <v>7113.2039999999997</v>
      </c>
    </row>
    <row r="142" spans="1:10" ht="20.25" customHeight="1" x14ac:dyDescent="0.35">
      <c r="A142" s="43">
        <v>11</v>
      </c>
      <c r="B142" s="43" t="s">
        <v>260</v>
      </c>
      <c r="C142" s="68" t="s">
        <v>261</v>
      </c>
      <c r="D142" s="43">
        <v>1.5</v>
      </c>
      <c r="E142" s="43"/>
      <c r="F142" s="279">
        <v>32</v>
      </c>
      <c r="G142" s="279"/>
      <c r="H142" s="43">
        <v>11800</v>
      </c>
      <c r="I142" s="47">
        <f t="shared" si="7"/>
        <v>7434</v>
      </c>
      <c r="J142" s="84">
        <f t="shared" si="6"/>
        <v>7210.98</v>
      </c>
    </row>
    <row r="143" spans="1:10" ht="20.25" customHeight="1" x14ac:dyDescent="0.35">
      <c r="A143" s="43">
        <v>12</v>
      </c>
      <c r="B143" s="43" t="s">
        <v>262</v>
      </c>
      <c r="C143" s="68" t="s">
        <v>263</v>
      </c>
      <c r="D143" s="43">
        <v>1.5</v>
      </c>
      <c r="E143" s="43"/>
      <c r="F143" s="279">
        <v>32</v>
      </c>
      <c r="G143" s="279"/>
      <c r="H143" s="43">
        <v>12670</v>
      </c>
      <c r="I143" s="47">
        <f t="shared" si="7"/>
        <v>7982.1</v>
      </c>
      <c r="J143" s="84">
        <f t="shared" si="6"/>
        <v>7742.6369999999997</v>
      </c>
    </row>
    <row r="144" spans="1:10" ht="20.25" customHeight="1" x14ac:dyDescent="0.35">
      <c r="A144" s="43">
        <v>13</v>
      </c>
      <c r="B144" s="43" t="s">
        <v>264</v>
      </c>
      <c r="C144" s="68" t="s">
        <v>265</v>
      </c>
      <c r="D144" s="43">
        <v>2</v>
      </c>
      <c r="E144" s="43"/>
      <c r="F144" s="279">
        <v>40</v>
      </c>
      <c r="G144" s="279"/>
      <c r="H144" s="43">
        <v>14730</v>
      </c>
      <c r="I144" s="47">
        <f t="shared" si="7"/>
        <v>9279.9</v>
      </c>
      <c r="J144" s="84">
        <f t="shared" si="6"/>
        <v>9001.5029999999988</v>
      </c>
    </row>
    <row r="145" spans="1:10" ht="20.25" customHeight="1" x14ac:dyDescent="0.35">
      <c r="A145" s="43">
        <v>14</v>
      </c>
      <c r="B145" s="43" t="s">
        <v>266</v>
      </c>
      <c r="C145" s="68" t="s">
        <v>267</v>
      </c>
      <c r="D145" s="43">
        <v>2</v>
      </c>
      <c r="E145" s="43"/>
      <c r="F145" s="279">
        <v>32</v>
      </c>
      <c r="G145" s="279"/>
      <c r="H145" s="43">
        <v>15250</v>
      </c>
      <c r="I145" s="47">
        <f t="shared" si="7"/>
        <v>9607.5</v>
      </c>
      <c r="J145" s="84">
        <f t="shared" si="6"/>
        <v>9319.2749999999996</v>
      </c>
    </row>
    <row r="146" spans="1:10" ht="20.25" customHeight="1" x14ac:dyDescent="0.35">
      <c r="A146" s="43">
        <v>15</v>
      </c>
      <c r="B146" s="43" t="s">
        <v>268</v>
      </c>
      <c r="C146" s="68" t="s">
        <v>269</v>
      </c>
      <c r="D146" s="43">
        <v>2</v>
      </c>
      <c r="E146" s="43"/>
      <c r="F146" s="279">
        <v>32</v>
      </c>
      <c r="G146" s="279"/>
      <c r="H146" s="43">
        <v>15860</v>
      </c>
      <c r="I146" s="47">
        <f t="shared" si="7"/>
        <v>9991.7999999999993</v>
      </c>
      <c r="J146" s="84">
        <f t="shared" si="6"/>
        <v>9692.0459999999985</v>
      </c>
    </row>
    <row r="147" spans="1:10" ht="20.25" customHeight="1" x14ac:dyDescent="0.35">
      <c r="A147" s="43">
        <v>16</v>
      </c>
      <c r="B147" s="43" t="s">
        <v>270</v>
      </c>
      <c r="C147" s="68" t="s">
        <v>271</v>
      </c>
      <c r="D147" s="43">
        <v>2</v>
      </c>
      <c r="E147" s="43"/>
      <c r="F147" s="279">
        <v>32</v>
      </c>
      <c r="G147" s="279"/>
      <c r="H147" s="43">
        <v>15970</v>
      </c>
      <c r="I147" s="47">
        <f t="shared" si="7"/>
        <v>10061.1</v>
      </c>
      <c r="J147" s="84">
        <f t="shared" si="6"/>
        <v>9759.2669999999998</v>
      </c>
    </row>
    <row r="148" spans="1:10" ht="20.25" customHeight="1" x14ac:dyDescent="0.35">
      <c r="A148" s="43">
        <v>17</v>
      </c>
      <c r="B148" s="43" t="s">
        <v>272</v>
      </c>
      <c r="C148" s="68" t="s">
        <v>273</v>
      </c>
      <c r="D148" s="43">
        <v>2</v>
      </c>
      <c r="E148" s="43"/>
      <c r="F148" s="279">
        <v>32</v>
      </c>
      <c r="G148" s="279"/>
      <c r="H148" s="43">
        <v>16480</v>
      </c>
      <c r="I148" s="47">
        <f t="shared" si="7"/>
        <v>10382.4</v>
      </c>
      <c r="J148" s="84">
        <f t="shared" si="6"/>
        <v>10070.928</v>
      </c>
    </row>
    <row r="149" spans="1:10" ht="20.25" customHeight="1" x14ac:dyDescent="0.35">
      <c r="A149" s="43">
        <v>18</v>
      </c>
      <c r="B149" s="43" t="s">
        <v>274</v>
      </c>
      <c r="C149" s="68" t="s">
        <v>275</v>
      </c>
      <c r="D149" s="43">
        <v>2</v>
      </c>
      <c r="E149" s="43"/>
      <c r="F149" s="279">
        <v>65</v>
      </c>
      <c r="G149" s="279"/>
      <c r="H149" s="43">
        <v>14940</v>
      </c>
      <c r="I149" s="47">
        <f t="shared" si="7"/>
        <v>9412.2000000000007</v>
      </c>
      <c r="J149" s="84">
        <f t="shared" si="6"/>
        <v>9129.8340000000007</v>
      </c>
    </row>
    <row r="150" spans="1:10" ht="20.25" customHeight="1" x14ac:dyDescent="0.35">
      <c r="A150" s="43">
        <v>19</v>
      </c>
      <c r="B150" s="43" t="s">
        <v>276</v>
      </c>
      <c r="C150" s="68" t="s">
        <v>277</v>
      </c>
      <c r="D150" s="43">
        <v>3</v>
      </c>
      <c r="E150" s="43"/>
      <c r="F150" s="279">
        <v>32</v>
      </c>
      <c r="G150" s="279"/>
      <c r="H150" s="43">
        <v>23500</v>
      </c>
      <c r="I150" s="47">
        <f t="shared" si="7"/>
        <v>14805</v>
      </c>
      <c r="J150" s="84">
        <f t="shared" si="6"/>
        <v>14360.85</v>
      </c>
    </row>
    <row r="151" spans="1:10" ht="20.25" customHeight="1" x14ac:dyDescent="0.35">
      <c r="A151" s="43">
        <v>20</v>
      </c>
      <c r="B151" s="43" t="s">
        <v>278</v>
      </c>
      <c r="C151" s="68" t="s">
        <v>279</v>
      </c>
      <c r="D151" s="43">
        <v>3</v>
      </c>
      <c r="E151" s="43"/>
      <c r="F151" s="279">
        <v>32</v>
      </c>
      <c r="G151" s="279"/>
      <c r="H151" s="43">
        <v>24000</v>
      </c>
      <c r="I151" s="47">
        <f t="shared" si="7"/>
        <v>15120</v>
      </c>
      <c r="J151" s="84">
        <f t="shared" si="6"/>
        <v>14666.4</v>
      </c>
    </row>
    <row r="152" spans="1:10" ht="20.25" customHeight="1" x14ac:dyDescent="0.35">
      <c r="A152" s="43">
        <v>21</v>
      </c>
      <c r="B152" s="43" t="s">
        <v>280</v>
      </c>
      <c r="C152" s="68" t="s">
        <v>281</v>
      </c>
      <c r="D152" s="43">
        <v>3</v>
      </c>
      <c r="E152" s="43"/>
      <c r="F152" s="279">
        <v>32</v>
      </c>
      <c r="G152" s="279"/>
      <c r="H152" s="43">
        <v>24500</v>
      </c>
      <c r="I152" s="47">
        <f t="shared" si="7"/>
        <v>15435</v>
      </c>
      <c r="J152" s="84">
        <f t="shared" si="6"/>
        <v>14971.949999999999</v>
      </c>
    </row>
    <row r="153" spans="1:10" ht="20.25" customHeight="1" x14ac:dyDescent="0.35">
      <c r="A153" s="43">
        <v>22</v>
      </c>
      <c r="B153" s="43" t="s">
        <v>282</v>
      </c>
      <c r="C153" s="68" t="s">
        <v>283</v>
      </c>
      <c r="D153" s="43">
        <v>3</v>
      </c>
      <c r="E153" s="43"/>
      <c r="F153" s="279">
        <v>65</v>
      </c>
      <c r="G153" s="279"/>
      <c r="H153" s="43">
        <v>23690</v>
      </c>
      <c r="I153" s="47">
        <f t="shared" si="7"/>
        <v>14924.7</v>
      </c>
      <c r="J153" s="84">
        <f t="shared" si="6"/>
        <v>14476.959000000001</v>
      </c>
    </row>
    <row r="154" spans="1:10" ht="20.25" customHeight="1" x14ac:dyDescent="0.35">
      <c r="A154" s="43">
        <v>23</v>
      </c>
      <c r="B154" s="43" t="s">
        <v>284</v>
      </c>
      <c r="C154" s="68" t="s">
        <v>283</v>
      </c>
      <c r="D154" s="43">
        <v>3</v>
      </c>
      <c r="E154" s="43"/>
      <c r="F154" s="279">
        <v>65</v>
      </c>
      <c r="G154" s="279"/>
      <c r="H154" s="43">
        <v>15450</v>
      </c>
      <c r="I154" s="47">
        <f t="shared" si="7"/>
        <v>9733.5</v>
      </c>
      <c r="J154" s="84">
        <f t="shared" si="6"/>
        <v>9441.494999999999</v>
      </c>
    </row>
    <row r="155" spans="1:10" ht="20.25" customHeight="1" x14ac:dyDescent="0.35">
      <c r="A155" s="284" t="s">
        <v>285</v>
      </c>
      <c r="B155" s="284"/>
      <c r="C155" s="284"/>
      <c r="D155" s="284"/>
      <c r="E155" s="284"/>
      <c r="F155" s="284"/>
      <c r="G155" s="284"/>
      <c r="H155" s="307" t="s">
        <v>109</v>
      </c>
      <c r="I155" s="308" t="s">
        <v>505</v>
      </c>
      <c r="J155" s="308"/>
    </row>
    <row r="156" spans="1:10" ht="20.25" customHeight="1" x14ac:dyDescent="0.35">
      <c r="A156" s="281" t="s">
        <v>2</v>
      </c>
      <c r="B156" s="281" t="s">
        <v>3</v>
      </c>
      <c r="C156" s="283" t="s">
        <v>4</v>
      </c>
      <c r="D156" s="281" t="s">
        <v>5</v>
      </c>
      <c r="E156" s="281"/>
      <c r="F156" s="281" t="s">
        <v>6</v>
      </c>
      <c r="G156" s="281"/>
      <c r="H156" s="307"/>
      <c r="I156" s="308"/>
      <c r="J156" s="308"/>
    </row>
    <row r="157" spans="1:10" ht="20.25" customHeight="1" x14ac:dyDescent="0.35">
      <c r="A157" s="281"/>
      <c r="B157" s="281"/>
      <c r="C157" s="283"/>
      <c r="D157" s="58" t="s">
        <v>9</v>
      </c>
      <c r="E157" s="58" t="s">
        <v>10</v>
      </c>
      <c r="F157" s="58" t="s">
        <v>11</v>
      </c>
      <c r="G157" s="58" t="s">
        <v>12</v>
      </c>
      <c r="H157" s="307"/>
      <c r="I157" s="59">
        <v>0.37</v>
      </c>
      <c r="J157" s="59">
        <v>0.03</v>
      </c>
    </row>
    <row r="158" spans="1:10" ht="20.25" customHeight="1" x14ac:dyDescent="0.35">
      <c r="A158" s="43">
        <v>1</v>
      </c>
      <c r="B158" s="43" t="s">
        <v>286</v>
      </c>
      <c r="C158" s="68" t="s">
        <v>287</v>
      </c>
      <c r="D158" s="43">
        <v>0.5</v>
      </c>
      <c r="E158" s="43"/>
      <c r="F158" s="279">
        <v>32</v>
      </c>
      <c r="G158" s="279"/>
      <c r="H158" s="43">
        <v>6800</v>
      </c>
      <c r="I158" s="47">
        <f t="shared" ref="I158:I174" si="8">H158*0.63</f>
        <v>4284</v>
      </c>
      <c r="J158" s="84">
        <f t="shared" ref="J158:J174" si="9">I158*0.97</f>
        <v>4155.4799999999996</v>
      </c>
    </row>
    <row r="159" spans="1:10" ht="20.25" customHeight="1" x14ac:dyDescent="0.35">
      <c r="A159" s="43">
        <v>2</v>
      </c>
      <c r="B159" s="43" t="s">
        <v>288</v>
      </c>
      <c r="C159" s="68" t="s">
        <v>289</v>
      </c>
      <c r="D159" s="43">
        <v>0.5</v>
      </c>
      <c r="E159" s="43"/>
      <c r="F159" s="279">
        <v>32</v>
      </c>
      <c r="G159" s="279"/>
      <c r="H159" s="43">
        <v>7600</v>
      </c>
      <c r="I159" s="47">
        <f t="shared" si="8"/>
        <v>4788</v>
      </c>
      <c r="J159" s="84">
        <f t="shared" si="9"/>
        <v>4644.3599999999997</v>
      </c>
    </row>
    <row r="160" spans="1:10" ht="20.25" customHeight="1" x14ac:dyDescent="0.35">
      <c r="A160" s="43">
        <v>3</v>
      </c>
      <c r="B160" s="43" t="s">
        <v>290</v>
      </c>
      <c r="C160" s="68" t="s">
        <v>291</v>
      </c>
      <c r="D160" s="43">
        <v>0.75</v>
      </c>
      <c r="E160" s="43"/>
      <c r="F160" s="279">
        <v>32</v>
      </c>
      <c r="G160" s="279"/>
      <c r="H160" s="43">
        <v>7800</v>
      </c>
      <c r="I160" s="47">
        <f t="shared" si="8"/>
        <v>4914</v>
      </c>
      <c r="J160" s="84">
        <f t="shared" si="9"/>
        <v>4766.58</v>
      </c>
    </row>
    <row r="161" spans="1:10" ht="20.25" customHeight="1" x14ac:dyDescent="0.35">
      <c r="A161" s="43">
        <v>4</v>
      </c>
      <c r="B161" s="43" t="s">
        <v>292</v>
      </c>
      <c r="C161" s="68" t="s">
        <v>293</v>
      </c>
      <c r="D161" s="43">
        <v>0.75</v>
      </c>
      <c r="E161" s="43"/>
      <c r="F161" s="279">
        <v>32</v>
      </c>
      <c r="G161" s="279"/>
      <c r="H161" s="43">
        <v>8000</v>
      </c>
      <c r="I161" s="47">
        <f t="shared" si="8"/>
        <v>5040</v>
      </c>
      <c r="J161" s="84">
        <f t="shared" si="9"/>
        <v>4888.8</v>
      </c>
    </row>
    <row r="162" spans="1:10" ht="20.25" customHeight="1" x14ac:dyDescent="0.35">
      <c r="A162" s="43">
        <v>5</v>
      </c>
      <c r="B162" s="43" t="s">
        <v>294</v>
      </c>
      <c r="C162" s="68" t="s">
        <v>295</v>
      </c>
      <c r="D162" s="43">
        <v>1</v>
      </c>
      <c r="E162" s="43"/>
      <c r="F162" s="279">
        <v>32</v>
      </c>
      <c r="G162" s="279"/>
      <c r="H162" s="43">
        <v>8200</v>
      </c>
      <c r="I162" s="47">
        <f t="shared" si="8"/>
        <v>5166</v>
      </c>
      <c r="J162" s="84">
        <f t="shared" si="9"/>
        <v>5011.0199999999995</v>
      </c>
    </row>
    <row r="163" spans="1:10" ht="20.25" customHeight="1" x14ac:dyDescent="0.35">
      <c r="A163" s="43">
        <v>6</v>
      </c>
      <c r="B163" s="43" t="s">
        <v>296</v>
      </c>
      <c r="C163" s="68" t="s">
        <v>297</v>
      </c>
      <c r="D163" s="43">
        <v>1</v>
      </c>
      <c r="E163" s="43"/>
      <c r="F163" s="279">
        <v>32</v>
      </c>
      <c r="G163" s="279"/>
      <c r="H163" s="43">
        <v>8400</v>
      </c>
      <c r="I163" s="47">
        <f t="shared" si="8"/>
        <v>5292</v>
      </c>
      <c r="J163" s="84">
        <f t="shared" si="9"/>
        <v>5133.24</v>
      </c>
    </row>
    <row r="164" spans="1:10" ht="20.25" customHeight="1" x14ac:dyDescent="0.35">
      <c r="A164" s="43">
        <v>7</v>
      </c>
      <c r="B164" s="43" t="s">
        <v>298</v>
      </c>
      <c r="C164" s="68" t="s">
        <v>299</v>
      </c>
      <c r="D164" s="43">
        <v>1</v>
      </c>
      <c r="E164" s="43"/>
      <c r="F164" s="279">
        <v>32</v>
      </c>
      <c r="G164" s="279"/>
      <c r="H164" s="43">
        <v>8600</v>
      </c>
      <c r="I164" s="47">
        <f t="shared" si="8"/>
        <v>5418</v>
      </c>
      <c r="J164" s="84">
        <f t="shared" si="9"/>
        <v>5255.46</v>
      </c>
    </row>
    <row r="165" spans="1:10" ht="20.25" customHeight="1" x14ac:dyDescent="0.35">
      <c r="A165" s="43">
        <v>8</v>
      </c>
      <c r="B165" s="43" t="s">
        <v>300</v>
      </c>
      <c r="C165" s="68" t="s">
        <v>301</v>
      </c>
      <c r="D165" s="43">
        <v>1.5</v>
      </c>
      <c r="E165" s="43"/>
      <c r="F165" s="279">
        <v>32</v>
      </c>
      <c r="G165" s="279"/>
      <c r="H165" s="43">
        <v>9000</v>
      </c>
      <c r="I165" s="47">
        <f t="shared" si="8"/>
        <v>5670</v>
      </c>
      <c r="J165" s="84">
        <f t="shared" si="9"/>
        <v>5499.9</v>
      </c>
    </row>
    <row r="166" spans="1:10" ht="20.25" customHeight="1" x14ac:dyDescent="0.35">
      <c r="A166" s="43">
        <v>9</v>
      </c>
      <c r="B166" s="43" t="s">
        <v>302</v>
      </c>
      <c r="C166" s="68" t="s">
        <v>303</v>
      </c>
      <c r="D166" s="43">
        <v>1.5</v>
      </c>
      <c r="E166" s="43"/>
      <c r="F166" s="279">
        <v>32</v>
      </c>
      <c r="G166" s="279"/>
      <c r="H166" s="43">
        <v>10600</v>
      </c>
      <c r="I166" s="47">
        <f t="shared" si="8"/>
        <v>6678</v>
      </c>
      <c r="J166" s="84">
        <f t="shared" si="9"/>
        <v>6477.66</v>
      </c>
    </row>
    <row r="167" spans="1:10" ht="20.25" customHeight="1" x14ac:dyDescent="0.35">
      <c r="A167" s="43">
        <v>10</v>
      </c>
      <c r="B167" s="43" t="s">
        <v>304</v>
      </c>
      <c r="C167" s="68" t="s">
        <v>305</v>
      </c>
      <c r="D167" s="43">
        <v>1.5</v>
      </c>
      <c r="E167" s="43"/>
      <c r="F167" s="279">
        <v>32</v>
      </c>
      <c r="G167" s="279"/>
      <c r="H167" s="43">
        <v>11000</v>
      </c>
      <c r="I167" s="47">
        <f t="shared" si="8"/>
        <v>6930</v>
      </c>
      <c r="J167" s="84">
        <f t="shared" si="9"/>
        <v>6722.0999999999995</v>
      </c>
    </row>
    <row r="168" spans="1:10" ht="20.25" customHeight="1" x14ac:dyDescent="0.35">
      <c r="A168" s="43">
        <v>11</v>
      </c>
      <c r="B168" s="43" t="s">
        <v>306</v>
      </c>
      <c r="C168" s="68" t="s">
        <v>307</v>
      </c>
      <c r="D168" s="43">
        <v>2</v>
      </c>
      <c r="E168" s="43"/>
      <c r="F168" s="279">
        <v>32</v>
      </c>
      <c r="G168" s="279"/>
      <c r="H168" s="43">
        <v>13000</v>
      </c>
      <c r="I168" s="47">
        <f t="shared" si="8"/>
        <v>8190</v>
      </c>
      <c r="J168" s="84">
        <f t="shared" si="9"/>
        <v>7944.3</v>
      </c>
    </row>
    <row r="169" spans="1:10" ht="20.25" customHeight="1" x14ac:dyDescent="0.35">
      <c r="A169" s="43">
        <v>12</v>
      </c>
      <c r="B169" s="43" t="s">
        <v>308</v>
      </c>
      <c r="C169" s="68" t="s">
        <v>309</v>
      </c>
      <c r="D169" s="43">
        <v>2</v>
      </c>
      <c r="E169" s="43"/>
      <c r="F169" s="279">
        <v>32</v>
      </c>
      <c r="G169" s="279"/>
      <c r="H169" s="43">
        <v>15500</v>
      </c>
      <c r="I169" s="47">
        <f t="shared" si="8"/>
        <v>9765</v>
      </c>
      <c r="J169" s="84">
        <f t="shared" si="9"/>
        <v>9472.0499999999993</v>
      </c>
    </row>
    <row r="170" spans="1:10" ht="20.25" customHeight="1" x14ac:dyDescent="0.35">
      <c r="A170" s="43">
        <v>13</v>
      </c>
      <c r="B170" s="43" t="s">
        <v>310</v>
      </c>
      <c r="C170" s="68" t="s">
        <v>311</v>
      </c>
      <c r="D170" s="43">
        <v>3</v>
      </c>
      <c r="E170" s="43"/>
      <c r="F170" s="279">
        <v>32</v>
      </c>
      <c r="G170" s="279"/>
      <c r="H170" s="43">
        <v>19000</v>
      </c>
      <c r="I170" s="47">
        <f t="shared" si="8"/>
        <v>11970</v>
      </c>
      <c r="J170" s="84">
        <f t="shared" si="9"/>
        <v>11610.9</v>
      </c>
    </row>
    <row r="171" spans="1:10" ht="20.25" customHeight="1" x14ac:dyDescent="0.35">
      <c r="A171" s="43">
        <v>14</v>
      </c>
      <c r="B171" s="43" t="s">
        <v>312</v>
      </c>
      <c r="C171" s="68" t="s">
        <v>313</v>
      </c>
      <c r="D171" s="43">
        <v>3</v>
      </c>
      <c r="E171" s="43"/>
      <c r="F171" s="279">
        <v>32</v>
      </c>
      <c r="G171" s="279"/>
      <c r="H171" s="43">
        <v>20000</v>
      </c>
      <c r="I171" s="47">
        <f t="shared" si="8"/>
        <v>12600</v>
      </c>
      <c r="J171" s="84">
        <f t="shared" si="9"/>
        <v>12222</v>
      </c>
    </row>
    <row r="172" spans="1:10" ht="20.25" customHeight="1" x14ac:dyDescent="0.35">
      <c r="A172" s="43">
        <v>15</v>
      </c>
      <c r="B172" s="43" t="s">
        <v>314</v>
      </c>
      <c r="C172" s="68" t="s">
        <v>315</v>
      </c>
      <c r="D172" s="43">
        <v>3</v>
      </c>
      <c r="E172" s="43"/>
      <c r="F172" s="279">
        <v>32</v>
      </c>
      <c r="G172" s="279"/>
      <c r="H172" s="43">
        <v>20500</v>
      </c>
      <c r="I172" s="47">
        <f t="shared" si="8"/>
        <v>12915</v>
      </c>
      <c r="J172" s="84">
        <f t="shared" si="9"/>
        <v>12527.55</v>
      </c>
    </row>
    <row r="173" spans="1:10" ht="20.25" customHeight="1" x14ac:dyDescent="0.35">
      <c r="A173" s="69">
        <v>14</v>
      </c>
      <c r="B173" s="69" t="s">
        <v>312</v>
      </c>
      <c r="C173" s="70" t="s">
        <v>313</v>
      </c>
      <c r="D173" s="69">
        <v>3</v>
      </c>
      <c r="E173" s="69"/>
      <c r="F173" s="280">
        <v>32</v>
      </c>
      <c r="G173" s="280"/>
      <c r="H173" s="71">
        <v>12600</v>
      </c>
      <c r="I173" s="47">
        <f t="shared" si="8"/>
        <v>7938</v>
      </c>
      <c r="J173" s="84">
        <f t="shared" si="9"/>
        <v>7699.86</v>
      </c>
    </row>
    <row r="174" spans="1:10" ht="20.25" customHeight="1" x14ac:dyDescent="0.35">
      <c r="A174" s="69">
        <v>15</v>
      </c>
      <c r="B174" s="69" t="s">
        <v>314</v>
      </c>
      <c r="C174" s="70" t="s">
        <v>315</v>
      </c>
      <c r="D174" s="69">
        <v>3</v>
      </c>
      <c r="E174" s="69"/>
      <c r="F174" s="280">
        <v>32</v>
      </c>
      <c r="G174" s="280"/>
      <c r="H174" s="71">
        <v>12915</v>
      </c>
      <c r="I174" s="47">
        <f t="shared" si="8"/>
        <v>8136.45</v>
      </c>
      <c r="J174" s="84">
        <f t="shared" si="9"/>
        <v>7892.3564999999999</v>
      </c>
    </row>
  </sheetData>
  <mergeCells count="107">
    <mergeCell ref="I7:J7"/>
    <mergeCell ref="I8:J8"/>
    <mergeCell ref="I9:J9"/>
    <mergeCell ref="I10:J10"/>
    <mergeCell ref="I26:J26"/>
    <mergeCell ref="I27:J27"/>
    <mergeCell ref="A1:J3"/>
    <mergeCell ref="A4:J4"/>
    <mergeCell ref="A5:A6"/>
    <mergeCell ref="B5:B6"/>
    <mergeCell ref="C5:C6"/>
    <mergeCell ref="D5:E5"/>
    <mergeCell ref="F5:G5"/>
    <mergeCell ref="H5:H6"/>
    <mergeCell ref="I31:J31"/>
    <mergeCell ref="I32:J32"/>
    <mergeCell ref="I47:J47"/>
    <mergeCell ref="A55:G55"/>
    <mergeCell ref="H55:H57"/>
    <mergeCell ref="I55:J56"/>
    <mergeCell ref="A56:A57"/>
    <mergeCell ref="B56:B57"/>
    <mergeCell ref="C56:C57"/>
    <mergeCell ref="D56:E56"/>
    <mergeCell ref="D74:D91"/>
    <mergeCell ref="E74:E91"/>
    <mergeCell ref="D92:D103"/>
    <mergeCell ref="E92:E103"/>
    <mergeCell ref="D104:D106"/>
    <mergeCell ref="E104:E106"/>
    <mergeCell ref="F56:G56"/>
    <mergeCell ref="D58:D59"/>
    <mergeCell ref="E58:E59"/>
    <mergeCell ref="D61:D66"/>
    <mergeCell ref="E61:E66"/>
    <mergeCell ref="D67:D73"/>
    <mergeCell ref="E67:E73"/>
    <mergeCell ref="I114:J115"/>
    <mergeCell ref="A115:A116"/>
    <mergeCell ref="B115:B116"/>
    <mergeCell ref="C115:C116"/>
    <mergeCell ref="D115:E115"/>
    <mergeCell ref="F115:G115"/>
    <mergeCell ref="D108:D109"/>
    <mergeCell ref="E108:E109"/>
    <mergeCell ref="D110:D113"/>
    <mergeCell ref="E110:E113"/>
    <mergeCell ref="A114:G114"/>
    <mergeCell ref="H114:H116"/>
    <mergeCell ref="I117:J117"/>
    <mergeCell ref="I118:J118"/>
    <mergeCell ref="A129:G129"/>
    <mergeCell ref="H129:H131"/>
    <mergeCell ref="I129:J130"/>
    <mergeCell ref="A130:A131"/>
    <mergeCell ref="B130:B131"/>
    <mergeCell ref="C130:C131"/>
    <mergeCell ref="D130:E130"/>
    <mergeCell ref="F130:G131"/>
    <mergeCell ref="F138:G138"/>
    <mergeCell ref="F139:G139"/>
    <mergeCell ref="F140:G140"/>
    <mergeCell ref="F141:G141"/>
    <mergeCell ref="F142:G142"/>
    <mergeCell ref="F143:G143"/>
    <mergeCell ref="F132:G132"/>
    <mergeCell ref="F133:G133"/>
    <mergeCell ref="F134:G134"/>
    <mergeCell ref="F135:G135"/>
    <mergeCell ref="F136:G136"/>
    <mergeCell ref="F137:G137"/>
    <mergeCell ref="F150:G150"/>
    <mergeCell ref="F151:G151"/>
    <mergeCell ref="F152:G152"/>
    <mergeCell ref="F153:G153"/>
    <mergeCell ref="F154:G154"/>
    <mergeCell ref="A155:G155"/>
    <mergeCell ref="F144:G144"/>
    <mergeCell ref="F145:G145"/>
    <mergeCell ref="F146:G146"/>
    <mergeCell ref="F147:G147"/>
    <mergeCell ref="F148:G148"/>
    <mergeCell ref="F149:G149"/>
    <mergeCell ref="F158:G158"/>
    <mergeCell ref="F159:G159"/>
    <mergeCell ref="F160:G160"/>
    <mergeCell ref="F161:G161"/>
    <mergeCell ref="F162:G162"/>
    <mergeCell ref="F163:G163"/>
    <mergeCell ref="H155:H157"/>
    <mergeCell ref="I155:J156"/>
    <mergeCell ref="A156:A157"/>
    <mergeCell ref="B156:B157"/>
    <mergeCell ref="C156:C157"/>
    <mergeCell ref="D156:E156"/>
    <mergeCell ref="F156:G156"/>
    <mergeCell ref="F170:G170"/>
    <mergeCell ref="F171:G171"/>
    <mergeCell ref="F172:G172"/>
    <mergeCell ref="F173:G173"/>
    <mergeCell ref="F174:G174"/>
    <mergeCell ref="F164:G164"/>
    <mergeCell ref="F165:G165"/>
    <mergeCell ref="F166:G166"/>
    <mergeCell ref="F167:G167"/>
    <mergeCell ref="F168:G168"/>
    <mergeCell ref="F169:G169"/>
  </mergeCells>
  <conditionalFormatting sqref="B7:B20">
    <cfRule type="duplicateValues" dxfId="41" priority="1"/>
    <cfRule type="duplicateValues" dxfId="40" priority="2"/>
  </conditionalFormatting>
  <conditionalFormatting sqref="B7:B172">
    <cfRule type="duplicateValues" dxfId="39" priority="3"/>
  </conditionalFormatting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72"/>
  <sheetViews>
    <sheetView topLeftCell="A142" workbookViewId="0">
      <selection activeCell="K157" sqref="K157"/>
    </sheetView>
  </sheetViews>
  <sheetFormatPr defaultRowHeight="18" customHeight="1" x14ac:dyDescent="0.35"/>
  <cols>
    <col min="2" max="2" width="13.54296875" customWidth="1"/>
    <col min="3" max="3" width="19" customWidth="1"/>
    <col min="4" max="8" width="9.1796875" customWidth="1"/>
  </cols>
  <sheetData>
    <row r="1" spans="1:9" ht="18" customHeight="1" x14ac:dyDescent="0.35">
      <c r="A1" s="203" t="s">
        <v>0</v>
      </c>
      <c r="B1" s="204"/>
      <c r="C1" s="204"/>
      <c r="D1" s="204"/>
      <c r="E1" s="204"/>
      <c r="F1" s="204"/>
      <c r="G1" s="204"/>
      <c r="H1" s="204"/>
      <c r="I1" s="204"/>
    </row>
    <row r="2" spans="1:9" ht="18" customHeight="1" x14ac:dyDescent="0.35">
      <c r="A2" s="203"/>
      <c r="B2" s="204"/>
      <c r="C2" s="204"/>
      <c r="D2" s="204"/>
      <c r="E2" s="204"/>
      <c r="F2" s="204"/>
      <c r="G2" s="204"/>
      <c r="H2" s="204"/>
      <c r="I2" s="204"/>
    </row>
    <row r="3" spans="1:9" ht="18" customHeight="1" x14ac:dyDescent="0.35">
      <c r="A3" s="203"/>
      <c r="B3" s="204"/>
      <c r="C3" s="204"/>
      <c r="D3" s="204"/>
      <c r="E3" s="204"/>
      <c r="F3" s="204"/>
      <c r="G3" s="204"/>
      <c r="H3" s="204"/>
      <c r="I3" s="204"/>
    </row>
    <row r="4" spans="1:9" ht="28.5" customHeight="1" x14ac:dyDescent="0.35">
      <c r="A4" s="205" t="s">
        <v>499</v>
      </c>
      <c r="B4" s="206"/>
      <c r="C4" s="206"/>
      <c r="D4" s="206"/>
      <c r="E4" s="206"/>
      <c r="F4" s="206"/>
      <c r="G4" s="206"/>
      <c r="H4" s="206"/>
      <c r="I4" s="206"/>
    </row>
    <row r="5" spans="1:9" ht="18" customHeight="1" x14ac:dyDescent="0.35">
      <c r="A5" s="287" t="s">
        <v>2</v>
      </c>
      <c r="B5" s="287" t="s">
        <v>3</v>
      </c>
      <c r="C5" s="287" t="s">
        <v>4</v>
      </c>
      <c r="D5" s="287" t="s">
        <v>5</v>
      </c>
      <c r="E5" s="287"/>
      <c r="F5" s="209" t="s">
        <v>6</v>
      </c>
      <c r="G5" s="210"/>
      <c r="H5" s="305" t="s">
        <v>7</v>
      </c>
      <c r="I5" s="316" t="s">
        <v>533</v>
      </c>
    </row>
    <row r="6" spans="1:9" ht="18" customHeight="1" x14ac:dyDescent="0.35">
      <c r="A6" s="287"/>
      <c r="B6" s="287"/>
      <c r="C6" s="287"/>
      <c r="D6" s="11" t="s">
        <v>9</v>
      </c>
      <c r="E6" s="11" t="s">
        <v>10</v>
      </c>
      <c r="F6" s="11" t="s">
        <v>11</v>
      </c>
      <c r="G6" s="11" t="s">
        <v>12</v>
      </c>
      <c r="H6" s="305"/>
      <c r="I6" s="293"/>
    </row>
    <row r="7" spans="1:9" ht="18" customHeight="1" x14ac:dyDescent="0.35">
      <c r="A7" s="6">
        <v>1</v>
      </c>
      <c r="B7" s="4" t="s">
        <v>13</v>
      </c>
      <c r="C7" s="12" t="s">
        <v>14</v>
      </c>
      <c r="D7" s="2">
        <v>0.5</v>
      </c>
      <c r="E7" s="2">
        <v>0.37</v>
      </c>
      <c r="F7" s="2">
        <v>25</v>
      </c>
      <c r="G7" s="2">
        <v>25</v>
      </c>
      <c r="H7" s="13">
        <v>2640</v>
      </c>
      <c r="I7" s="26">
        <f>H7*0.63</f>
        <v>1663.2</v>
      </c>
    </row>
    <row r="8" spans="1:9" ht="18" customHeight="1" x14ac:dyDescent="0.35">
      <c r="A8" s="6">
        <v>2</v>
      </c>
      <c r="B8" s="4" t="s">
        <v>15</v>
      </c>
      <c r="C8" s="12" t="s">
        <v>16</v>
      </c>
      <c r="D8" s="2">
        <v>1</v>
      </c>
      <c r="E8" s="2">
        <v>0.75</v>
      </c>
      <c r="F8" s="2">
        <v>25</v>
      </c>
      <c r="G8" s="2">
        <v>25</v>
      </c>
      <c r="H8" s="13">
        <v>3420</v>
      </c>
      <c r="I8" s="26">
        <f>H8*0.63</f>
        <v>2154.6</v>
      </c>
    </row>
    <row r="9" spans="1:9" ht="18" customHeight="1" x14ac:dyDescent="0.35">
      <c r="A9" s="4">
        <v>3</v>
      </c>
      <c r="B9" s="4" t="s">
        <v>17</v>
      </c>
      <c r="C9" s="12" t="s">
        <v>18</v>
      </c>
      <c r="D9" s="2">
        <v>0.5</v>
      </c>
      <c r="E9" s="2">
        <v>0.37</v>
      </c>
      <c r="F9" s="2">
        <v>25</v>
      </c>
      <c r="G9" s="2">
        <v>25</v>
      </c>
      <c r="H9" s="13">
        <v>2840</v>
      </c>
      <c r="I9" s="26">
        <f>H9*0.63</f>
        <v>1789.2</v>
      </c>
    </row>
    <row r="10" spans="1:9" ht="18" customHeight="1" x14ac:dyDescent="0.35">
      <c r="A10" s="6">
        <v>4</v>
      </c>
      <c r="B10" s="4" t="s">
        <v>19</v>
      </c>
      <c r="C10" s="12" t="s">
        <v>20</v>
      </c>
      <c r="D10" s="2">
        <v>1</v>
      </c>
      <c r="E10" s="2">
        <v>0.75</v>
      </c>
      <c r="F10" s="2">
        <v>25</v>
      </c>
      <c r="G10" s="2">
        <v>25</v>
      </c>
      <c r="H10" s="13">
        <v>3660</v>
      </c>
      <c r="I10" s="26">
        <f>H10*0.63</f>
        <v>2305.8000000000002</v>
      </c>
    </row>
    <row r="11" spans="1:9" ht="18" customHeight="1" x14ac:dyDescent="0.35">
      <c r="A11" s="6">
        <v>5</v>
      </c>
      <c r="B11" s="6" t="s">
        <v>21</v>
      </c>
      <c r="C11" s="14" t="s">
        <v>22</v>
      </c>
      <c r="D11" s="2">
        <v>0.5</v>
      </c>
      <c r="E11" s="2">
        <v>0.37</v>
      </c>
      <c r="F11" s="2">
        <v>25</v>
      </c>
      <c r="G11" s="2">
        <v>25</v>
      </c>
      <c r="H11" s="8">
        <v>3160</v>
      </c>
      <c r="I11" s="26">
        <f>H11*0.61</f>
        <v>1927.6</v>
      </c>
    </row>
    <row r="12" spans="1:9" ht="18" customHeight="1" x14ac:dyDescent="0.35">
      <c r="A12" s="6">
        <v>6</v>
      </c>
      <c r="B12" s="6" t="s">
        <v>23</v>
      </c>
      <c r="C12" s="14" t="s">
        <v>24</v>
      </c>
      <c r="D12" s="2">
        <v>1</v>
      </c>
      <c r="E12" s="2">
        <v>0.75</v>
      </c>
      <c r="F12" s="2">
        <v>25</v>
      </c>
      <c r="G12" s="2">
        <v>25</v>
      </c>
      <c r="H12" s="8">
        <v>4120</v>
      </c>
      <c r="I12" s="26">
        <f t="shared" ref="I12:I25" si="0">H12*0.61</f>
        <v>2513.1999999999998</v>
      </c>
    </row>
    <row r="13" spans="1:9" ht="18" customHeight="1" x14ac:dyDescent="0.35">
      <c r="A13" s="4">
        <v>7</v>
      </c>
      <c r="B13" s="4" t="s">
        <v>25</v>
      </c>
      <c r="C13" s="12" t="s">
        <v>26</v>
      </c>
      <c r="D13" s="2">
        <v>1.5</v>
      </c>
      <c r="E13" s="2">
        <v>1</v>
      </c>
      <c r="F13" s="2">
        <v>25</v>
      </c>
      <c r="G13" s="2">
        <v>25</v>
      </c>
      <c r="H13" s="8">
        <v>5750</v>
      </c>
      <c r="I13" s="26">
        <f t="shared" si="0"/>
        <v>3507.5</v>
      </c>
    </row>
    <row r="14" spans="1:9" ht="18" customHeight="1" x14ac:dyDescent="0.35">
      <c r="A14" s="6">
        <v>8</v>
      </c>
      <c r="B14" s="6" t="s">
        <v>27</v>
      </c>
      <c r="C14" s="14" t="s">
        <v>28</v>
      </c>
      <c r="D14" s="2">
        <v>0.5</v>
      </c>
      <c r="E14" s="2">
        <v>0.37</v>
      </c>
      <c r="F14" s="2">
        <v>25</v>
      </c>
      <c r="G14" s="2">
        <v>25</v>
      </c>
      <c r="H14" s="8">
        <v>3520</v>
      </c>
      <c r="I14" s="26">
        <f t="shared" si="0"/>
        <v>2147.1999999999998</v>
      </c>
    </row>
    <row r="15" spans="1:9" ht="18" customHeight="1" x14ac:dyDescent="0.35">
      <c r="A15" s="6">
        <v>9</v>
      </c>
      <c r="B15" s="4" t="s">
        <v>29</v>
      </c>
      <c r="C15" s="15" t="s">
        <v>30</v>
      </c>
      <c r="D15" s="2">
        <v>1</v>
      </c>
      <c r="E15" s="2">
        <v>0.75</v>
      </c>
      <c r="F15" s="2">
        <v>25</v>
      </c>
      <c r="G15" s="2">
        <v>25</v>
      </c>
      <c r="H15" s="8">
        <v>3660</v>
      </c>
      <c r="I15" s="26">
        <f t="shared" si="0"/>
        <v>2232.6</v>
      </c>
    </row>
    <row r="16" spans="1:9" ht="18" customHeight="1" x14ac:dyDescent="0.35">
      <c r="A16" s="6">
        <v>10</v>
      </c>
      <c r="B16" s="4" t="s">
        <v>31</v>
      </c>
      <c r="C16" s="12" t="s">
        <v>32</v>
      </c>
      <c r="D16" s="2">
        <v>1</v>
      </c>
      <c r="E16" s="2">
        <v>0.75</v>
      </c>
      <c r="F16" s="2">
        <v>25</v>
      </c>
      <c r="G16" s="2">
        <v>25</v>
      </c>
      <c r="H16" s="8">
        <v>4220</v>
      </c>
      <c r="I16" s="26">
        <f t="shared" si="0"/>
        <v>2574.1999999999998</v>
      </c>
    </row>
    <row r="17" spans="1:9" ht="18" customHeight="1" x14ac:dyDescent="0.35">
      <c r="A17" s="4">
        <v>11</v>
      </c>
      <c r="B17" s="6" t="s">
        <v>33</v>
      </c>
      <c r="C17" s="14" t="s">
        <v>34</v>
      </c>
      <c r="D17" s="2">
        <v>0.75</v>
      </c>
      <c r="E17" s="2">
        <v>0.56000000000000005</v>
      </c>
      <c r="F17" s="2">
        <v>25</v>
      </c>
      <c r="G17" s="2">
        <v>25</v>
      </c>
      <c r="H17" s="8">
        <v>4080</v>
      </c>
      <c r="I17" s="26">
        <f t="shared" si="0"/>
        <v>2488.7999999999997</v>
      </c>
    </row>
    <row r="18" spans="1:9" ht="18" customHeight="1" x14ac:dyDescent="0.35">
      <c r="A18" s="6">
        <v>12</v>
      </c>
      <c r="B18" s="4" t="s">
        <v>35</v>
      </c>
      <c r="C18" s="16" t="s">
        <v>36</v>
      </c>
      <c r="D18" s="2">
        <v>1</v>
      </c>
      <c r="E18" s="2">
        <v>0.75</v>
      </c>
      <c r="F18" s="2">
        <v>25</v>
      </c>
      <c r="G18" s="2">
        <v>25</v>
      </c>
      <c r="H18" s="8">
        <v>4730</v>
      </c>
      <c r="I18" s="26">
        <f t="shared" si="0"/>
        <v>2885.2999999999997</v>
      </c>
    </row>
    <row r="19" spans="1:9" ht="18" customHeight="1" x14ac:dyDescent="0.35">
      <c r="A19" s="6">
        <v>13</v>
      </c>
      <c r="B19" s="4" t="s">
        <v>37</v>
      </c>
      <c r="C19" s="16" t="s">
        <v>38</v>
      </c>
      <c r="D19" s="2">
        <v>1</v>
      </c>
      <c r="E19" s="2">
        <v>0.75</v>
      </c>
      <c r="F19" s="2">
        <v>25</v>
      </c>
      <c r="G19" s="2">
        <v>25</v>
      </c>
      <c r="H19" s="8">
        <v>4730</v>
      </c>
      <c r="I19" s="26">
        <f t="shared" si="0"/>
        <v>2885.2999999999997</v>
      </c>
    </row>
    <row r="20" spans="1:9" ht="18" customHeight="1" x14ac:dyDescent="0.35">
      <c r="A20" s="6">
        <v>14</v>
      </c>
      <c r="B20" s="6" t="s">
        <v>39</v>
      </c>
      <c r="C20" s="14" t="s">
        <v>40</v>
      </c>
      <c r="D20" s="2">
        <v>1</v>
      </c>
      <c r="E20" s="2">
        <v>0.75</v>
      </c>
      <c r="F20" s="2">
        <v>25</v>
      </c>
      <c r="G20" s="2">
        <v>25</v>
      </c>
      <c r="H20" s="8">
        <v>5170</v>
      </c>
      <c r="I20" s="26">
        <f t="shared" si="0"/>
        <v>3153.7</v>
      </c>
    </row>
    <row r="21" spans="1:9" ht="18" customHeight="1" x14ac:dyDescent="0.35">
      <c r="A21" s="4">
        <v>15</v>
      </c>
      <c r="B21" s="6" t="s">
        <v>41</v>
      </c>
      <c r="C21" s="14" t="s">
        <v>42</v>
      </c>
      <c r="D21" s="2">
        <v>1</v>
      </c>
      <c r="E21" s="2">
        <v>0.75</v>
      </c>
      <c r="F21" s="2">
        <v>25</v>
      </c>
      <c r="G21" s="2">
        <v>25</v>
      </c>
      <c r="H21" s="8">
        <v>4670</v>
      </c>
      <c r="I21" s="26">
        <f t="shared" si="0"/>
        <v>2848.7</v>
      </c>
    </row>
    <row r="22" spans="1:9" ht="18" customHeight="1" x14ac:dyDescent="0.35">
      <c r="A22" s="6">
        <v>16</v>
      </c>
      <c r="B22" s="4" t="s">
        <v>43</v>
      </c>
      <c r="C22" s="12" t="s">
        <v>44</v>
      </c>
      <c r="D22" s="2">
        <v>1.2</v>
      </c>
      <c r="E22" s="2">
        <v>0.9</v>
      </c>
      <c r="F22" s="2">
        <v>25</v>
      </c>
      <c r="G22" s="2">
        <v>25</v>
      </c>
      <c r="H22" s="8">
        <v>6650</v>
      </c>
      <c r="I22" s="26">
        <f t="shared" si="0"/>
        <v>4056.5</v>
      </c>
    </row>
    <row r="23" spans="1:9" ht="18" customHeight="1" x14ac:dyDescent="0.35">
      <c r="A23" s="6">
        <v>17</v>
      </c>
      <c r="B23" s="6" t="s">
        <v>45</v>
      </c>
      <c r="C23" s="14" t="s">
        <v>46</v>
      </c>
      <c r="D23" s="2">
        <v>1.5</v>
      </c>
      <c r="E23" s="2">
        <v>1.1000000000000001</v>
      </c>
      <c r="F23" s="2">
        <v>25</v>
      </c>
      <c r="G23" s="2">
        <v>25</v>
      </c>
      <c r="H23" s="8">
        <v>8150</v>
      </c>
      <c r="I23" s="26">
        <f t="shared" si="0"/>
        <v>4971.5</v>
      </c>
    </row>
    <row r="24" spans="1:9" ht="18" customHeight="1" x14ac:dyDescent="0.35">
      <c r="A24" s="6">
        <v>18</v>
      </c>
      <c r="B24" s="6" t="s">
        <v>47</v>
      </c>
      <c r="C24" s="14" t="s">
        <v>48</v>
      </c>
      <c r="D24" s="2">
        <v>2</v>
      </c>
      <c r="E24" s="2">
        <v>1.5</v>
      </c>
      <c r="F24" s="2">
        <v>25</v>
      </c>
      <c r="G24" s="2">
        <v>25</v>
      </c>
      <c r="H24" s="8">
        <v>9190</v>
      </c>
      <c r="I24" s="26">
        <f t="shared" si="0"/>
        <v>5605.9</v>
      </c>
    </row>
    <row r="25" spans="1:9" ht="18" customHeight="1" x14ac:dyDescent="0.35">
      <c r="A25" s="4">
        <v>19</v>
      </c>
      <c r="B25" s="6" t="s">
        <v>49</v>
      </c>
      <c r="C25" s="14" t="s">
        <v>50</v>
      </c>
      <c r="D25" s="2">
        <v>0.5</v>
      </c>
      <c r="E25" s="2">
        <v>0.37</v>
      </c>
      <c r="F25" s="2">
        <v>25</v>
      </c>
      <c r="G25" s="2">
        <v>25</v>
      </c>
      <c r="H25" s="8">
        <v>3310</v>
      </c>
      <c r="I25" s="26">
        <f t="shared" si="0"/>
        <v>2019.1</v>
      </c>
    </row>
    <row r="26" spans="1:9" ht="18" customHeight="1" x14ac:dyDescent="0.35">
      <c r="A26" s="6">
        <v>20</v>
      </c>
      <c r="B26" s="4" t="s">
        <v>51</v>
      </c>
      <c r="C26" s="12" t="s">
        <v>52</v>
      </c>
      <c r="D26" s="2">
        <v>0.5</v>
      </c>
      <c r="E26" s="2">
        <v>0.37</v>
      </c>
      <c r="F26" s="2">
        <v>25</v>
      </c>
      <c r="G26" s="2">
        <v>25</v>
      </c>
      <c r="H26" s="10">
        <v>4380</v>
      </c>
      <c r="I26" s="26">
        <f>H26*0.63</f>
        <v>2759.4</v>
      </c>
    </row>
    <row r="27" spans="1:9" ht="18" customHeight="1" x14ac:dyDescent="0.35">
      <c r="A27" s="6">
        <v>21</v>
      </c>
      <c r="B27" s="4" t="s">
        <v>53</v>
      </c>
      <c r="C27" s="12" t="s">
        <v>54</v>
      </c>
      <c r="D27" s="2">
        <v>1</v>
      </c>
      <c r="E27" s="2">
        <v>0.75</v>
      </c>
      <c r="F27" s="2">
        <v>25</v>
      </c>
      <c r="G27" s="2">
        <v>25</v>
      </c>
      <c r="H27" s="10">
        <v>5300</v>
      </c>
      <c r="I27" s="26">
        <f>H27*0.63</f>
        <v>3339</v>
      </c>
    </row>
    <row r="28" spans="1:9" ht="18" customHeight="1" x14ac:dyDescent="0.35">
      <c r="A28" s="6">
        <v>22</v>
      </c>
      <c r="B28" s="6" t="s">
        <v>55</v>
      </c>
      <c r="C28" s="14" t="s">
        <v>56</v>
      </c>
      <c r="D28" s="2">
        <v>1.1000000000000001</v>
      </c>
      <c r="E28" s="2">
        <v>0.8</v>
      </c>
      <c r="F28" s="2">
        <v>25</v>
      </c>
      <c r="G28" s="2">
        <v>25</v>
      </c>
      <c r="H28" s="8">
        <v>5040</v>
      </c>
      <c r="I28" s="26">
        <f>H28*0.61</f>
        <v>3074.4</v>
      </c>
    </row>
    <row r="29" spans="1:9" ht="18" customHeight="1" x14ac:dyDescent="0.35">
      <c r="A29" s="4">
        <v>23</v>
      </c>
      <c r="B29" s="6" t="s">
        <v>57</v>
      </c>
      <c r="C29" s="14" t="s">
        <v>58</v>
      </c>
      <c r="D29" s="2">
        <v>1.1000000000000001</v>
      </c>
      <c r="E29" s="2">
        <v>0.8</v>
      </c>
      <c r="F29" s="2">
        <v>25</v>
      </c>
      <c r="G29" s="2">
        <v>25</v>
      </c>
      <c r="H29" s="8">
        <v>5150</v>
      </c>
      <c r="I29" s="26">
        <f>H29*0.61</f>
        <v>3141.5</v>
      </c>
    </row>
    <row r="30" spans="1:9" ht="18" customHeight="1" x14ac:dyDescent="0.35">
      <c r="A30" s="6">
        <v>24</v>
      </c>
      <c r="B30" s="4" t="s">
        <v>59</v>
      </c>
      <c r="C30" s="16" t="s">
        <v>60</v>
      </c>
      <c r="D30" s="2">
        <v>1.25</v>
      </c>
      <c r="E30" s="2">
        <v>0.94</v>
      </c>
      <c r="F30" s="2">
        <v>25</v>
      </c>
      <c r="G30" s="2">
        <v>25</v>
      </c>
      <c r="H30" s="8">
        <v>6630</v>
      </c>
      <c r="I30" s="26">
        <f>H30*0.61</f>
        <v>4044.2999999999997</v>
      </c>
    </row>
    <row r="31" spans="1:9" ht="18" customHeight="1" x14ac:dyDescent="0.35">
      <c r="A31" s="6">
        <v>25</v>
      </c>
      <c r="B31" s="6" t="s">
        <v>61</v>
      </c>
      <c r="C31" s="14" t="s">
        <v>62</v>
      </c>
      <c r="D31" s="17">
        <v>0.5</v>
      </c>
      <c r="E31" s="17">
        <v>0.37</v>
      </c>
      <c r="F31" s="17">
        <v>25</v>
      </c>
      <c r="G31" s="17">
        <v>25</v>
      </c>
      <c r="H31" s="9">
        <v>4950</v>
      </c>
      <c r="I31" s="26">
        <f>H31*0.63</f>
        <v>3118.5</v>
      </c>
    </row>
    <row r="32" spans="1:9" ht="18" customHeight="1" x14ac:dyDescent="0.35">
      <c r="A32" s="6">
        <v>26</v>
      </c>
      <c r="B32" s="6" t="s">
        <v>63</v>
      </c>
      <c r="C32" s="14" t="s">
        <v>64</v>
      </c>
      <c r="D32" s="17">
        <v>0.5</v>
      </c>
      <c r="E32" s="17">
        <v>0.37</v>
      </c>
      <c r="F32" s="17">
        <v>25</v>
      </c>
      <c r="G32" s="17">
        <v>25</v>
      </c>
      <c r="H32" s="9">
        <v>5000</v>
      </c>
      <c r="I32" s="26">
        <f>H32*0.63</f>
        <v>3150</v>
      </c>
    </row>
    <row r="33" spans="1:9" ht="18" customHeight="1" x14ac:dyDescent="0.35">
      <c r="A33" s="4">
        <v>27</v>
      </c>
      <c r="B33" s="6" t="s">
        <v>65</v>
      </c>
      <c r="C33" s="14" t="s">
        <v>66</v>
      </c>
      <c r="D33" s="2">
        <v>1</v>
      </c>
      <c r="E33" s="2">
        <v>0.75</v>
      </c>
      <c r="F33" s="2">
        <v>25</v>
      </c>
      <c r="G33" s="2">
        <v>25</v>
      </c>
      <c r="H33" s="8">
        <v>5560</v>
      </c>
      <c r="I33" s="26">
        <f t="shared" ref="I33:I54" si="1">H33*0.61</f>
        <v>3391.6</v>
      </c>
    </row>
    <row r="34" spans="1:9" ht="18" customHeight="1" x14ac:dyDescent="0.35">
      <c r="A34" s="6">
        <v>28</v>
      </c>
      <c r="B34" s="6" t="s">
        <v>67</v>
      </c>
      <c r="C34" s="14" t="s">
        <v>68</v>
      </c>
      <c r="D34" s="2">
        <v>1</v>
      </c>
      <c r="E34" s="2">
        <v>0.75</v>
      </c>
      <c r="F34" s="2">
        <v>25</v>
      </c>
      <c r="G34" s="2">
        <v>25</v>
      </c>
      <c r="H34" s="8">
        <v>5650</v>
      </c>
      <c r="I34" s="26">
        <f t="shared" si="1"/>
        <v>3446.5</v>
      </c>
    </row>
    <row r="35" spans="1:9" ht="18" customHeight="1" x14ac:dyDescent="0.35">
      <c r="A35" s="6">
        <v>29</v>
      </c>
      <c r="B35" s="6" t="s">
        <v>69</v>
      </c>
      <c r="C35" s="14" t="s">
        <v>70</v>
      </c>
      <c r="D35" s="2">
        <v>1.5</v>
      </c>
      <c r="E35" s="2">
        <v>1.1000000000000001</v>
      </c>
      <c r="F35" s="2">
        <v>25</v>
      </c>
      <c r="G35" s="2">
        <v>25</v>
      </c>
      <c r="H35" s="8">
        <v>7840</v>
      </c>
      <c r="I35" s="26">
        <f t="shared" si="1"/>
        <v>4782.3999999999996</v>
      </c>
    </row>
    <row r="36" spans="1:9" ht="18" customHeight="1" x14ac:dyDescent="0.35">
      <c r="A36" s="6">
        <v>30</v>
      </c>
      <c r="B36" s="6" t="s">
        <v>71</v>
      </c>
      <c r="C36" s="14" t="s">
        <v>72</v>
      </c>
      <c r="D36" s="2">
        <v>1.5</v>
      </c>
      <c r="E36" s="2">
        <v>1.1000000000000001</v>
      </c>
      <c r="F36" s="2">
        <v>25</v>
      </c>
      <c r="G36" s="2">
        <v>25</v>
      </c>
      <c r="H36" s="8">
        <v>8170</v>
      </c>
      <c r="I36" s="26">
        <f t="shared" si="1"/>
        <v>4983.7</v>
      </c>
    </row>
    <row r="37" spans="1:9" ht="18" customHeight="1" x14ac:dyDescent="0.35">
      <c r="A37" s="4">
        <v>31</v>
      </c>
      <c r="B37" s="4" t="s">
        <v>73</v>
      </c>
      <c r="C37" s="12" t="s">
        <v>74</v>
      </c>
      <c r="D37" s="2">
        <v>0.5</v>
      </c>
      <c r="E37" s="2">
        <v>0.37</v>
      </c>
      <c r="F37" s="2">
        <v>25</v>
      </c>
      <c r="G37" s="2">
        <v>25</v>
      </c>
      <c r="H37" s="8">
        <v>6450</v>
      </c>
      <c r="I37" s="26">
        <f t="shared" si="1"/>
        <v>3934.5</v>
      </c>
    </row>
    <row r="38" spans="1:9" ht="18" customHeight="1" x14ac:dyDescent="0.35">
      <c r="A38" s="6">
        <v>32</v>
      </c>
      <c r="B38" s="6" t="s">
        <v>75</v>
      </c>
      <c r="C38" s="14" t="s">
        <v>76</v>
      </c>
      <c r="D38" s="3">
        <v>0.9</v>
      </c>
      <c r="E38" s="3">
        <v>0.7</v>
      </c>
      <c r="F38" s="3">
        <v>25</v>
      </c>
      <c r="G38" s="3">
        <v>25</v>
      </c>
      <c r="H38" s="8">
        <v>6640</v>
      </c>
      <c r="I38" s="26">
        <f t="shared" si="1"/>
        <v>4050.4</v>
      </c>
    </row>
    <row r="39" spans="1:9" ht="18" customHeight="1" x14ac:dyDescent="0.35">
      <c r="A39" s="6">
        <v>33</v>
      </c>
      <c r="B39" s="6" t="s">
        <v>77</v>
      </c>
      <c r="C39" s="14" t="s">
        <v>78</v>
      </c>
      <c r="D39" s="3">
        <v>1</v>
      </c>
      <c r="E39" s="3">
        <v>0.75</v>
      </c>
      <c r="F39" s="3">
        <v>25</v>
      </c>
      <c r="G39" s="3">
        <v>25</v>
      </c>
      <c r="H39" s="8">
        <v>7100</v>
      </c>
      <c r="I39" s="26">
        <f t="shared" si="1"/>
        <v>4331</v>
      </c>
    </row>
    <row r="40" spans="1:9" ht="18" customHeight="1" x14ac:dyDescent="0.35">
      <c r="A40" s="6">
        <v>34</v>
      </c>
      <c r="B40" s="4" t="s">
        <v>79</v>
      </c>
      <c r="C40" s="15" t="s">
        <v>80</v>
      </c>
      <c r="D40" s="3">
        <v>0.5</v>
      </c>
      <c r="E40" s="3">
        <v>0.37</v>
      </c>
      <c r="F40" s="3">
        <v>25</v>
      </c>
      <c r="G40" s="3">
        <v>25</v>
      </c>
      <c r="H40" s="8">
        <v>5500</v>
      </c>
      <c r="I40" s="26">
        <f t="shared" si="1"/>
        <v>3355</v>
      </c>
    </row>
    <row r="41" spans="1:9" ht="18" customHeight="1" x14ac:dyDescent="0.35">
      <c r="A41" s="4">
        <v>35</v>
      </c>
      <c r="B41" s="4"/>
      <c r="C41" s="15" t="s">
        <v>81</v>
      </c>
      <c r="D41" s="3">
        <v>1</v>
      </c>
      <c r="E41" s="3">
        <v>0.75</v>
      </c>
      <c r="F41" s="3">
        <v>25</v>
      </c>
      <c r="G41" s="3">
        <v>25</v>
      </c>
      <c r="H41" s="8">
        <v>6200</v>
      </c>
      <c r="I41" s="26">
        <f t="shared" si="1"/>
        <v>3782</v>
      </c>
    </row>
    <row r="42" spans="1:9" ht="18" customHeight="1" x14ac:dyDescent="0.35">
      <c r="A42" s="6">
        <v>36</v>
      </c>
      <c r="B42" s="4" t="s">
        <v>82</v>
      </c>
      <c r="C42" s="12" t="s">
        <v>83</v>
      </c>
      <c r="D42" s="1">
        <v>0.5</v>
      </c>
      <c r="E42" s="1">
        <v>0.37</v>
      </c>
      <c r="F42" s="1">
        <v>25</v>
      </c>
      <c r="G42" s="1">
        <v>25</v>
      </c>
      <c r="H42" s="8">
        <v>7140</v>
      </c>
      <c r="I42" s="26">
        <f t="shared" si="1"/>
        <v>4355.3999999999996</v>
      </c>
    </row>
    <row r="43" spans="1:9" ht="18" customHeight="1" x14ac:dyDescent="0.35">
      <c r="A43" s="6">
        <v>37</v>
      </c>
      <c r="B43" s="6" t="s">
        <v>84</v>
      </c>
      <c r="C43" s="14" t="s">
        <v>85</v>
      </c>
      <c r="D43" s="1">
        <v>1.1000000000000001</v>
      </c>
      <c r="E43" s="1">
        <v>0.8</v>
      </c>
      <c r="F43" s="1">
        <v>25</v>
      </c>
      <c r="G43" s="1">
        <v>25</v>
      </c>
      <c r="H43" s="8">
        <v>7700</v>
      </c>
      <c r="I43" s="26">
        <f t="shared" si="1"/>
        <v>4697</v>
      </c>
    </row>
    <row r="44" spans="1:9" ht="18" customHeight="1" x14ac:dyDescent="0.35">
      <c r="A44" s="6">
        <v>38</v>
      </c>
      <c r="B44" s="6" t="s">
        <v>86</v>
      </c>
      <c r="C44" s="14" t="s">
        <v>87</v>
      </c>
      <c r="D44" s="1">
        <v>1.5</v>
      </c>
      <c r="E44" s="1">
        <v>1.1000000000000001</v>
      </c>
      <c r="F44" s="1">
        <v>25</v>
      </c>
      <c r="G44" s="1">
        <v>25</v>
      </c>
      <c r="H44" s="8">
        <v>8690</v>
      </c>
      <c r="I44" s="26">
        <f t="shared" si="1"/>
        <v>5300.9</v>
      </c>
    </row>
    <row r="45" spans="1:9" ht="18" customHeight="1" x14ac:dyDescent="0.35">
      <c r="A45" s="4">
        <v>39</v>
      </c>
      <c r="B45" s="4" t="s">
        <v>88</v>
      </c>
      <c r="C45" s="12" t="s">
        <v>89</v>
      </c>
      <c r="D45" s="2">
        <v>0.5</v>
      </c>
      <c r="E45" s="2">
        <v>0.37</v>
      </c>
      <c r="F45" s="2">
        <v>25</v>
      </c>
      <c r="G45" s="2">
        <v>12</v>
      </c>
      <c r="H45" s="8">
        <v>4860</v>
      </c>
      <c r="I45" s="26">
        <f t="shared" si="1"/>
        <v>2964.6</v>
      </c>
    </row>
    <row r="46" spans="1:9" ht="18" customHeight="1" x14ac:dyDescent="0.35">
      <c r="A46" s="6">
        <v>40</v>
      </c>
      <c r="B46" s="4" t="s">
        <v>90</v>
      </c>
      <c r="C46" s="12" t="s">
        <v>91</v>
      </c>
      <c r="D46" s="2">
        <v>1</v>
      </c>
      <c r="E46" s="2">
        <v>0.75</v>
      </c>
      <c r="F46" s="2">
        <v>25</v>
      </c>
      <c r="G46" s="2">
        <v>25</v>
      </c>
      <c r="H46" s="8">
        <v>5600</v>
      </c>
      <c r="I46" s="26">
        <f t="shared" si="1"/>
        <v>3416</v>
      </c>
    </row>
    <row r="47" spans="1:9" ht="18" customHeight="1" x14ac:dyDescent="0.35">
      <c r="A47" s="6">
        <v>41</v>
      </c>
      <c r="B47" s="6" t="s">
        <v>92</v>
      </c>
      <c r="C47" s="14" t="s">
        <v>93</v>
      </c>
      <c r="D47" s="17">
        <v>1</v>
      </c>
      <c r="E47" s="17">
        <v>0.75</v>
      </c>
      <c r="F47" s="17">
        <v>25</v>
      </c>
      <c r="G47" s="17">
        <v>25</v>
      </c>
      <c r="H47" s="9">
        <v>8420</v>
      </c>
      <c r="I47" s="26">
        <f>H47*0.63</f>
        <v>5304.6</v>
      </c>
    </row>
    <row r="48" spans="1:9" ht="18" customHeight="1" x14ac:dyDescent="0.35">
      <c r="A48" s="6">
        <v>42</v>
      </c>
      <c r="B48" s="6" t="s">
        <v>94</v>
      </c>
      <c r="C48" s="14" t="s">
        <v>95</v>
      </c>
      <c r="D48" s="2">
        <v>1.1000000000000001</v>
      </c>
      <c r="E48" s="2">
        <v>0.8</v>
      </c>
      <c r="F48" s="2">
        <v>25</v>
      </c>
      <c r="G48" s="2">
        <v>25</v>
      </c>
      <c r="H48" s="8">
        <v>12020</v>
      </c>
      <c r="I48" s="26">
        <f t="shared" si="1"/>
        <v>7332.2</v>
      </c>
    </row>
    <row r="49" spans="1:9" ht="18" customHeight="1" x14ac:dyDescent="0.35">
      <c r="A49" s="4">
        <v>43</v>
      </c>
      <c r="B49" s="4" t="s">
        <v>96</v>
      </c>
      <c r="C49" s="12" t="s">
        <v>97</v>
      </c>
      <c r="D49" s="2">
        <v>0.5</v>
      </c>
      <c r="E49" s="2">
        <v>0.37</v>
      </c>
      <c r="F49" s="2">
        <v>25</v>
      </c>
      <c r="G49" s="2">
        <v>25</v>
      </c>
      <c r="H49" s="8">
        <v>7530</v>
      </c>
      <c r="I49" s="26">
        <f t="shared" si="1"/>
        <v>4593.3</v>
      </c>
    </row>
    <row r="50" spans="1:9" ht="18" customHeight="1" x14ac:dyDescent="0.35">
      <c r="A50" s="6">
        <v>44</v>
      </c>
      <c r="B50" s="4" t="s">
        <v>98</v>
      </c>
      <c r="C50" s="12" t="s">
        <v>99</v>
      </c>
      <c r="D50" s="2">
        <v>1</v>
      </c>
      <c r="E50" s="2">
        <v>0.75</v>
      </c>
      <c r="F50" s="2">
        <v>25</v>
      </c>
      <c r="G50" s="2">
        <v>25</v>
      </c>
      <c r="H50" s="8">
        <v>9150</v>
      </c>
      <c r="I50" s="26">
        <f t="shared" si="1"/>
        <v>5581.5</v>
      </c>
    </row>
    <row r="51" spans="1:9" ht="18" customHeight="1" x14ac:dyDescent="0.35">
      <c r="A51" s="6">
        <v>45</v>
      </c>
      <c r="B51" s="4" t="s">
        <v>100</v>
      </c>
      <c r="C51" s="12" t="s">
        <v>101</v>
      </c>
      <c r="D51" s="2">
        <v>1</v>
      </c>
      <c r="E51" s="2">
        <v>0.75</v>
      </c>
      <c r="F51" s="2">
        <v>25</v>
      </c>
      <c r="G51" s="2">
        <v>25</v>
      </c>
      <c r="H51" s="5">
        <v>16800</v>
      </c>
      <c r="I51" s="26">
        <f t="shared" si="1"/>
        <v>10248</v>
      </c>
    </row>
    <row r="52" spans="1:9" ht="18" customHeight="1" x14ac:dyDescent="0.35">
      <c r="A52" s="6">
        <v>46</v>
      </c>
      <c r="B52" s="6" t="s">
        <v>102</v>
      </c>
      <c r="C52" s="14" t="s">
        <v>103</v>
      </c>
      <c r="D52" s="2">
        <v>0.5</v>
      </c>
      <c r="E52" s="2">
        <v>0.37</v>
      </c>
      <c r="F52" s="2">
        <v>25</v>
      </c>
      <c r="G52" s="2">
        <v>25</v>
      </c>
      <c r="H52" s="8">
        <v>17760</v>
      </c>
      <c r="I52" s="26">
        <f t="shared" si="1"/>
        <v>10833.6</v>
      </c>
    </row>
    <row r="53" spans="1:9" ht="18" customHeight="1" x14ac:dyDescent="0.35">
      <c r="A53" s="4">
        <v>47</v>
      </c>
      <c r="B53" s="6" t="s">
        <v>104</v>
      </c>
      <c r="C53" s="14" t="s">
        <v>105</v>
      </c>
      <c r="D53" s="2">
        <v>1</v>
      </c>
      <c r="E53" s="2">
        <v>0.75</v>
      </c>
      <c r="F53" s="2">
        <v>25</v>
      </c>
      <c r="G53" s="2">
        <v>25</v>
      </c>
      <c r="H53" s="8">
        <v>19120</v>
      </c>
      <c r="I53" s="26">
        <f t="shared" si="1"/>
        <v>11663.199999999999</v>
      </c>
    </row>
    <row r="54" spans="1:9" ht="18" customHeight="1" x14ac:dyDescent="0.35">
      <c r="A54" s="6">
        <v>48</v>
      </c>
      <c r="B54" s="6" t="s">
        <v>106</v>
      </c>
      <c r="C54" s="14" t="s">
        <v>107</v>
      </c>
      <c r="D54" s="2">
        <v>1.1000000000000001</v>
      </c>
      <c r="E54" s="2">
        <v>0.8</v>
      </c>
      <c r="F54" s="2">
        <v>25</v>
      </c>
      <c r="G54" s="2">
        <v>25</v>
      </c>
      <c r="H54" s="8">
        <v>20900</v>
      </c>
      <c r="I54" s="26">
        <f t="shared" si="1"/>
        <v>12749</v>
      </c>
    </row>
    <row r="55" spans="1:9" ht="18" customHeight="1" x14ac:dyDescent="0.35">
      <c r="A55" s="267" t="s">
        <v>108</v>
      </c>
      <c r="B55" s="268"/>
      <c r="C55" s="268"/>
      <c r="D55" s="268"/>
      <c r="E55" s="268"/>
      <c r="F55" s="268"/>
      <c r="G55" s="269"/>
      <c r="H55" s="207" t="s">
        <v>109</v>
      </c>
      <c r="I55" s="315" t="s">
        <v>500</v>
      </c>
    </row>
    <row r="56" spans="1:9" ht="18" customHeight="1" x14ac:dyDescent="0.35">
      <c r="A56" s="207" t="s">
        <v>2</v>
      </c>
      <c r="B56" s="287" t="s">
        <v>3</v>
      </c>
      <c r="C56" s="260" t="s">
        <v>4</v>
      </c>
      <c r="D56" s="209" t="s">
        <v>5</v>
      </c>
      <c r="E56" s="210"/>
      <c r="F56" s="209" t="s">
        <v>6</v>
      </c>
      <c r="G56" s="210"/>
      <c r="H56" s="259"/>
      <c r="I56" s="315"/>
    </row>
    <row r="57" spans="1:9" ht="18" customHeight="1" x14ac:dyDescent="0.35">
      <c r="A57" s="208"/>
      <c r="B57" s="287"/>
      <c r="C57" s="261"/>
      <c r="D57" s="11" t="s">
        <v>9</v>
      </c>
      <c r="E57" s="11" t="s">
        <v>10</v>
      </c>
      <c r="F57" s="11" t="s">
        <v>11</v>
      </c>
      <c r="G57" s="11" t="s">
        <v>12</v>
      </c>
      <c r="H57" s="208"/>
      <c r="I57" s="315"/>
    </row>
    <row r="58" spans="1:9" ht="18" customHeight="1" x14ac:dyDescent="0.35">
      <c r="A58" s="6">
        <v>1</v>
      </c>
      <c r="B58" s="6" t="s">
        <v>110</v>
      </c>
      <c r="C58" s="14" t="s">
        <v>111</v>
      </c>
      <c r="D58" s="303">
        <v>0.5</v>
      </c>
      <c r="E58" s="303">
        <v>0.37</v>
      </c>
      <c r="F58" s="2">
        <v>25</v>
      </c>
      <c r="G58" s="2">
        <v>25</v>
      </c>
      <c r="H58" s="8">
        <v>4680</v>
      </c>
      <c r="I58" s="26">
        <f t="shared" ref="I58:I113" si="2">H58*0.61</f>
        <v>2854.7999999999997</v>
      </c>
    </row>
    <row r="59" spans="1:9" ht="18" customHeight="1" x14ac:dyDescent="0.35">
      <c r="A59" s="6">
        <v>2</v>
      </c>
      <c r="B59" s="6" t="s">
        <v>112</v>
      </c>
      <c r="C59" s="14" t="s">
        <v>113</v>
      </c>
      <c r="D59" s="303"/>
      <c r="E59" s="303"/>
      <c r="F59" s="2">
        <v>40</v>
      </c>
      <c r="G59" s="2">
        <v>40</v>
      </c>
      <c r="H59" s="8">
        <v>6430</v>
      </c>
      <c r="I59" s="26">
        <f t="shared" si="2"/>
        <v>3922.2999999999997</v>
      </c>
    </row>
    <row r="60" spans="1:9" ht="18" customHeight="1" x14ac:dyDescent="0.35">
      <c r="A60" s="4">
        <v>3</v>
      </c>
      <c r="B60" s="4" t="s">
        <v>114</v>
      </c>
      <c r="C60" s="18" t="s">
        <v>115</v>
      </c>
      <c r="D60" s="2">
        <v>0.75</v>
      </c>
      <c r="E60" s="2">
        <v>0.56000000000000005</v>
      </c>
      <c r="F60" s="2">
        <v>40</v>
      </c>
      <c r="G60" s="2">
        <v>40</v>
      </c>
      <c r="H60" s="5">
        <v>6240</v>
      </c>
      <c r="I60" s="26">
        <f t="shared" si="2"/>
        <v>3806.4</v>
      </c>
    </row>
    <row r="61" spans="1:9" ht="18" customHeight="1" x14ac:dyDescent="0.35">
      <c r="A61" s="6">
        <v>4</v>
      </c>
      <c r="B61" s="6" t="s">
        <v>116</v>
      </c>
      <c r="C61" s="14" t="s">
        <v>117</v>
      </c>
      <c r="D61" s="262">
        <v>1</v>
      </c>
      <c r="E61" s="262">
        <v>0.75</v>
      </c>
      <c r="F61" s="1">
        <v>25</v>
      </c>
      <c r="G61" s="1">
        <v>25</v>
      </c>
      <c r="H61" s="8">
        <v>7572</v>
      </c>
      <c r="I61" s="26">
        <f t="shared" si="2"/>
        <v>4618.92</v>
      </c>
    </row>
    <row r="62" spans="1:9" ht="18" customHeight="1" x14ac:dyDescent="0.35">
      <c r="A62" s="6">
        <v>5</v>
      </c>
      <c r="B62" s="6" t="s">
        <v>118</v>
      </c>
      <c r="C62" s="14" t="s">
        <v>119</v>
      </c>
      <c r="D62" s="266"/>
      <c r="E62" s="266"/>
      <c r="F62" s="1">
        <v>50</v>
      </c>
      <c r="G62" s="1">
        <v>50</v>
      </c>
      <c r="H62" s="8">
        <v>8900</v>
      </c>
      <c r="I62" s="26">
        <f t="shared" si="2"/>
        <v>5429</v>
      </c>
    </row>
    <row r="63" spans="1:9" ht="18" customHeight="1" x14ac:dyDescent="0.35">
      <c r="A63" s="4">
        <v>6</v>
      </c>
      <c r="B63" s="6" t="s">
        <v>120</v>
      </c>
      <c r="C63" s="14" t="s">
        <v>121</v>
      </c>
      <c r="D63" s="266"/>
      <c r="E63" s="266"/>
      <c r="F63" s="1">
        <v>50</v>
      </c>
      <c r="G63" s="1">
        <v>50</v>
      </c>
      <c r="H63" s="5">
        <v>9100</v>
      </c>
      <c r="I63" s="26">
        <f t="shared" si="2"/>
        <v>5551</v>
      </c>
    </row>
    <row r="64" spans="1:9" ht="18" customHeight="1" x14ac:dyDescent="0.35">
      <c r="A64" s="6">
        <v>7</v>
      </c>
      <c r="B64" s="4" t="s">
        <v>122</v>
      </c>
      <c r="C64" s="18" t="s">
        <v>123</v>
      </c>
      <c r="D64" s="266"/>
      <c r="E64" s="266"/>
      <c r="F64" s="1">
        <v>50</v>
      </c>
      <c r="G64" s="1">
        <v>50</v>
      </c>
      <c r="H64" s="5">
        <v>9000</v>
      </c>
      <c r="I64" s="26">
        <f t="shared" si="2"/>
        <v>5490</v>
      </c>
    </row>
    <row r="65" spans="1:9" ht="18" customHeight="1" x14ac:dyDescent="0.35">
      <c r="A65" s="6">
        <v>8</v>
      </c>
      <c r="B65" s="4" t="s">
        <v>124</v>
      </c>
      <c r="C65" s="19" t="s">
        <v>125</v>
      </c>
      <c r="D65" s="266"/>
      <c r="E65" s="266"/>
      <c r="F65" s="1">
        <v>75</v>
      </c>
      <c r="G65" s="1">
        <v>75</v>
      </c>
      <c r="H65" s="8">
        <v>10000</v>
      </c>
      <c r="I65" s="26">
        <f t="shared" si="2"/>
        <v>6100</v>
      </c>
    </row>
    <row r="66" spans="1:9" ht="18" customHeight="1" x14ac:dyDescent="0.35">
      <c r="A66" s="4">
        <v>9</v>
      </c>
      <c r="B66" s="4"/>
      <c r="C66" s="18" t="s">
        <v>126</v>
      </c>
      <c r="D66" s="263"/>
      <c r="E66" s="263"/>
      <c r="F66" s="1">
        <v>75</v>
      </c>
      <c r="G66" s="1">
        <v>75</v>
      </c>
      <c r="H66" s="5">
        <v>10200</v>
      </c>
      <c r="I66" s="26">
        <f t="shared" si="2"/>
        <v>6222</v>
      </c>
    </row>
    <row r="67" spans="1:9" ht="18" customHeight="1" x14ac:dyDescent="0.35">
      <c r="A67" s="6">
        <v>10</v>
      </c>
      <c r="B67" s="4" t="s">
        <v>127</v>
      </c>
      <c r="C67" s="19" t="s">
        <v>128</v>
      </c>
      <c r="D67" s="262">
        <v>1.5</v>
      </c>
      <c r="E67" s="262">
        <v>1.1000000000000001</v>
      </c>
      <c r="F67" s="1">
        <v>50</v>
      </c>
      <c r="G67" s="1">
        <v>50</v>
      </c>
      <c r="H67" s="5">
        <v>10420</v>
      </c>
      <c r="I67" s="26">
        <f t="shared" si="2"/>
        <v>6356.2</v>
      </c>
    </row>
    <row r="68" spans="1:9" ht="18" customHeight="1" x14ac:dyDescent="0.35">
      <c r="A68" s="6">
        <v>11</v>
      </c>
      <c r="B68" s="4" t="s">
        <v>129</v>
      </c>
      <c r="C68" s="18" t="s">
        <v>130</v>
      </c>
      <c r="D68" s="266"/>
      <c r="E68" s="266"/>
      <c r="F68" s="1">
        <v>50</v>
      </c>
      <c r="G68" s="1">
        <v>50</v>
      </c>
      <c r="H68" s="5">
        <v>10600</v>
      </c>
      <c r="I68" s="26">
        <f t="shared" si="2"/>
        <v>6466</v>
      </c>
    </row>
    <row r="69" spans="1:9" ht="18" customHeight="1" x14ac:dyDescent="0.35">
      <c r="A69" s="4">
        <v>12</v>
      </c>
      <c r="B69" s="4" t="s">
        <v>131</v>
      </c>
      <c r="C69" s="19" t="s">
        <v>132</v>
      </c>
      <c r="D69" s="266"/>
      <c r="E69" s="266"/>
      <c r="F69" s="1">
        <v>65</v>
      </c>
      <c r="G69" s="1">
        <v>50</v>
      </c>
      <c r="H69" s="5">
        <v>10600</v>
      </c>
      <c r="I69" s="26">
        <f t="shared" si="2"/>
        <v>6466</v>
      </c>
    </row>
    <row r="70" spans="1:9" ht="18" customHeight="1" x14ac:dyDescent="0.35">
      <c r="A70" s="6">
        <v>13</v>
      </c>
      <c r="B70" s="4" t="s">
        <v>133</v>
      </c>
      <c r="C70" s="18" t="s">
        <v>134</v>
      </c>
      <c r="D70" s="266"/>
      <c r="E70" s="266"/>
      <c r="F70" s="1">
        <v>65</v>
      </c>
      <c r="G70" s="1">
        <v>50</v>
      </c>
      <c r="H70" s="5">
        <v>10800</v>
      </c>
      <c r="I70" s="26">
        <f t="shared" si="2"/>
        <v>6588</v>
      </c>
    </row>
    <row r="71" spans="1:9" ht="18" customHeight="1" x14ac:dyDescent="0.35">
      <c r="A71" s="6">
        <v>14</v>
      </c>
      <c r="B71" s="4" t="s">
        <v>135</v>
      </c>
      <c r="C71" s="19" t="s">
        <v>136</v>
      </c>
      <c r="D71" s="266"/>
      <c r="E71" s="266"/>
      <c r="F71" s="1">
        <v>75</v>
      </c>
      <c r="G71" s="1">
        <v>75</v>
      </c>
      <c r="H71" s="8">
        <v>11000</v>
      </c>
      <c r="I71" s="26">
        <f t="shared" si="2"/>
        <v>6710</v>
      </c>
    </row>
    <row r="72" spans="1:9" ht="18" customHeight="1" x14ac:dyDescent="0.35">
      <c r="A72" s="4">
        <v>15</v>
      </c>
      <c r="B72" s="4" t="s">
        <v>137</v>
      </c>
      <c r="C72" s="18" t="s">
        <v>138</v>
      </c>
      <c r="D72" s="266"/>
      <c r="E72" s="266"/>
      <c r="F72" s="1">
        <v>75</v>
      </c>
      <c r="G72" s="1">
        <v>75</v>
      </c>
      <c r="H72" s="5">
        <v>11200</v>
      </c>
      <c r="I72" s="26">
        <f t="shared" si="2"/>
        <v>6832</v>
      </c>
    </row>
    <row r="73" spans="1:9" ht="18" customHeight="1" x14ac:dyDescent="0.35">
      <c r="A73" s="6">
        <v>16</v>
      </c>
      <c r="B73" s="4" t="s">
        <v>139</v>
      </c>
      <c r="C73" s="18" t="s">
        <v>140</v>
      </c>
      <c r="D73" s="263"/>
      <c r="E73" s="263"/>
      <c r="F73" s="1">
        <v>75</v>
      </c>
      <c r="G73" s="1">
        <v>75</v>
      </c>
      <c r="H73" s="5">
        <v>11200</v>
      </c>
      <c r="I73" s="26">
        <f t="shared" si="2"/>
        <v>6832</v>
      </c>
    </row>
    <row r="74" spans="1:9" ht="18" customHeight="1" x14ac:dyDescent="0.35">
      <c r="A74" s="6">
        <v>17</v>
      </c>
      <c r="B74" s="4" t="s">
        <v>141</v>
      </c>
      <c r="C74" s="19" t="s">
        <v>142</v>
      </c>
      <c r="D74" s="262">
        <v>2</v>
      </c>
      <c r="E74" s="262">
        <v>1.5</v>
      </c>
      <c r="F74" s="1">
        <v>50</v>
      </c>
      <c r="G74" s="1">
        <v>40</v>
      </c>
      <c r="H74" s="8">
        <v>15000</v>
      </c>
      <c r="I74" s="26">
        <f t="shared" si="2"/>
        <v>9150</v>
      </c>
    </row>
    <row r="75" spans="1:9" ht="18" customHeight="1" x14ac:dyDescent="0.35">
      <c r="A75" s="4">
        <v>18</v>
      </c>
      <c r="B75" s="4" t="s">
        <v>143</v>
      </c>
      <c r="C75" s="18" t="s">
        <v>144</v>
      </c>
      <c r="D75" s="266"/>
      <c r="E75" s="266"/>
      <c r="F75" s="1">
        <v>50</v>
      </c>
      <c r="G75" s="1">
        <v>40</v>
      </c>
      <c r="H75" s="5">
        <v>15200</v>
      </c>
      <c r="I75" s="26">
        <f t="shared" si="2"/>
        <v>9272</v>
      </c>
    </row>
    <row r="76" spans="1:9" ht="18" customHeight="1" x14ac:dyDescent="0.35">
      <c r="A76" s="6">
        <v>19</v>
      </c>
      <c r="B76" s="6" t="s">
        <v>145</v>
      </c>
      <c r="C76" s="14" t="s">
        <v>146</v>
      </c>
      <c r="D76" s="266"/>
      <c r="E76" s="266"/>
      <c r="F76" s="1">
        <v>50</v>
      </c>
      <c r="G76" s="1">
        <v>50</v>
      </c>
      <c r="H76" s="8">
        <v>13000</v>
      </c>
      <c r="I76" s="26">
        <f t="shared" si="2"/>
        <v>7930</v>
      </c>
    </row>
    <row r="77" spans="1:9" ht="18" customHeight="1" x14ac:dyDescent="0.35">
      <c r="A77" s="6">
        <v>20</v>
      </c>
      <c r="B77" s="4" t="s">
        <v>147</v>
      </c>
      <c r="C77" s="18" t="s">
        <v>148</v>
      </c>
      <c r="D77" s="266"/>
      <c r="E77" s="266"/>
      <c r="F77" s="1">
        <v>50</v>
      </c>
      <c r="G77" s="1">
        <v>50</v>
      </c>
      <c r="H77" s="5">
        <v>13200</v>
      </c>
      <c r="I77" s="26">
        <f t="shared" si="2"/>
        <v>8052</v>
      </c>
    </row>
    <row r="78" spans="1:9" ht="18" customHeight="1" x14ac:dyDescent="0.35">
      <c r="A78" s="4">
        <v>21</v>
      </c>
      <c r="B78" s="6" t="s">
        <v>149</v>
      </c>
      <c r="C78" s="14" t="s">
        <v>150</v>
      </c>
      <c r="D78" s="266"/>
      <c r="E78" s="266"/>
      <c r="F78" s="1">
        <v>65</v>
      </c>
      <c r="G78" s="1">
        <v>50</v>
      </c>
      <c r="H78" s="8">
        <v>13300</v>
      </c>
      <c r="I78" s="26">
        <f t="shared" si="2"/>
        <v>8113</v>
      </c>
    </row>
    <row r="79" spans="1:9" ht="18" customHeight="1" x14ac:dyDescent="0.35">
      <c r="A79" s="6">
        <v>22</v>
      </c>
      <c r="B79" s="6" t="s">
        <v>151</v>
      </c>
      <c r="C79" s="14" t="s">
        <v>152</v>
      </c>
      <c r="D79" s="266"/>
      <c r="E79" s="266"/>
      <c r="F79" s="1">
        <v>65</v>
      </c>
      <c r="G79" s="1">
        <v>50</v>
      </c>
      <c r="H79" s="5">
        <v>13500</v>
      </c>
      <c r="I79" s="26">
        <f t="shared" si="2"/>
        <v>8235</v>
      </c>
    </row>
    <row r="80" spans="1:9" ht="18" customHeight="1" x14ac:dyDescent="0.35">
      <c r="A80" s="6">
        <v>23</v>
      </c>
      <c r="B80" s="4" t="s">
        <v>153</v>
      </c>
      <c r="C80" s="18" t="s">
        <v>154</v>
      </c>
      <c r="D80" s="266"/>
      <c r="E80" s="266"/>
      <c r="F80" s="1">
        <v>65</v>
      </c>
      <c r="G80" s="1">
        <v>50</v>
      </c>
      <c r="H80" s="5">
        <v>13340</v>
      </c>
      <c r="I80" s="26">
        <f t="shared" si="2"/>
        <v>8137.4</v>
      </c>
    </row>
    <row r="81" spans="1:9" ht="18" customHeight="1" x14ac:dyDescent="0.35">
      <c r="A81" s="4">
        <v>24</v>
      </c>
      <c r="B81" s="6"/>
      <c r="C81" s="14" t="s">
        <v>155</v>
      </c>
      <c r="D81" s="266"/>
      <c r="E81" s="266"/>
      <c r="F81" s="1">
        <v>65</v>
      </c>
      <c r="G81" s="1">
        <v>50</v>
      </c>
      <c r="H81" s="8">
        <v>13300</v>
      </c>
      <c r="I81" s="26">
        <f t="shared" si="2"/>
        <v>8113</v>
      </c>
    </row>
    <row r="82" spans="1:9" ht="18" customHeight="1" x14ac:dyDescent="0.35">
      <c r="A82" s="6">
        <v>25</v>
      </c>
      <c r="B82" s="4" t="s">
        <v>156</v>
      </c>
      <c r="C82" s="18" t="s">
        <v>157</v>
      </c>
      <c r="D82" s="266"/>
      <c r="E82" s="266"/>
      <c r="F82" s="1">
        <v>75</v>
      </c>
      <c r="G82" s="1">
        <v>75</v>
      </c>
      <c r="H82" s="5">
        <v>13600</v>
      </c>
      <c r="I82" s="26">
        <f t="shared" si="2"/>
        <v>8296</v>
      </c>
    </row>
    <row r="83" spans="1:9" ht="18" customHeight="1" x14ac:dyDescent="0.35">
      <c r="A83" s="6">
        <v>26</v>
      </c>
      <c r="B83" s="6" t="s">
        <v>158</v>
      </c>
      <c r="C83" s="14" t="s">
        <v>159</v>
      </c>
      <c r="D83" s="266"/>
      <c r="E83" s="266"/>
      <c r="F83" s="1">
        <v>75</v>
      </c>
      <c r="G83" s="1">
        <v>75</v>
      </c>
      <c r="H83" s="8">
        <v>13450</v>
      </c>
      <c r="I83" s="26">
        <f t="shared" si="2"/>
        <v>8204.5</v>
      </c>
    </row>
    <row r="84" spans="1:9" ht="18" customHeight="1" x14ac:dyDescent="0.35">
      <c r="A84" s="4">
        <v>27</v>
      </c>
      <c r="B84" s="6" t="s">
        <v>160</v>
      </c>
      <c r="C84" s="14" t="s">
        <v>161</v>
      </c>
      <c r="D84" s="266"/>
      <c r="E84" s="266"/>
      <c r="F84" s="1">
        <v>75</v>
      </c>
      <c r="G84" s="1">
        <v>75</v>
      </c>
      <c r="H84" s="5">
        <v>13800</v>
      </c>
      <c r="I84" s="26">
        <f t="shared" si="2"/>
        <v>8418</v>
      </c>
    </row>
    <row r="85" spans="1:9" ht="18" customHeight="1" x14ac:dyDescent="0.35">
      <c r="A85" s="6">
        <v>28</v>
      </c>
      <c r="B85" s="6" t="s">
        <v>162</v>
      </c>
      <c r="C85" s="14" t="s">
        <v>163</v>
      </c>
      <c r="D85" s="266"/>
      <c r="E85" s="266"/>
      <c r="F85" s="1">
        <v>75</v>
      </c>
      <c r="G85" s="1">
        <v>75</v>
      </c>
      <c r="H85" s="5">
        <v>14000</v>
      </c>
      <c r="I85" s="26">
        <f t="shared" si="2"/>
        <v>8540</v>
      </c>
    </row>
    <row r="86" spans="1:9" ht="18" customHeight="1" x14ac:dyDescent="0.35">
      <c r="A86" s="6">
        <v>29</v>
      </c>
      <c r="B86" s="6" t="s">
        <v>164</v>
      </c>
      <c r="C86" s="14" t="s">
        <v>165</v>
      </c>
      <c r="D86" s="266"/>
      <c r="E86" s="266"/>
      <c r="F86" s="1">
        <v>75</v>
      </c>
      <c r="G86" s="1">
        <v>75</v>
      </c>
      <c r="H86" s="5">
        <v>14500</v>
      </c>
      <c r="I86" s="26">
        <f t="shared" si="2"/>
        <v>8845</v>
      </c>
    </row>
    <row r="87" spans="1:9" ht="18" customHeight="1" x14ac:dyDescent="0.35">
      <c r="A87" s="4">
        <v>30</v>
      </c>
      <c r="B87" s="4" t="s">
        <v>166</v>
      </c>
      <c r="C87" s="18" t="s">
        <v>167</v>
      </c>
      <c r="D87" s="266"/>
      <c r="E87" s="266"/>
      <c r="F87" s="1">
        <v>75</v>
      </c>
      <c r="G87" s="1">
        <v>75</v>
      </c>
      <c r="H87" s="5">
        <v>13550</v>
      </c>
      <c r="I87" s="26">
        <f t="shared" si="2"/>
        <v>8265.5</v>
      </c>
    </row>
    <row r="88" spans="1:9" ht="18" customHeight="1" x14ac:dyDescent="0.35">
      <c r="A88" s="6">
        <v>31</v>
      </c>
      <c r="B88" s="6" t="s">
        <v>168</v>
      </c>
      <c r="C88" s="14" t="s">
        <v>169</v>
      </c>
      <c r="D88" s="266"/>
      <c r="E88" s="266"/>
      <c r="F88" s="1">
        <v>75</v>
      </c>
      <c r="G88" s="1">
        <v>65</v>
      </c>
      <c r="H88" s="8">
        <v>13450</v>
      </c>
      <c r="I88" s="26">
        <f t="shared" si="2"/>
        <v>8204.5</v>
      </c>
    </row>
    <row r="89" spans="1:9" ht="18" customHeight="1" x14ac:dyDescent="0.35">
      <c r="A89" s="6">
        <v>32</v>
      </c>
      <c r="B89" s="6" t="s">
        <v>170</v>
      </c>
      <c r="C89" s="14" t="s">
        <v>171</v>
      </c>
      <c r="D89" s="266"/>
      <c r="E89" s="266"/>
      <c r="F89" s="1">
        <v>75</v>
      </c>
      <c r="G89" s="1">
        <v>65</v>
      </c>
      <c r="H89" s="5">
        <v>13740</v>
      </c>
      <c r="I89" s="26">
        <f t="shared" si="2"/>
        <v>8381.4</v>
      </c>
    </row>
    <row r="90" spans="1:9" ht="18" customHeight="1" x14ac:dyDescent="0.35">
      <c r="A90" s="4">
        <v>33</v>
      </c>
      <c r="B90" s="4"/>
      <c r="C90" s="19" t="s">
        <v>172</v>
      </c>
      <c r="D90" s="266"/>
      <c r="E90" s="266"/>
      <c r="F90" s="1">
        <v>100</v>
      </c>
      <c r="G90" s="1">
        <v>100</v>
      </c>
      <c r="H90" s="8">
        <v>15000</v>
      </c>
      <c r="I90" s="26">
        <f t="shared" si="2"/>
        <v>9150</v>
      </c>
    </row>
    <row r="91" spans="1:9" ht="18" customHeight="1" x14ac:dyDescent="0.35">
      <c r="A91" s="6">
        <v>34</v>
      </c>
      <c r="B91" s="4"/>
      <c r="C91" s="18" t="s">
        <v>173</v>
      </c>
      <c r="D91" s="263"/>
      <c r="E91" s="263"/>
      <c r="F91" s="1">
        <v>100</v>
      </c>
      <c r="G91" s="1">
        <v>100</v>
      </c>
      <c r="H91" s="5">
        <v>15200</v>
      </c>
      <c r="I91" s="26">
        <f t="shared" si="2"/>
        <v>9272</v>
      </c>
    </row>
    <row r="92" spans="1:9" ht="18" customHeight="1" x14ac:dyDescent="0.35">
      <c r="A92" s="6">
        <v>35</v>
      </c>
      <c r="B92" s="4"/>
      <c r="C92" s="19" t="s">
        <v>174</v>
      </c>
      <c r="D92" s="262">
        <v>3</v>
      </c>
      <c r="E92" s="262">
        <v>2.25</v>
      </c>
      <c r="F92" s="1">
        <v>50</v>
      </c>
      <c r="G92" s="1">
        <v>40</v>
      </c>
      <c r="H92" s="8">
        <v>18000</v>
      </c>
      <c r="I92" s="26">
        <f t="shared" si="2"/>
        <v>10980</v>
      </c>
    </row>
    <row r="93" spans="1:9" ht="18" customHeight="1" x14ac:dyDescent="0.35">
      <c r="A93" s="4">
        <v>36</v>
      </c>
      <c r="B93" s="4" t="s">
        <v>175</v>
      </c>
      <c r="C93" s="18" t="s">
        <v>176</v>
      </c>
      <c r="D93" s="266"/>
      <c r="E93" s="266"/>
      <c r="F93" s="1">
        <v>50</v>
      </c>
      <c r="G93" s="1">
        <v>40</v>
      </c>
      <c r="H93" s="5">
        <v>18560</v>
      </c>
      <c r="I93" s="26">
        <f t="shared" si="2"/>
        <v>11321.6</v>
      </c>
    </row>
    <row r="94" spans="1:9" ht="18" customHeight="1" x14ac:dyDescent="0.35">
      <c r="A94" s="6">
        <v>37</v>
      </c>
      <c r="B94" s="4" t="s">
        <v>177</v>
      </c>
      <c r="C94" s="19" t="s">
        <v>178</v>
      </c>
      <c r="D94" s="266"/>
      <c r="E94" s="266"/>
      <c r="F94" s="1">
        <v>50</v>
      </c>
      <c r="G94" s="1">
        <v>50</v>
      </c>
      <c r="H94" s="8">
        <v>18250</v>
      </c>
      <c r="I94" s="26">
        <f t="shared" si="2"/>
        <v>11132.5</v>
      </c>
    </row>
    <row r="95" spans="1:9" ht="18" customHeight="1" x14ac:dyDescent="0.35">
      <c r="A95" s="6">
        <v>38</v>
      </c>
      <c r="B95" s="4" t="s">
        <v>179</v>
      </c>
      <c r="C95" s="18" t="s">
        <v>180</v>
      </c>
      <c r="D95" s="266"/>
      <c r="E95" s="266"/>
      <c r="F95" s="1">
        <v>50</v>
      </c>
      <c r="G95" s="1">
        <v>50</v>
      </c>
      <c r="H95" s="5">
        <v>18670</v>
      </c>
      <c r="I95" s="26">
        <f t="shared" si="2"/>
        <v>11388.699999999999</v>
      </c>
    </row>
    <row r="96" spans="1:9" ht="18" customHeight="1" x14ac:dyDescent="0.35">
      <c r="A96" s="4">
        <v>39</v>
      </c>
      <c r="B96" s="6" t="s">
        <v>181</v>
      </c>
      <c r="C96" s="14" t="s">
        <v>182</v>
      </c>
      <c r="D96" s="266"/>
      <c r="E96" s="266"/>
      <c r="F96" s="1">
        <v>65</v>
      </c>
      <c r="G96" s="1">
        <v>50</v>
      </c>
      <c r="H96" s="8">
        <v>18100</v>
      </c>
      <c r="I96" s="26">
        <f t="shared" si="2"/>
        <v>11041</v>
      </c>
    </row>
    <row r="97" spans="1:9" ht="18" customHeight="1" x14ac:dyDescent="0.35">
      <c r="A97" s="6">
        <v>40</v>
      </c>
      <c r="B97" s="6" t="s">
        <v>183</v>
      </c>
      <c r="C97" s="14" t="s">
        <v>184</v>
      </c>
      <c r="D97" s="266"/>
      <c r="E97" s="266"/>
      <c r="F97" s="1">
        <v>65</v>
      </c>
      <c r="G97" s="1">
        <v>50</v>
      </c>
      <c r="H97" s="5">
        <v>18770</v>
      </c>
      <c r="I97" s="26">
        <f t="shared" si="2"/>
        <v>11449.699999999999</v>
      </c>
    </row>
    <row r="98" spans="1:9" ht="18" customHeight="1" x14ac:dyDescent="0.35">
      <c r="A98" s="6">
        <v>41</v>
      </c>
      <c r="B98" s="6" t="s">
        <v>185</v>
      </c>
      <c r="C98" s="14" t="s">
        <v>186</v>
      </c>
      <c r="D98" s="266"/>
      <c r="E98" s="266"/>
      <c r="F98" s="1">
        <v>75</v>
      </c>
      <c r="G98" s="1">
        <v>75</v>
      </c>
      <c r="H98" s="8">
        <v>18020</v>
      </c>
      <c r="I98" s="26">
        <f t="shared" si="2"/>
        <v>10992.199999999999</v>
      </c>
    </row>
    <row r="99" spans="1:9" ht="18" customHeight="1" x14ac:dyDescent="0.35">
      <c r="A99" s="4">
        <v>42</v>
      </c>
      <c r="B99" s="6" t="s">
        <v>187</v>
      </c>
      <c r="C99" s="14" t="s">
        <v>188</v>
      </c>
      <c r="D99" s="266"/>
      <c r="E99" s="266"/>
      <c r="F99" s="1">
        <v>75</v>
      </c>
      <c r="G99" s="1">
        <v>75</v>
      </c>
      <c r="H99" s="5">
        <v>18680</v>
      </c>
      <c r="I99" s="26">
        <f t="shared" si="2"/>
        <v>11394.8</v>
      </c>
    </row>
    <row r="100" spans="1:9" ht="18" customHeight="1" x14ac:dyDescent="0.35">
      <c r="A100" s="6">
        <v>43</v>
      </c>
      <c r="B100" s="6" t="s">
        <v>189</v>
      </c>
      <c r="C100" s="14" t="s">
        <v>190</v>
      </c>
      <c r="D100" s="266"/>
      <c r="E100" s="266"/>
      <c r="F100" s="1">
        <v>100</v>
      </c>
      <c r="G100" s="1">
        <v>100</v>
      </c>
      <c r="H100" s="8">
        <v>19100</v>
      </c>
      <c r="I100" s="26">
        <f t="shared" si="2"/>
        <v>11651</v>
      </c>
    </row>
    <row r="101" spans="1:9" ht="18" customHeight="1" x14ac:dyDescent="0.35">
      <c r="A101" s="6">
        <v>44</v>
      </c>
      <c r="B101" s="6" t="s">
        <v>191</v>
      </c>
      <c r="C101" s="14" t="s">
        <v>192</v>
      </c>
      <c r="D101" s="266"/>
      <c r="E101" s="266"/>
      <c r="F101" s="1">
        <v>100</v>
      </c>
      <c r="G101" s="1">
        <v>100</v>
      </c>
      <c r="H101" s="5">
        <v>19500</v>
      </c>
      <c r="I101" s="26">
        <f t="shared" si="2"/>
        <v>11895</v>
      </c>
    </row>
    <row r="102" spans="1:9" ht="18" customHeight="1" x14ac:dyDescent="0.35">
      <c r="A102" s="4">
        <v>45</v>
      </c>
      <c r="B102" s="6" t="s">
        <v>193</v>
      </c>
      <c r="C102" s="14" t="s">
        <v>194</v>
      </c>
      <c r="D102" s="266"/>
      <c r="E102" s="266"/>
      <c r="F102" s="1">
        <v>100</v>
      </c>
      <c r="G102" s="1">
        <v>100</v>
      </c>
      <c r="H102" s="5">
        <v>14800</v>
      </c>
      <c r="I102" s="26">
        <f t="shared" si="2"/>
        <v>9028</v>
      </c>
    </row>
    <row r="103" spans="1:9" ht="18" customHeight="1" x14ac:dyDescent="0.35">
      <c r="A103" s="6">
        <v>46</v>
      </c>
      <c r="B103" s="4" t="s">
        <v>195</v>
      </c>
      <c r="C103" s="18" t="s">
        <v>196</v>
      </c>
      <c r="D103" s="263"/>
      <c r="E103" s="263"/>
      <c r="F103" s="1">
        <v>100</v>
      </c>
      <c r="G103" s="1">
        <v>100</v>
      </c>
      <c r="H103" s="5">
        <v>15000</v>
      </c>
      <c r="I103" s="26">
        <f t="shared" si="2"/>
        <v>9150</v>
      </c>
    </row>
    <row r="104" spans="1:9" ht="18" customHeight="1" x14ac:dyDescent="0.35">
      <c r="A104" s="6">
        <v>47</v>
      </c>
      <c r="B104" s="6" t="s">
        <v>197</v>
      </c>
      <c r="C104" s="14" t="s">
        <v>198</v>
      </c>
      <c r="D104" s="262">
        <v>5</v>
      </c>
      <c r="E104" s="262">
        <v>3.75</v>
      </c>
      <c r="F104" s="1">
        <v>80</v>
      </c>
      <c r="G104" s="1">
        <v>65</v>
      </c>
      <c r="H104" s="5">
        <v>24600</v>
      </c>
      <c r="I104" s="26">
        <f t="shared" si="2"/>
        <v>15006</v>
      </c>
    </row>
    <row r="105" spans="1:9" ht="18" customHeight="1" x14ac:dyDescent="0.35">
      <c r="A105" s="4">
        <v>48</v>
      </c>
      <c r="B105" s="4"/>
      <c r="C105" s="20" t="s">
        <v>199</v>
      </c>
      <c r="D105" s="266"/>
      <c r="E105" s="266"/>
      <c r="F105" s="1">
        <v>80</v>
      </c>
      <c r="G105" s="1">
        <v>65</v>
      </c>
      <c r="H105" s="5">
        <v>26000</v>
      </c>
      <c r="I105" s="26">
        <f t="shared" si="2"/>
        <v>15860</v>
      </c>
    </row>
    <row r="106" spans="1:9" ht="18" customHeight="1" x14ac:dyDescent="0.35">
      <c r="A106" s="6">
        <v>49</v>
      </c>
      <c r="B106" s="6" t="s">
        <v>200</v>
      </c>
      <c r="C106" s="20" t="s">
        <v>201</v>
      </c>
      <c r="D106" s="263"/>
      <c r="E106" s="263"/>
      <c r="F106" s="1">
        <v>80</v>
      </c>
      <c r="G106" s="1">
        <v>65</v>
      </c>
      <c r="H106" s="5">
        <v>23600</v>
      </c>
      <c r="I106" s="26">
        <f t="shared" si="2"/>
        <v>14396</v>
      </c>
    </row>
    <row r="107" spans="1:9" ht="18" customHeight="1" x14ac:dyDescent="0.35">
      <c r="A107" s="6">
        <v>50</v>
      </c>
      <c r="B107" s="4" t="s">
        <v>202</v>
      </c>
      <c r="C107" s="18" t="s">
        <v>203</v>
      </c>
      <c r="D107" s="7">
        <v>0.75</v>
      </c>
      <c r="E107" s="7">
        <v>0.56000000000000005</v>
      </c>
      <c r="F107" s="2">
        <v>25</v>
      </c>
      <c r="G107" s="2">
        <v>25</v>
      </c>
      <c r="H107" s="5">
        <v>5170</v>
      </c>
      <c r="I107" s="26">
        <f t="shared" si="2"/>
        <v>3153.7</v>
      </c>
    </row>
    <row r="108" spans="1:9" ht="18" customHeight="1" x14ac:dyDescent="0.35">
      <c r="A108" s="4">
        <v>51</v>
      </c>
      <c r="B108" s="4" t="s">
        <v>204</v>
      </c>
      <c r="C108" s="18" t="s">
        <v>205</v>
      </c>
      <c r="D108" s="262">
        <v>1</v>
      </c>
      <c r="E108" s="262">
        <v>0.75</v>
      </c>
      <c r="F108" s="1">
        <v>40</v>
      </c>
      <c r="G108" s="1">
        <v>40</v>
      </c>
      <c r="H108" s="5">
        <v>9000</v>
      </c>
      <c r="I108" s="26">
        <f t="shared" si="2"/>
        <v>5490</v>
      </c>
    </row>
    <row r="109" spans="1:9" ht="18" customHeight="1" x14ac:dyDescent="0.35">
      <c r="A109" s="6">
        <v>52</v>
      </c>
      <c r="B109" s="4"/>
      <c r="C109" s="18" t="s">
        <v>206</v>
      </c>
      <c r="D109" s="263"/>
      <c r="E109" s="263"/>
      <c r="F109" s="1">
        <v>40</v>
      </c>
      <c r="G109" s="1">
        <v>40</v>
      </c>
      <c r="H109" s="5">
        <v>9000</v>
      </c>
      <c r="I109" s="26">
        <f t="shared" si="2"/>
        <v>5490</v>
      </c>
    </row>
    <row r="110" spans="1:9" ht="18" customHeight="1" x14ac:dyDescent="0.35">
      <c r="A110" s="6">
        <v>53</v>
      </c>
      <c r="B110" s="4"/>
      <c r="C110" s="20" t="s">
        <v>207</v>
      </c>
      <c r="D110" s="262">
        <v>2</v>
      </c>
      <c r="E110" s="262">
        <v>1.5</v>
      </c>
      <c r="F110" s="1">
        <v>75</v>
      </c>
      <c r="G110" s="1">
        <v>75</v>
      </c>
      <c r="H110" s="5">
        <v>12500</v>
      </c>
      <c r="I110" s="26">
        <f t="shared" si="2"/>
        <v>7625</v>
      </c>
    </row>
    <row r="111" spans="1:9" ht="18" customHeight="1" x14ac:dyDescent="0.35">
      <c r="A111" s="4">
        <v>54</v>
      </c>
      <c r="B111" s="4" t="s">
        <v>208</v>
      </c>
      <c r="C111" s="20" t="s">
        <v>209</v>
      </c>
      <c r="D111" s="266"/>
      <c r="E111" s="266"/>
      <c r="F111" s="1">
        <v>75</v>
      </c>
      <c r="G111" s="1">
        <v>75</v>
      </c>
      <c r="H111" s="5">
        <v>12500</v>
      </c>
      <c r="I111" s="26">
        <f t="shared" si="2"/>
        <v>7625</v>
      </c>
    </row>
    <row r="112" spans="1:9" ht="18" customHeight="1" x14ac:dyDescent="0.35">
      <c r="A112" s="6">
        <v>55</v>
      </c>
      <c r="B112" s="4" t="s">
        <v>210</v>
      </c>
      <c r="C112" s="20" t="s">
        <v>211</v>
      </c>
      <c r="D112" s="266"/>
      <c r="E112" s="266"/>
      <c r="F112" s="1">
        <v>65</v>
      </c>
      <c r="G112" s="1">
        <v>50</v>
      </c>
      <c r="H112" s="5">
        <v>12200</v>
      </c>
      <c r="I112" s="26">
        <f t="shared" si="2"/>
        <v>7442</v>
      </c>
    </row>
    <row r="113" spans="1:9" ht="18" customHeight="1" x14ac:dyDescent="0.35">
      <c r="A113" s="6">
        <v>56</v>
      </c>
      <c r="B113" s="4" t="s">
        <v>212</v>
      </c>
      <c r="C113" s="20" t="s">
        <v>213</v>
      </c>
      <c r="D113" s="263"/>
      <c r="E113" s="263"/>
      <c r="F113" s="1">
        <v>50</v>
      </c>
      <c r="G113" s="1">
        <v>50</v>
      </c>
      <c r="H113" s="5">
        <v>12200</v>
      </c>
      <c r="I113" s="26">
        <f t="shared" si="2"/>
        <v>7442</v>
      </c>
    </row>
    <row r="114" spans="1:9" ht="18" customHeight="1" x14ac:dyDescent="0.35">
      <c r="A114" s="300" t="s">
        <v>214</v>
      </c>
      <c r="B114" s="300"/>
      <c r="C114" s="300"/>
      <c r="D114" s="300"/>
      <c r="E114" s="300"/>
      <c r="F114" s="300"/>
      <c r="G114" s="300"/>
      <c r="H114" s="207" t="s">
        <v>109</v>
      </c>
      <c r="I114" s="315" t="s">
        <v>497</v>
      </c>
    </row>
    <row r="115" spans="1:9" ht="18" customHeight="1" x14ac:dyDescent="0.35">
      <c r="A115" s="207" t="s">
        <v>2</v>
      </c>
      <c r="B115" s="287" t="s">
        <v>3</v>
      </c>
      <c r="C115" s="298" t="s">
        <v>4</v>
      </c>
      <c r="D115" s="287" t="s">
        <v>5</v>
      </c>
      <c r="E115" s="287"/>
      <c r="F115" s="287" t="s">
        <v>6</v>
      </c>
      <c r="G115" s="287"/>
      <c r="H115" s="259"/>
      <c r="I115" s="315"/>
    </row>
    <row r="116" spans="1:9" ht="18" customHeight="1" x14ac:dyDescent="0.35">
      <c r="A116" s="208"/>
      <c r="B116" s="287"/>
      <c r="C116" s="298"/>
      <c r="D116" s="11" t="s">
        <v>9</v>
      </c>
      <c r="E116" s="11" t="s">
        <v>10</v>
      </c>
      <c r="F116" s="11" t="s">
        <v>11</v>
      </c>
      <c r="G116" s="11" t="s">
        <v>12</v>
      </c>
      <c r="H116" s="208"/>
      <c r="I116" s="315"/>
    </row>
    <row r="117" spans="1:9" ht="18" customHeight="1" x14ac:dyDescent="0.35">
      <c r="A117" s="4">
        <v>1</v>
      </c>
      <c r="B117" s="4" t="s">
        <v>215</v>
      </c>
      <c r="C117" s="12" t="s">
        <v>216</v>
      </c>
      <c r="D117" s="2">
        <v>0.5</v>
      </c>
      <c r="E117" s="2">
        <v>0.37</v>
      </c>
      <c r="F117" s="2">
        <v>25</v>
      </c>
      <c r="G117" s="2">
        <v>25</v>
      </c>
      <c r="H117" s="13">
        <v>5370</v>
      </c>
      <c r="I117" s="26">
        <f>H117*0.63</f>
        <v>3383.1</v>
      </c>
    </row>
    <row r="118" spans="1:9" ht="18" customHeight="1" x14ac:dyDescent="0.35">
      <c r="A118" s="4">
        <v>2</v>
      </c>
      <c r="B118" s="4" t="s">
        <v>217</v>
      </c>
      <c r="C118" s="12" t="s">
        <v>218</v>
      </c>
      <c r="D118" s="2">
        <v>1</v>
      </c>
      <c r="E118" s="2">
        <v>0.75</v>
      </c>
      <c r="F118" s="2">
        <v>25</v>
      </c>
      <c r="G118" s="2">
        <v>25</v>
      </c>
      <c r="H118" s="13">
        <v>7070</v>
      </c>
      <c r="I118" s="148">
        <v>4793</v>
      </c>
    </row>
    <row r="119" spans="1:9" ht="18" customHeight="1" x14ac:dyDescent="0.35">
      <c r="A119" s="4">
        <v>3</v>
      </c>
      <c r="B119" s="21" t="s">
        <v>219</v>
      </c>
      <c r="C119" s="22" t="s">
        <v>220</v>
      </c>
      <c r="D119" s="23">
        <v>2</v>
      </c>
      <c r="E119" s="4">
        <v>1.5</v>
      </c>
      <c r="F119" s="4">
        <v>50</v>
      </c>
      <c r="G119" s="4">
        <v>50</v>
      </c>
      <c r="H119" s="4">
        <v>12200</v>
      </c>
      <c r="I119" s="4">
        <f>H119*0.63</f>
        <v>7686</v>
      </c>
    </row>
    <row r="120" spans="1:9" ht="18" customHeight="1" x14ac:dyDescent="0.35">
      <c r="A120" s="4">
        <v>4</v>
      </c>
      <c r="B120" s="21" t="s">
        <v>221</v>
      </c>
      <c r="C120" s="22" t="s">
        <v>222</v>
      </c>
      <c r="D120" s="23">
        <v>2</v>
      </c>
      <c r="E120" s="4">
        <v>1.5</v>
      </c>
      <c r="F120" s="4">
        <v>50</v>
      </c>
      <c r="G120" s="4">
        <v>50</v>
      </c>
      <c r="H120" s="4">
        <v>12200</v>
      </c>
      <c r="I120" s="4">
        <f t="shared" ref="I120:I128" si="3">H120*0.63</f>
        <v>7686</v>
      </c>
    </row>
    <row r="121" spans="1:9" ht="18" customHeight="1" x14ac:dyDescent="0.35">
      <c r="A121" s="4">
        <v>5</v>
      </c>
      <c r="B121" s="21" t="s">
        <v>223</v>
      </c>
      <c r="C121" s="22" t="s">
        <v>224</v>
      </c>
      <c r="D121" s="23">
        <v>2</v>
      </c>
      <c r="E121" s="4">
        <v>1.5</v>
      </c>
      <c r="F121" s="4">
        <v>65</v>
      </c>
      <c r="G121" s="4">
        <v>50</v>
      </c>
      <c r="H121" s="4">
        <v>12300</v>
      </c>
      <c r="I121" s="4">
        <f t="shared" si="3"/>
        <v>7749</v>
      </c>
    </row>
    <row r="122" spans="1:9" ht="18" customHeight="1" x14ac:dyDescent="0.35">
      <c r="A122" s="4">
        <v>6</v>
      </c>
      <c r="B122" s="21" t="s">
        <v>225</v>
      </c>
      <c r="C122" s="22" t="s">
        <v>226</v>
      </c>
      <c r="D122" s="23">
        <v>2</v>
      </c>
      <c r="E122" s="4">
        <v>1.5</v>
      </c>
      <c r="F122" s="4">
        <v>65</v>
      </c>
      <c r="G122" s="4">
        <v>50</v>
      </c>
      <c r="H122" s="4">
        <v>12300</v>
      </c>
      <c r="I122" s="4">
        <f t="shared" si="3"/>
        <v>7749</v>
      </c>
    </row>
    <row r="123" spans="1:9" ht="18" customHeight="1" x14ac:dyDescent="0.35">
      <c r="A123" s="4">
        <v>7</v>
      </c>
      <c r="B123" s="21" t="s">
        <v>227</v>
      </c>
      <c r="C123" s="22" t="s">
        <v>228</v>
      </c>
      <c r="D123" s="21">
        <v>3</v>
      </c>
      <c r="E123" s="4">
        <v>2.25</v>
      </c>
      <c r="F123" s="4">
        <v>65</v>
      </c>
      <c r="G123" s="4">
        <v>50</v>
      </c>
      <c r="H123" s="4">
        <v>12900</v>
      </c>
      <c r="I123" s="4">
        <f t="shared" si="3"/>
        <v>8127</v>
      </c>
    </row>
    <row r="124" spans="1:9" ht="18" customHeight="1" x14ac:dyDescent="0.35">
      <c r="A124" s="4">
        <v>8</v>
      </c>
      <c r="B124" s="21" t="s">
        <v>229</v>
      </c>
      <c r="C124" s="24" t="s">
        <v>230</v>
      </c>
      <c r="D124" s="21">
        <v>3</v>
      </c>
      <c r="E124" s="4">
        <v>2.25</v>
      </c>
      <c r="F124" s="4">
        <v>65</v>
      </c>
      <c r="G124" s="4">
        <v>50</v>
      </c>
      <c r="H124" s="4">
        <v>13000</v>
      </c>
      <c r="I124" s="4">
        <f t="shared" si="3"/>
        <v>8190</v>
      </c>
    </row>
    <row r="125" spans="1:9" ht="18" customHeight="1" x14ac:dyDescent="0.35">
      <c r="A125" s="4">
        <v>9</v>
      </c>
      <c r="B125" s="21" t="s">
        <v>231</v>
      </c>
      <c r="C125" s="24" t="s">
        <v>232</v>
      </c>
      <c r="D125" s="21">
        <v>3</v>
      </c>
      <c r="E125" s="4">
        <v>2.25</v>
      </c>
      <c r="F125" s="4">
        <v>65</v>
      </c>
      <c r="G125" s="4">
        <v>50</v>
      </c>
      <c r="H125" s="4">
        <v>12900</v>
      </c>
      <c r="I125" s="4">
        <f t="shared" si="3"/>
        <v>8127</v>
      </c>
    </row>
    <row r="126" spans="1:9" ht="18" customHeight="1" x14ac:dyDescent="0.35">
      <c r="A126" s="4">
        <v>10</v>
      </c>
      <c r="B126" s="21" t="s">
        <v>233</v>
      </c>
      <c r="C126" s="24" t="s">
        <v>234</v>
      </c>
      <c r="D126" s="21">
        <v>3</v>
      </c>
      <c r="E126" s="4">
        <v>2.25</v>
      </c>
      <c r="F126" s="4">
        <v>65</v>
      </c>
      <c r="G126" s="4">
        <v>50</v>
      </c>
      <c r="H126" s="4">
        <v>19300</v>
      </c>
      <c r="I126" s="4">
        <f t="shared" si="3"/>
        <v>12159</v>
      </c>
    </row>
    <row r="127" spans="1:9" ht="18" customHeight="1" x14ac:dyDescent="0.35">
      <c r="A127" s="4">
        <v>11</v>
      </c>
      <c r="B127" s="21" t="s">
        <v>235</v>
      </c>
      <c r="C127" s="24" t="s">
        <v>236</v>
      </c>
      <c r="D127" s="21">
        <v>5</v>
      </c>
      <c r="E127" s="1">
        <v>3.75</v>
      </c>
      <c r="F127" s="4">
        <v>65</v>
      </c>
      <c r="G127" s="4">
        <v>50</v>
      </c>
      <c r="H127" s="4">
        <v>18700</v>
      </c>
      <c r="I127" s="4">
        <f t="shared" si="3"/>
        <v>11781</v>
      </c>
    </row>
    <row r="128" spans="1:9" ht="18" customHeight="1" x14ac:dyDescent="0.35">
      <c r="A128" s="4">
        <v>12</v>
      </c>
      <c r="B128" s="21" t="s">
        <v>237</v>
      </c>
      <c r="C128" s="24" t="s">
        <v>238</v>
      </c>
      <c r="D128" s="21">
        <v>5</v>
      </c>
      <c r="E128" s="1">
        <v>3.75</v>
      </c>
      <c r="F128" s="4">
        <v>65</v>
      </c>
      <c r="G128" s="4">
        <v>50</v>
      </c>
      <c r="H128" s="4">
        <v>22900</v>
      </c>
      <c r="I128" s="4">
        <f t="shared" si="3"/>
        <v>14427</v>
      </c>
    </row>
    <row r="129" spans="1:9" ht="18" customHeight="1" x14ac:dyDescent="0.35">
      <c r="A129" s="300" t="s">
        <v>239</v>
      </c>
      <c r="B129" s="300"/>
      <c r="C129" s="300"/>
      <c r="D129" s="300"/>
      <c r="E129" s="300"/>
      <c r="F129" s="300"/>
      <c r="G129" s="300"/>
      <c r="H129" s="207" t="s">
        <v>109</v>
      </c>
      <c r="I129" s="315" t="s">
        <v>497</v>
      </c>
    </row>
    <row r="130" spans="1:9" ht="18" customHeight="1" x14ac:dyDescent="0.35">
      <c r="A130" s="287" t="s">
        <v>2</v>
      </c>
      <c r="B130" s="287" t="s">
        <v>3</v>
      </c>
      <c r="C130" s="298" t="s">
        <v>4</v>
      </c>
      <c r="D130" s="287" t="s">
        <v>5</v>
      </c>
      <c r="E130" s="287"/>
      <c r="F130" s="272" t="s">
        <v>6</v>
      </c>
      <c r="G130" s="273"/>
      <c r="H130" s="259"/>
      <c r="I130" s="315"/>
    </row>
    <row r="131" spans="1:9" ht="18" customHeight="1" x14ac:dyDescent="0.35">
      <c r="A131" s="287"/>
      <c r="B131" s="287"/>
      <c r="C131" s="298"/>
      <c r="D131" s="11" t="s">
        <v>9</v>
      </c>
      <c r="E131" s="11" t="s">
        <v>10</v>
      </c>
      <c r="F131" s="274"/>
      <c r="G131" s="275"/>
      <c r="H131" s="208"/>
      <c r="I131" s="315"/>
    </row>
    <row r="132" spans="1:9" ht="18" customHeight="1" x14ac:dyDescent="0.35">
      <c r="A132" s="4">
        <v>1</v>
      </c>
      <c r="B132" s="4" t="s">
        <v>240</v>
      </c>
      <c r="C132" s="25" t="s">
        <v>241</v>
      </c>
      <c r="D132" s="4">
        <v>0.5</v>
      </c>
      <c r="E132" s="4"/>
      <c r="F132" s="292">
        <v>32</v>
      </c>
      <c r="G132" s="292"/>
      <c r="H132" s="4">
        <v>8240</v>
      </c>
      <c r="I132" s="26">
        <f t="shared" ref="I132:I154" si="4">H132*0.63</f>
        <v>5191.2</v>
      </c>
    </row>
    <row r="133" spans="1:9" ht="18" customHeight="1" x14ac:dyDescent="0.35">
      <c r="A133" s="4">
        <v>2</v>
      </c>
      <c r="B133" s="4" t="s">
        <v>242</v>
      </c>
      <c r="C133" s="25" t="s">
        <v>243</v>
      </c>
      <c r="D133" s="4">
        <v>0.5</v>
      </c>
      <c r="E133" s="4"/>
      <c r="F133" s="292">
        <v>32</v>
      </c>
      <c r="G133" s="292"/>
      <c r="H133" s="4">
        <v>8450</v>
      </c>
      <c r="I133" s="26">
        <f t="shared" si="4"/>
        <v>5323.5</v>
      </c>
    </row>
    <row r="134" spans="1:9" ht="18" customHeight="1" x14ac:dyDescent="0.35">
      <c r="A134" s="4">
        <v>3</v>
      </c>
      <c r="B134" s="4" t="s">
        <v>244</v>
      </c>
      <c r="C134" s="25" t="s">
        <v>245</v>
      </c>
      <c r="D134" s="4">
        <v>0.75</v>
      </c>
      <c r="E134" s="4"/>
      <c r="F134" s="292">
        <v>32</v>
      </c>
      <c r="G134" s="292"/>
      <c r="H134" s="4">
        <v>8550</v>
      </c>
      <c r="I134" s="26">
        <f t="shared" si="4"/>
        <v>5386.5</v>
      </c>
    </row>
    <row r="135" spans="1:9" ht="18" customHeight="1" x14ac:dyDescent="0.35">
      <c r="A135" s="4">
        <v>4</v>
      </c>
      <c r="B135" s="4" t="s">
        <v>246</v>
      </c>
      <c r="C135" s="25" t="s">
        <v>247</v>
      </c>
      <c r="D135" s="4">
        <v>0.75</v>
      </c>
      <c r="E135" s="4"/>
      <c r="F135" s="292">
        <v>32</v>
      </c>
      <c r="G135" s="292"/>
      <c r="H135" s="4">
        <v>8750</v>
      </c>
      <c r="I135" s="26">
        <f t="shared" si="4"/>
        <v>5512.5</v>
      </c>
    </row>
    <row r="136" spans="1:9" ht="18" customHeight="1" x14ac:dyDescent="0.35">
      <c r="A136" s="4">
        <v>5</v>
      </c>
      <c r="B136" s="4" t="s">
        <v>248</v>
      </c>
      <c r="C136" s="25" t="s">
        <v>249</v>
      </c>
      <c r="D136" s="4">
        <v>1</v>
      </c>
      <c r="E136" s="4"/>
      <c r="F136" s="292">
        <v>32</v>
      </c>
      <c r="G136" s="292"/>
      <c r="H136" s="26">
        <v>8800</v>
      </c>
      <c r="I136" s="26">
        <f t="shared" si="4"/>
        <v>5544</v>
      </c>
    </row>
    <row r="137" spans="1:9" ht="18" customHeight="1" x14ac:dyDescent="0.35">
      <c r="A137" s="4">
        <v>6</v>
      </c>
      <c r="B137" s="4" t="s">
        <v>250</v>
      </c>
      <c r="C137" s="25" t="s">
        <v>251</v>
      </c>
      <c r="D137" s="4">
        <v>1</v>
      </c>
      <c r="E137" s="4"/>
      <c r="F137" s="292">
        <v>32</v>
      </c>
      <c r="G137" s="292"/>
      <c r="H137" s="26">
        <v>9000</v>
      </c>
      <c r="I137" s="26">
        <f t="shared" si="4"/>
        <v>5670</v>
      </c>
    </row>
    <row r="138" spans="1:9" ht="18" customHeight="1" x14ac:dyDescent="0.35">
      <c r="A138" s="4">
        <v>7</v>
      </c>
      <c r="B138" s="4" t="s">
        <v>252</v>
      </c>
      <c r="C138" s="25" t="s">
        <v>253</v>
      </c>
      <c r="D138" s="4">
        <v>1</v>
      </c>
      <c r="E138" s="4"/>
      <c r="F138" s="292">
        <v>32</v>
      </c>
      <c r="G138" s="292"/>
      <c r="H138" s="4">
        <v>9480</v>
      </c>
      <c r="I138" s="26">
        <f t="shared" si="4"/>
        <v>5972.4</v>
      </c>
    </row>
    <row r="139" spans="1:9" ht="18" customHeight="1" x14ac:dyDescent="0.35">
      <c r="A139" s="4">
        <v>8</v>
      </c>
      <c r="B139" s="4" t="s">
        <v>254</v>
      </c>
      <c r="C139" s="25" t="s">
        <v>255</v>
      </c>
      <c r="D139" s="4">
        <v>1</v>
      </c>
      <c r="E139" s="4"/>
      <c r="F139" s="292">
        <v>32</v>
      </c>
      <c r="G139" s="292"/>
      <c r="H139" s="4">
        <v>9790</v>
      </c>
      <c r="I139" s="26">
        <f t="shared" si="4"/>
        <v>6167.7</v>
      </c>
    </row>
    <row r="140" spans="1:9" ht="18" customHeight="1" x14ac:dyDescent="0.35">
      <c r="A140" s="4">
        <v>9</v>
      </c>
      <c r="B140" s="4" t="s">
        <v>256</v>
      </c>
      <c r="C140" s="25" t="s">
        <v>257</v>
      </c>
      <c r="D140" s="4">
        <v>1.5</v>
      </c>
      <c r="E140" s="4"/>
      <c r="F140" s="292">
        <v>32</v>
      </c>
      <c r="G140" s="292"/>
      <c r="H140" s="4">
        <v>11330</v>
      </c>
      <c r="I140" s="26">
        <f t="shared" si="4"/>
        <v>7137.9</v>
      </c>
    </row>
    <row r="141" spans="1:9" ht="18" customHeight="1" x14ac:dyDescent="0.35">
      <c r="A141" s="4">
        <v>10</v>
      </c>
      <c r="B141" s="4" t="s">
        <v>258</v>
      </c>
      <c r="C141" s="25" t="s">
        <v>259</v>
      </c>
      <c r="D141" s="4">
        <v>1.5</v>
      </c>
      <c r="E141" s="4"/>
      <c r="F141" s="292">
        <v>32</v>
      </c>
      <c r="G141" s="292"/>
      <c r="H141" s="4">
        <v>11640</v>
      </c>
      <c r="I141" s="26">
        <f t="shared" si="4"/>
        <v>7333.2</v>
      </c>
    </row>
    <row r="142" spans="1:9" ht="18" customHeight="1" x14ac:dyDescent="0.35">
      <c r="A142" s="4">
        <v>11</v>
      </c>
      <c r="B142" s="4" t="s">
        <v>260</v>
      </c>
      <c r="C142" s="25" t="s">
        <v>261</v>
      </c>
      <c r="D142" s="4">
        <v>1.5</v>
      </c>
      <c r="E142" s="4"/>
      <c r="F142" s="292">
        <v>32</v>
      </c>
      <c r="G142" s="292"/>
      <c r="H142" s="4">
        <v>11800</v>
      </c>
      <c r="I142" s="26">
        <f t="shared" si="4"/>
        <v>7434</v>
      </c>
    </row>
    <row r="143" spans="1:9" ht="18" customHeight="1" x14ac:dyDescent="0.35">
      <c r="A143" s="4">
        <v>12</v>
      </c>
      <c r="B143" s="4" t="s">
        <v>262</v>
      </c>
      <c r="C143" s="25" t="s">
        <v>263</v>
      </c>
      <c r="D143" s="4">
        <v>1.5</v>
      </c>
      <c r="E143" s="4"/>
      <c r="F143" s="292">
        <v>32</v>
      </c>
      <c r="G143" s="292"/>
      <c r="H143" s="4">
        <v>12670</v>
      </c>
      <c r="I143" s="26">
        <f t="shared" si="4"/>
        <v>7982.1</v>
      </c>
    </row>
    <row r="144" spans="1:9" ht="18" customHeight="1" x14ac:dyDescent="0.35">
      <c r="A144" s="4">
        <v>13</v>
      </c>
      <c r="B144" s="4" t="s">
        <v>264</v>
      </c>
      <c r="C144" s="25" t="s">
        <v>265</v>
      </c>
      <c r="D144" s="4">
        <v>2</v>
      </c>
      <c r="E144" s="4"/>
      <c r="F144" s="292">
        <v>40</v>
      </c>
      <c r="G144" s="292"/>
      <c r="H144" s="4">
        <v>14730</v>
      </c>
      <c r="I144" s="26">
        <f t="shared" si="4"/>
        <v>9279.9</v>
      </c>
    </row>
    <row r="145" spans="1:9" ht="18" customHeight="1" x14ac:dyDescent="0.35">
      <c r="A145" s="4">
        <v>14</v>
      </c>
      <c r="B145" s="4" t="s">
        <v>266</v>
      </c>
      <c r="C145" s="25" t="s">
        <v>267</v>
      </c>
      <c r="D145" s="4">
        <v>2</v>
      </c>
      <c r="E145" s="4"/>
      <c r="F145" s="292">
        <v>32</v>
      </c>
      <c r="G145" s="292"/>
      <c r="H145" s="4">
        <v>15250</v>
      </c>
      <c r="I145" s="26">
        <f t="shared" si="4"/>
        <v>9607.5</v>
      </c>
    </row>
    <row r="146" spans="1:9" ht="18" customHeight="1" x14ac:dyDescent="0.35">
      <c r="A146" s="4">
        <v>15</v>
      </c>
      <c r="B146" s="4" t="s">
        <v>268</v>
      </c>
      <c r="C146" s="25" t="s">
        <v>269</v>
      </c>
      <c r="D146" s="4">
        <v>2</v>
      </c>
      <c r="E146" s="4"/>
      <c r="F146" s="292">
        <v>32</v>
      </c>
      <c r="G146" s="292"/>
      <c r="H146" s="4">
        <v>15860</v>
      </c>
      <c r="I146" s="26">
        <f t="shared" si="4"/>
        <v>9991.7999999999993</v>
      </c>
    </row>
    <row r="147" spans="1:9" ht="18" customHeight="1" x14ac:dyDescent="0.35">
      <c r="A147" s="4">
        <v>16</v>
      </c>
      <c r="B147" s="4" t="s">
        <v>270</v>
      </c>
      <c r="C147" s="25" t="s">
        <v>271</v>
      </c>
      <c r="D147" s="4">
        <v>2</v>
      </c>
      <c r="E147" s="4"/>
      <c r="F147" s="292">
        <v>32</v>
      </c>
      <c r="G147" s="292"/>
      <c r="H147" s="4">
        <v>15970</v>
      </c>
      <c r="I147" s="26">
        <f t="shared" si="4"/>
        <v>10061.1</v>
      </c>
    </row>
    <row r="148" spans="1:9" ht="18" customHeight="1" x14ac:dyDescent="0.35">
      <c r="A148" s="4">
        <v>17</v>
      </c>
      <c r="B148" s="4" t="s">
        <v>272</v>
      </c>
      <c r="C148" s="25" t="s">
        <v>273</v>
      </c>
      <c r="D148" s="4">
        <v>2</v>
      </c>
      <c r="E148" s="4"/>
      <c r="F148" s="292">
        <v>32</v>
      </c>
      <c r="G148" s="292"/>
      <c r="H148" s="4">
        <v>16480</v>
      </c>
      <c r="I148" s="26">
        <f t="shared" si="4"/>
        <v>10382.4</v>
      </c>
    </row>
    <row r="149" spans="1:9" ht="18" customHeight="1" x14ac:dyDescent="0.35">
      <c r="A149" s="4">
        <v>18</v>
      </c>
      <c r="B149" s="4" t="s">
        <v>274</v>
      </c>
      <c r="C149" s="25" t="s">
        <v>275</v>
      </c>
      <c r="D149" s="4">
        <v>2</v>
      </c>
      <c r="E149" s="4"/>
      <c r="F149" s="292">
        <v>65</v>
      </c>
      <c r="G149" s="292"/>
      <c r="H149" s="4">
        <v>14940</v>
      </c>
      <c r="I149" s="26">
        <f t="shared" si="4"/>
        <v>9412.2000000000007</v>
      </c>
    </row>
    <row r="150" spans="1:9" ht="18" customHeight="1" x14ac:dyDescent="0.35">
      <c r="A150" s="4">
        <v>19</v>
      </c>
      <c r="B150" s="4" t="s">
        <v>276</v>
      </c>
      <c r="C150" s="25" t="s">
        <v>277</v>
      </c>
      <c r="D150" s="4">
        <v>3</v>
      </c>
      <c r="E150" s="4"/>
      <c r="F150" s="292">
        <v>32</v>
      </c>
      <c r="G150" s="292"/>
      <c r="H150" s="4">
        <v>23500</v>
      </c>
      <c r="I150" s="26">
        <f t="shared" si="4"/>
        <v>14805</v>
      </c>
    </row>
    <row r="151" spans="1:9" ht="18" customHeight="1" x14ac:dyDescent="0.35">
      <c r="A151" s="4">
        <v>20</v>
      </c>
      <c r="B151" s="4" t="s">
        <v>278</v>
      </c>
      <c r="C151" s="25" t="s">
        <v>279</v>
      </c>
      <c r="D151" s="4">
        <v>3</v>
      </c>
      <c r="E151" s="4"/>
      <c r="F151" s="292">
        <v>32</v>
      </c>
      <c r="G151" s="292"/>
      <c r="H151" s="4">
        <v>24000</v>
      </c>
      <c r="I151" s="26">
        <f t="shared" si="4"/>
        <v>15120</v>
      </c>
    </row>
    <row r="152" spans="1:9" ht="18" customHeight="1" x14ac:dyDescent="0.35">
      <c r="A152" s="4">
        <v>21</v>
      </c>
      <c r="B152" s="4" t="s">
        <v>280</v>
      </c>
      <c r="C152" s="25" t="s">
        <v>281</v>
      </c>
      <c r="D152" s="4">
        <v>3</v>
      </c>
      <c r="E152" s="4"/>
      <c r="F152" s="292">
        <v>32</v>
      </c>
      <c r="G152" s="292"/>
      <c r="H152" s="4">
        <v>24500</v>
      </c>
      <c r="I152" s="26">
        <f t="shared" si="4"/>
        <v>15435</v>
      </c>
    </row>
    <row r="153" spans="1:9" ht="18" customHeight="1" x14ac:dyDescent="0.35">
      <c r="A153" s="4">
        <v>22</v>
      </c>
      <c r="B153" s="4" t="s">
        <v>282</v>
      </c>
      <c r="C153" s="25" t="s">
        <v>283</v>
      </c>
      <c r="D153" s="4">
        <v>3</v>
      </c>
      <c r="E153" s="4"/>
      <c r="F153" s="292">
        <v>65</v>
      </c>
      <c r="G153" s="292"/>
      <c r="H153" s="4">
        <v>23690</v>
      </c>
      <c r="I153" s="26">
        <f t="shared" si="4"/>
        <v>14924.7</v>
      </c>
    </row>
    <row r="154" spans="1:9" ht="18" customHeight="1" x14ac:dyDescent="0.35">
      <c r="A154" s="4">
        <v>23</v>
      </c>
      <c r="B154" s="4" t="s">
        <v>284</v>
      </c>
      <c r="C154" s="25" t="s">
        <v>283</v>
      </c>
      <c r="D154" s="4">
        <v>3</v>
      </c>
      <c r="E154" s="4"/>
      <c r="F154" s="292">
        <v>65</v>
      </c>
      <c r="G154" s="292"/>
      <c r="H154" s="4">
        <v>15450</v>
      </c>
      <c r="I154" s="26">
        <f t="shared" si="4"/>
        <v>9733.5</v>
      </c>
    </row>
    <row r="155" spans="1:9" ht="18" customHeight="1" x14ac:dyDescent="0.35">
      <c r="A155" s="300" t="s">
        <v>285</v>
      </c>
      <c r="B155" s="300"/>
      <c r="C155" s="300"/>
      <c r="D155" s="300"/>
      <c r="E155" s="300"/>
      <c r="F155" s="300"/>
      <c r="G155" s="300"/>
      <c r="H155" s="207" t="s">
        <v>109</v>
      </c>
      <c r="I155" s="315" t="s">
        <v>497</v>
      </c>
    </row>
    <row r="156" spans="1:9" ht="18" customHeight="1" x14ac:dyDescent="0.35">
      <c r="A156" s="287" t="s">
        <v>2</v>
      </c>
      <c r="B156" s="287" t="s">
        <v>3</v>
      </c>
      <c r="C156" s="298" t="s">
        <v>4</v>
      </c>
      <c r="D156" s="287" t="s">
        <v>5</v>
      </c>
      <c r="E156" s="287"/>
      <c r="F156" s="287" t="s">
        <v>6</v>
      </c>
      <c r="G156" s="287"/>
      <c r="H156" s="259"/>
      <c r="I156" s="315"/>
    </row>
    <row r="157" spans="1:9" ht="18" customHeight="1" x14ac:dyDescent="0.35">
      <c r="A157" s="287"/>
      <c r="B157" s="287"/>
      <c r="C157" s="298"/>
      <c r="D157" s="11" t="s">
        <v>9</v>
      </c>
      <c r="E157" s="11" t="s">
        <v>10</v>
      </c>
      <c r="F157" s="11" t="s">
        <v>11</v>
      </c>
      <c r="G157" s="11" t="s">
        <v>12</v>
      </c>
      <c r="H157" s="208"/>
      <c r="I157" s="315"/>
    </row>
    <row r="158" spans="1:9" ht="18" customHeight="1" x14ac:dyDescent="0.35">
      <c r="A158" s="4">
        <v>1</v>
      </c>
      <c r="B158" s="4" t="s">
        <v>286</v>
      </c>
      <c r="C158" s="25" t="s">
        <v>287</v>
      </c>
      <c r="D158" s="4">
        <v>0.5</v>
      </c>
      <c r="E158" s="4"/>
      <c r="F158" s="292">
        <v>32</v>
      </c>
      <c r="G158" s="292"/>
      <c r="H158" s="4">
        <v>6800</v>
      </c>
      <c r="I158" s="4">
        <f t="shared" ref="I158:I172" si="5">H158*0.63</f>
        <v>4284</v>
      </c>
    </row>
    <row r="159" spans="1:9" ht="18" customHeight="1" x14ac:dyDescent="0.35">
      <c r="A159" s="4">
        <v>2</v>
      </c>
      <c r="B159" s="4" t="s">
        <v>288</v>
      </c>
      <c r="C159" s="25" t="s">
        <v>289</v>
      </c>
      <c r="D159" s="4">
        <v>0.5</v>
      </c>
      <c r="E159" s="4"/>
      <c r="F159" s="292">
        <v>32</v>
      </c>
      <c r="G159" s="292"/>
      <c r="H159" s="4">
        <v>7600</v>
      </c>
      <c r="I159" s="4">
        <f t="shared" si="5"/>
        <v>4788</v>
      </c>
    </row>
    <row r="160" spans="1:9" ht="18" customHeight="1" x14ac:dyDescent="0.35">
      <c r="A160" s="4">
        <v>3</v>
      </c>
      <c r="B160" s="4" t="s">
        <v>290</v>
      </c>
      <c r="C160" s="25" t="s">
        <v>291</v>
      </c>
      <c r="D160" s="4">
        <v>0.75</v>
      </c>
      <c r="E160" s="4"/>
      <c r="F160" s="292">
        <v>32</v>
      </c>
      <c r="G160" s="292"/>
      <c r="H160" s="4">
        <v>7800</v>
      </c>
      <c r="I160" s="4">
        <f t="shared" si="5"/>
        <v>4914</v>
      </c>
    </row>
    <row r="161" spans="1:9" ht="18" customHeight="1" x14ac:dyDescent="0.35">
      <c r="A161" s="4">
        <v>4</v>
      </c>
      <c r="B161" s="4" t="s">
        <v>292</v>
      </c>
      <c r="C161" s="25" t="s">
        <v>293</v>
      </c>
      <c r="D161" s="4">
        <v>0.75</v>
      </c>
      <c r="E161" s="4"/>
      <c r="F161" s="292">
        <v>32</v>
      </c>
      <c r="G161" s="292"/>
      <c r="H161" s="4">
        <v>8000</v>
      </c>
      <c r="I161" s="4">
        <f t="shared" si="5"/>
        <v>5040</v>
      </c>
    </row>
    <row r="162" spans="1:9" ht="18" customHeight="1" x14ac:dyDescent="0.35">
      <c r="A162" s="4">
        <v>5</v>
      </c>
      <c r="B162" s="4" t="s">
        <v>294</v>
      </c>
      <c r="C162" s="25" t="s">
        <v>295</v>
      </c>
      <c r="D162" s="4">
        <v>1</v>
      </c>
      <c r="E162" s="4"/>
      <c r="F162" s="292">
        <v>32</v>
      </c>
      <c r="G162" s="292"/>
      <c r="H162" s="4">
        <v>8200</v>
      </c>
      <c r="I162" s="4">
        <f t="shared" si="5"/>
        <v>5166</v>
      </c>
    </row>
    <row r="163" spans="1:9" ht="18" customHeight="1" x14ac:dyDescent="0.35">
      <c r="A163" s="4">
        <v>6</v>
      </c>
      <c r="B163" s="4" t="s">
        <v>296</v>
      </c>
      <c r="C163" s="25" t="s">
        <v>297</v>
      </c>
      <c r="D163" s="4">
        <v>1</v>
      </c>
      <c r="E163" s="4"/>
      <c r="F163" s="292">
        <v>32</v>
      </c>
      <c r="G163" s="292"/>
      <c r="H163" s="4">
        <v>8400</v>
      </c>
      <c r="I163" s="4">
        <f t="shared" si="5"/>
        <v>5292</v>
      </c>
    </row>
    <row r="164" spans="1:9" ht="18" customHeight="1" x14ac:dyDescent="0.35">
      <c r="A164" s="4">
        <v>7</v>
      </c>
      <c r="B164" s="4" t="s">
        <v>298</v>
      </c>
      <c r="C164" s="25" t="s">
        <v>299</v>
      </c>
      <c r="D164" s="4">
        <v>1</v>
      </c>
      <c r="E164" s="4"/>
      <c r="F164" s="292">
        <v>32</v>
      </c>
      <c r="G164" s="292"/>
      <c r="H164" s="4">
        <v>8600</v>
      </c>
      <c r="I164" s="4">
        <f t="shared" si="5"/>
        <v>5418</v>
      </c>
    </row>
    <row r="165" spans="1:9" ht="18" customHeight="1" x14ac:dyDescent="0.35">
      <c r="A165" s="4">
        <v>8</v>
      </c>
      <c r="B165" s="4" t="s">
        <v>300</v>
      </c>
      <c r="C165" s="25" t="s">
        <v>301</v>
      </c>
      <c r="D165" s="4">
        <v>1.5</v>
      </c>
      <c r="E165" s="4"/>
      <c r="F165" s="292">
        <v>32</v>
      </c>
      <c r="G165" s="292"/>
      <c r="H165" s="4">
        <v>9000</v>
      </c>
      <c r="I165" s="4">
        <f t="shared" si="5"/>
        <v>5670</v>
      </c>
    </row>
    <row r="166" spans="1:9" ht="18" customHeight="1" x14ac:dyDescent="0.35">
      <c r="A166" s="4">
        <v>9</v>
      </c>
      <c r="B166" s="4" t="s">
        <v>302</v>
      </c>
      <c r="C166" s="25" t="s">
        <v>303</v>
      </c>
      <c r="D166" s="4">
        <v>1.5</v>
      </c>
      <c r="E166" s="4"/>
      <c r="F166" s="292">
        <v>32</v>
      </c>
      <c r="G166" s="292"/>
      <c r="H166" s="4">
        <v>10600</v>
      </c>
      <c r="I166" s="4">
        <f t="shared" si="5"/>
        <v>6678</v>
      </c>
    </row>
    <row r="167" spans="1:9" ht="18" customHeight="1" x14ac:dyDescent="0.35">
      <c r="A167" s="4">
        <v>10</v>
      </c>
      <c r="B167" s="4" t="s">
        <v>304</v>
      </c>
      <c r="C167" s="25" t="s">
        <v>305</v>
      </c>
      <c r="D167" s="4">
        <v>1.5</v>
      </c>
      <c r="E167" s="4"/>
      <c r="F167" s="292">
        <v>32</v>
      </c>
      <c r="G167" s="292"/>
      <c r="H167" s="4">
        <v>11000</v>
      </c>
      <c r="I167" s="4">
        <f t="shared" si="5"/>
        <v>6930</v>
      </c>
    </row>
    <row r="168" spans="1:9" ht="18" customHeight="1" x14ac:dyDescent="0.35">
      <c r="A168" s="4">
        <v>11</v>
      </c>
      <c r="B168" s="4" t="s">
        <v>306</v>
      </c>
      <c r="C168" s="25" t="s">
        <v>307</v>
      </c>
      <c r="D168" s="4">
        <v>2</v>
      </c>
      <c r="E168" s="4"/>
      <c r="F168" s="292">
        <v>32</v>
      </c>
      <c r="G168" s="292"/>
      <c r="H168" s="4">
        <v>13000</v>
      </c>
      <c r="I168" s="4">
        <f t="shared" si="5"/>
        <v>8190</v>
      </c>
    </row>
    <row r="169" spans="1:9" ht="18" customHeight="1" x14ac:dyDescent="0.35">
      <c r="A169" s="4">
        <v>12</v>
      </c>
      <c r="B169" s="4" t="s">
        <v>308</v>
      </c>
      <c r="C169" s="25" t="s">
        <v>309</v>
      </c>
      <c r="D169" s="4">
        <v>2</v>
      </c>
      <c r="E169" s="4"/>
      <c r="F169" s="292">
        <v>32</v>
      </c>
      <c r="G169" s="292"/>
      <c r="H169" s="4">
        <v>15500</v>
      </c>
      <c r="I169" s="4">
        <f t="shared" si="5"/>
        <v>9765</v>
      </c>
    </row>
    <row r="170" spans="1:9" ht="18" customHeight="1" x14ac:dyDescent="0.35">
      <c r="A170" s="4">
        <v>13</v>
      </c>
      <c r="B170" s="4" t="s">
        <v>310</v>
      </c>
      <c r="C170" s="25" t="s">
        <v>311</v>
      </c>
      <c r="D170" s="4">
        <v>3</v>
      </c>
      <c r="E170" s="4"/>
      <c r="F170" s="292">
        <v>32</v>
      </c>
      <c r="G170" s="292"/>
      <c r="H170" s="4">
        <v>19000</v>
      </c>
      <c r="I170" s="4">
        <f t="shared" si="5"/>
        <v>11970</v>
      </c>
    </row>
    <row r="171" spans="1:9" ht="18" customHeight="1" x14ac:dyDescent="0.35">
      <c r="A171" s="4">
        <v>14</v>
      </c>
      <c r="B171" s="4" t="s">
        <v>312</v>
      </c>
      <c r="C171" s="25" t="s">
        <v>313</v>
      </c>
      <c r="D171" s="4">
        <v>3</v>
      </c>
      <c r="E171" s="4"/>
      <c r="F171" s="292">
        <v>32</v>
      </c>
      <c r="G171" s="292"/>
      <c r="H171" s="4">
        <v>20000</v>
      </c>
      <c r="I171" s="4">
        <f t="shared" si="5"/>
        <v>12600</v>
      </c>
    </row>
    <row r="172" spans="1:9" ht="18" customHeight="1" x14ac:dyDescent="0.35">
      <c r="A172" s="4">
        <v>15</v>
      </c>
      <c r="B172" s="4" t="s">
        <v>314</v>
      </c>
      <c r="C172" s="25" t="s">
        <v>315</v>
      </c>
      <c r="D172" s="4">
        <v>3</v>
      </c>
      <c r="E172" s="4"/>
      <c r="F172" s="292">
        <v>32</v>
      </c>
      <c r="G172" s="292"/>
      <c r="H172" s="4">
        <v>20500</v>
      </c>
      <c r="I172" s="4">
        <f t="shared" si="5"/>
        <v>12915</v>
      </c>
    </row>
  </sheetData>
  <mergeCells count="95">
    <mergeCell ref="A1:I3"/>
    <mergeCell ref="A4:I4"/>
    <mergeCell ref="A5:A6"/>
    <mergeCell ref="B5:B6"/>
    <mergeCell ref="C5:C6"/>
    <mergeCell ref="D5:E5"/>
    <mergeCell ref="F5:G5"/>
    <mergeCell ref="H5:H6"/>
    <mergeCell ref="I5:I6"/>
    <mergeCell ref="A55:G55"/>
    <mergeCell ref="H55:H57"/>
    <mergeCell ref="I55:I57"/>
    <mergeCell ref="A56:A57"/>
    <mergeCell ref="B56:B57"/>
    <mergeCell ref="C56:C57"/>
    <mergeCell ref="D56:E56"/>
    <mergeCell ref="F56:G56"/>
    <mergeCell ref="D58:D59"/>
    <mergeCell ref="E58:E59"/>
    <mergeCell ref="D61:D66"/>
    <mergeCell ref="E61:E66"/>
    <mergeCell ref="D67:D73"/>
    <mergeCell ref="E67:E73"/>
    <mergeCell ref="D74:D91"/>
    <mergeCell ref="E74:E91"/>
    <mergeCell ref="D92:D103"/>
    <mergeCell ref="E92:E103"/>
    <mergeCell ref="D104:D106"/>
    <mergeCell ref="E104:E106"/>
    <mergeCell ref="D108:D109"/>
    <mergeCell ref="E108:E109"/>
    <mergeCell ref="D110:D113"/>
    <mergeCell ref="E110:E113"/>
    <mergeCell ref="A114:G114"/>
    <mergeCell ref="I114:I116"/>
    <mergeCell ref="A115:A116"/>
    <mergeCell ref="B115:B116"/>
    <mergeCell ref="C115:C116"/>
    <mergeCell ref="D115:E115"/>
    <mergeCell ref="F115:G115"/>
    <mergeCell ref="H114:H116"/>
    <mergeCell ref="F137:G137"/>
    <mergeCell ref="A129:G129"/>
    <mergeCell ref="H129:H131"/>
    <mergeCell ref="I129:I131"/>
    <mergeCell ref="A130:A131"/>
    <mergeCell ref="B130:B131"/>
    <mergeCell ref="C130:C131"/>
    <mergeCell ref="D130:E130"/>
    <mergeCell ref="F130:G131"/>
    <mergeCell ref="F132:G132"/>
    <mergeCell ref="F133:G133"/>
    <mergeCell ref="F134:G134"/>
    <mergeCell ref="F135:G135"/>
    <mergeCell ref="F136:G136"/>
    <mergeCell ref="F149:G149"/>
    <mergeCell ref="F138:G138"/>
    <mergeCell ref="F139:G139"/>
    <mergeCell ref="F140:G140"/>
    <mergeCell ref="F141:G141"/>
    <mergeCell ref="F142:G142"/>
    <mergeCell ref="F143:G143"/>
    <mergeCell ref="F144:G144"/>
    <mergeCell ref="F145:G145"/>
    <mergeCell ref="F146:G146"/>
    <mergeCell ref="F147:G147"/>
    <mergeCell ref="F148:G148"/>
    <mergeCell ref="F150:G150"/>
    <mergeCell ref="F151:G151"/>
    <mergeCell ref="F152:G152"/>
    <mergeCell ref="F153:G153"/>
    <mergeCell ref="F154:G154"/>
    <mergeCell ref="F163:G163"/>
    <mergeCell ref="H155:H157"/>
    <mergeCell ref="I155:I157"/>
    <mergeCell ref="A156:A157"/>
    <mergeCell ref="B156:B157"/>
    <mergeCell ref="C156:C157"/>
    <mergeCell ref="D156:E156"/>
    <mergeCell ref="F156:G156"/>
    <mergeCell ref="A155:G155"/>
    <mergeCell ref="F158:G158"/>
    <mergeCell ref="F159:G159"/>
    <mergeCell ref="F160:G160"/>
    <mergeCell ref="F161:G161"/>
    <mergeCell ref="F162:G162"/>
    <mergeCell ref="F170:G170"/>
    <mergeCell ref="F171:G171"/>
    <mergeCell ref="F172:G172"/>
    <mergeCell ref="F164:G164"/>
    <mergeCell ref="F165:G165"/>
    <mergeCell ref="F166:G166"/>
    <mergeCell ref="F167:G167"/>
    <mergeCell ref="F168:G168"/>
    <mergeCell ref="F169:G169"/>
  </mergeCells>
  <conditionalFormatting sqref="B1:B172">
    <cfRule type="duplicateValues" dxfId="38" priority="1"/>
    <cfRule type="duplicateValues" dxfId="37" priority="2"/>
  </conditionalFormatting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173"/>
  <sheetViews>
    <sheetView topLeftCell="A109" workbookViewId="0">
      <selection activeCell="K123" sqref="K123"/>
    </sheetView>
  </sheetViews>
  <sheetFormatPr defaultRowHeight="19.5" customHeight="1" x14ac:dyDescent="0.35"/>
  <cols>
    <col min="2" max="2" width="12.1796875" customWidth="1"/>
    <col min="3" max="3" width="18.453125" customWidth="1"/>
    <col min="4" max="8" width="9.1796875" customWidth="1"/>
  </cols>
  <sheetData>
    <row r="1" spans="1:9" ht="19.5" customHeight="1" x14ac:dyDescent="0.35">
      <c r="A1" s="203" t="s">
        <v>0</v>
      </c>
      <c r="B1" s="204"/>
      <c r="C1" s="204"/>
      <c r="D1" s="204"/>
      <c r="E1" s="204"/>
      <c r="F1" s="204"/>
      <c r="G1" s="204"/>
      <c r="H1" s="204"/>
      <c r="I1" s="204"/>
    </row>
    <row r="2" spans="1:9" ht="19.5" customHeight="1" x14ac:dyDescent="0.35">
      <c r="A2" s="203"/>
      <c r="B2" s="204"/>
      <c r="C2" s="204"/>
      <c r="D2" s="204"/>
      <c r="E2" s="204"/>
      <c r="F2" s="204"/>
      <c r="G2" s="204"/>
      <c r="H2" s="204"/>
      <c r="I2" s="204"/>
    </row>
    <row r="3" spans="1:9" ht="19.5" customHeight="1" x14ac:dyDescent="0.35">
      <c r="A3" s="203"/>
      <c r="B3" s="204"/>
      <c r="C3" s="204"/>
      <c r="D3" s="204"/>
      <c r="E3" s="204"/>
      <c r="F3" s="204"/>
      <c r="G3" s="204"/>
      <c r="H3" s="204"/>
      <c r="I3" s="204"/>
    </row>
    <row r="4" spans="1:9" ht="24.75" customHeight="1" x14ac:dyDescent="0.35">
      <c r="A4" s="205" t="s">
        <v>501</v>
      </c>
      <c r="B4" s="206"/>
      <c r="C4" s="206"/>
      <c r="D4" s="206"/>
      <c r="E4" s="206"/>
      <c r="F4" s="206"/>
      <c r="G4" s="206"/>
      <c r="H4" s="206"/>
      <c r="I4" s="206"/>
    </row>
    <row r="5" spans="1:9" ht="19.5" customHeight="1" x14ac:dyDescent="0.35">
      <c r="A5" s="287" t="s">
        <v>2</v>
      </c>
      <c r="B5" s="287" t="s">
        <v>3</v>
      </c>
      <c r="C5" s="287" t="s">
        <v>4</v>
      </c>
      <c r="D5" s="287" t="s">
        <v>5</v>
      </c>
      <c r="E5" s="287"/>
      <c r="F5" s="287" t="s">
        <v>6</v>
      </c>
      <c r="G5" s="287"/>
      <c r="H5" s="305" t="s">
        <v>7</v>
      </c>
      <c r="I5" s="316" t="s">
        <v>502</v>
      </c>
    </row>
    <row r="6" spans="1:9" ht="19.5" customHeight="1" x14ac:dyDescent="0.35">
      <c r="A6" s="287"/>
      <c r="B6" s="287"/>
      <c r="C6" s="287"/>
      <c r="D6" s="11" t="s">
        <v>9</v>
      </c>
      <c r="E6" s="11" t="s">
        <v>10</v>
      </c>
      <c r="F6" s="11" t="s">
        <v>11</v>
      </c>
      <c r="G6" s="11" t="s">
        <v>12</v>
      </c>
      <c r="H6" s="305"/>
      <c r="I6" s="293"/>
    </row>
    <row r="7" spans="1:9" ht="19.5" customHeight="1" x14ac:dyDescent="0.35">
      <c r="A7" s="6">
        <v>1</v>
      </c>
      <c r="B7" s="4" t="s">
        <v>13</v>
      </c>
      <c r="C7" s="12" t="s">
        <v>14</v>
      </c>
      <c r="D7" s="2">
        <v>0.5</v>
      </c>
      <c r="E7" s="2">
        <v>0.37</v>
      </c>
      <c r="F7" s="2">
        <v>25</v>
      </c>
      <c r="G7" s="2">
        <v>25</v>
      </c>
      <c r="H7" s="13">
        <v>2640</v>
      </c>
      <c r="I7" s="26">
        <f>H7*0.63</f>
        <v>1663.2</v>
      </c>
    </row>
    <row r="8" spans="1:9" ht="19.5" customHeight="1" x14ac:dyDescent="0.35">
      <c r="A8" s="6">
        <v>2</v>
      </c>
      <c r="B8" s="4" t="s">
        <v>15</v>
      </c>
      <c r="C8" s="12" t="s">
        <v>16</v>
      </c>
      <c r="D8" s="2">
        <v>1</v>
      </c>
      <c r="E8" s="2">
        <v>0.75</v>
      </c>
      <c r="F8" s="2">
        <v>25</v>
      </c>
      <c r="G8" s="2">
        <v>25</v>
      </c>
      <c r="H8" s="13">
        <v>3420</v>
      </c>
      <c r="I8" s="26">
        <f>H8*0.63</f>
        <v>2154.6</v>
      </c>
    </row>
    <row r="9" spans="1:9" ht="19.5" customHeight="1" x14ac:dyDescent="0.35">
      <c r="A9" s="4">
        <v>3</v>
      </c>
      <c r="B9" s="4" t="s">
        <v>17</v>
      </c>
      <c r="C9" s="12" t="s">
        <v>18</v>
      </c>
      <c r="D9" s="2">
        <v>0.5</v>
      </c>
      <c r="E9" s="2">
        <v>0.37</v>
      </c>
      <c r="F9" s="2">
        <v>25</v>
      </c>
      <c r="G9" s="2">
        <v>25</v>
      </c>
      <c r="H9" s="13">
        <v>2840</v>
      </c>
      <c r="I9" s="26">
        <f>H9*0.63</f>
        <v>1789.2</v>
      </c>
    </row>
    <row r="10" spans="1:9" ht="19.5" customHeight="1" x14ac:dyDescent="0.35">
      <c r="A10" s="6">
        <v>4</v>
      </c>
      <c r="B10" s="4" t="s">
        <v>19</v>
      </c>
      <c r="C10" s="12" t="s">
        <v>20</v>
      </c>
      <c r="D10" s="2">
        <v>1</v>
      </c>
      <c r="E10" s="2">
        <v>0.75</v>
      </c>
      <c r="F10" s="2">
        <v>25</v>
      </c>
      <c r="G10" s="2">
        <v>25</v>
      </c>
      <c r="H10" s="13">
        <v>3660</v>
      </c>
      <c r="I10" s="26">
        <f>H10*0.63</f>
        <v>2305.8000000000002</v>
      </c>
    </row>
    <row r="11" spans="1:9" ht="19.5" customHeight="1" x14ac:dyDescent="0.35">
      <c r="A11" s="6">
        <v>5</v>
      </c>
      <c r="B11" s="6" t="s">
        <v>21</v>
      </c>
      <c r="C11" s="14" t="s">
        <v>22</v>
      </c>
      <c r="D11" s="2">
        <v>0.5</v>
      </c>
      <c r="E11" s="2">
        <v>0.37</v>
      </c>
      <c r="F11" s="2">
        <v>25</v>
      </c>
      <c r="G11" s="2">
        <v>25</v>
      </c>
      <c r="H11" s="8">
        <v>3160</v>
      </c>
      <c r="I11" s="26">
        <f>H11*0.6</f>
        <v>1896</v>
      </c>
    </row>
    <row r="12" spans="1:9" ht="19.5" customHeight="1" x14ac:dyDescent="0.35">
      <c r="A12" s="6">
        <v>6</v>
      </c>
      <c r="B12" s="6" t="s">
        <v>23</v>
      </c>
      <c r="C12" s="14" t="s">
        <v>24</v>
      </c>
      <c r="D12" s="2">
        <v>1</v>
      </c>
      <c r="E12" s="2">
        <v>0.75</v>
      </c>
      <c r="F12" s="2">
        <v>25</v>
      </c>
      <c r="G12" s="2">
        <v>25</v>
      </c>
      <c r="H12" s="8">
        <v>4120</v>
      </c>
      <c r="I12" s="26">
        <f t="shared" ref="I12:I25" si="0">H12*0.6</f>
        <v>2472</v>
      </c>
    </row>
    <row r="13" spans="1:9" ht="19.5" customHeight="1" x14ac:dyDescent="0.35">
      <c r="A13" s="4">
        <v>7</v>
      </c>
      <c r="B13" s="4" t="s">
        <v>25</v>
      </c>
      <c r="C13" s="12" t="s">
        <v>26</v>
      </c>
      <c r="D13" s="2">
        <v>1.5</v>
      </c>
      <c r="E13" s="2">
        <v>1</v>
      </c>
      <c r="F13" s="2">
        <v>25</v>
      </c>
      <c r="G13" s="2">
        <v>25</v>
      </c>
      <c r="H13" s="8">
        <v>5750</v>
      </c>
      <c r="I13" s="26">
        <f t="shared" si="0"/>
        <v>3450</v>
      </c>
    </row>
    <row r="14" spans="1:9" ht="19.5" customHeight="1" x14ac:dyDescent="0.35">
      <c r="A14" s="6">
        <v>8</v>
      </c>
      <c r="B14" s="6" t="s">
        <v>27</v>
      </c>
      <c r="C14" s="14" t="s">
        <v>28</v>
      </c>
      <c r="D14" s="2">
        <v>0.5</v>
      </c>
      <c r="E14" s="2">
        <v>0.37</v>
      </c>
      <c r="F14" s="2">
        <v>25</v>
      </c>
      <c r="G14" s="2">
        <v>25</v>
      </c>
      <c r="H14" s="8">
        <v>3520</v>
      </c>
      <c r="I14" s="26">
        <f t="shared" si="0"/>
        <v>2112</v>
      </c>
    </row>
    <row r="15" spans="1:9" ht="19.5" customHeight="1" x14ac:dyDescent="0.35">
      <c r="A15" s="6">
        <v>9</v>
      </c>
      <c r="B15" s="4" t="s">
        <v>29</v>
      </c>
      <c r="C15" s="15" t="s">
        <v>30</v>
      </c>
      <c r="D15" s="2">
        <v>1</v>
      </c>
      <c r="E15" s="2">
        <v>0.75</v>
      </c>
      <c r="F15" s="2">
        <v>25</v>
      </c>
      <c r="G15" s="2">
        <v>25</v>
      </c>
      <c r="H15" s="8">
        <v>3660</v>
      </c>
      <c r="I15" s="26">
        <f t="shared" si="0"/>
        <v>2196</v>
      </c>
    </row>
    <row r="16" spans="1:9" ht="19.5" customHeight="1" x14ac:dyDescent="0.35">
      <c r="A16" s="6">
        <v>10</v>
      </c>
      <c r="B16" s="4" t="s">
        <v>31</v>
      </c>
      <c r="C16" s="12" t="s">
        <v>32</v>
      </c>
      <c r="D16" s="2">
        <v>1</v>
      </c>
      <c r="E16" s="2">
        <v>0.75</v>
      </c>
      <c r="F16" s="2">
        <v>25</v>
      </c>
      <c r="G16" s="2">
        <v>25</v>
      </c>
      <c r="H16" s="8">
        <v>4220</v>
      </c>
      <c r="I16" s="26">
        <f t="shared" si="0"/>
        <v>2532</v>
      </c>
    </row>
    <row r="17" spans="1:9" ht="19.5" customHeight="1" x14ac:dyDescent="0.35">
      <c r="A17" s="4">
        <v>11</v>
      </c>
      <c r="B17" s="6" t="s">
        <v>33</v>
      </c>
      <c r="C17" s="14" t="s">
        <v>34</v>
      </c>
      <c r="D17" s="2">
        <v>0.75</v>
      </c>
      <c r="E17" s="2">
        <v>0.56000000000000005</v>
      </c>
      <c r="F17" s="2">
        <v>25</v>
      </c>
      <c r="G17" s="2">
        <v>25</v>
      </c>
      <c r="H17" s="8">
        <v>4080</v>
      </c>
      <c r="I17" s="26">
        <f t="shared" si="0"/>
        <v>2448</v>
      </c>
    </row>
    <row r="18" spans="1:9" ht="19.5" customHeight="1" x14ac:dyDescent="0.35">
      <c r="A18" s="6">
        <v>12</v>
      </c>
      <c r="B18" s="4" t="s">
        <v>35</v>
      </c>
      <c r="C18" s="16" t="s">
        <v>36</v>
      </c>
      <c r="D18" s="2">
        <v>1</v>
      </c>
      <c r="E18" s="2">
        <v>0.75</v>
      </c>
      <c r="F18" s="2">
        <v>25</v>
      </c>
      <c r="G18" s="2">
        <v>25</v>
      </c>
      <c r="H18" s="8">
        <v>4730</v>
      </c>
      <c r="I18" s="26">
        <f t="shared" si="0"/>
        <v>2838</v>
      </c>
    </row>
    <row r="19" spans="1:9" ht="19.5" customHeight="1" x14ac:dyDescent="0.35">
      <c r="A19" s="6">
        <v>13</v>
      </c>
      <c r="B19" s="4" t="s">
        <v>37</v>
      </c>
      <c r="C19" s="16" t="s">
        <v>38</v>
      </c>
      <c r="D19" s="2">
        <v>1</v>
      </c>
      <c r="E19" s="2">
        <v>0.75</v>
      </c>
      <c r="F19" s="2">
        <v>25</v>
      </c>
      <c r="G19" s="2">
        <v>25</v>
      </c>
      <c r="H19" s="8">
        <v>4730</v>
      </c>
      <c r="I19" s="26">
        <f t="shared" si="0"/>
        <v>2838</v>
      </c>
    </row>
    <row r="20" spans="1:9" ht="19.5" customHeight="1" x14ac:dyDescent="0.35">
      <c r="A20" s="6">
        <v>14</v>
      </c>
      <c r="B20" s="6" t="s">
        <v>39</v>
      </c>
      <c r="C20" s="14" t="s">
        <v>40</v>
      </c>
      <c r="D20" s="2">
        <v>1</v>
      </c>
      <c r="E20" s="2">
        <v>0.75</v>
      </c>
      <c r="F20" s="2">
        <v>25</v>
      </c>
      <c r="G20" s="2">
        <v>25</v>
      </c>
      <c r="H20" s="8">
        <v>5170</v>
      </c>
      <c r="I20" s="26">
        <f t="shared" si="0"/>
        <v>3102</v>
      </c>
    </row>
    <row r="21" spans="1:9" ht="19.5" customHeight="1" x14ac:dyDescent="0.35">
      <c r="A21" s="4">
        <v>15</v>
      </c>
      <c r="B21" s="6" t="s">
        <v>41</v>
      </c>
      <c r="C21" s="14" t="s">
        <v>42</v>
      </c>
      <c r="D21" s="2">
        <v>1</v>
      </c>
      <c r="E21" s="2">
        <v>0.75</v>
      </c>
      <c r="F21" s="2">
        <v>25</v>
      </c>
      <c r="G21" s="2">
        <v>25</v>
      </c>
      <c r="H21" s="8">
        <v>4670</v>
      </c>
      <c r="I21" s="26">
        <f t="shared" si="0"/>
        <v>2802</v>
      </c>
    </row>
    <row r="22" spans="1:9" ht="19.5" customHeight="1" x14ac:dyDescent="0.35">
      <c r="A22" s="6">
        <v>16</v>
      </c>
      <c r="B22" s="4" t="s">
        <v>43</v>
      </c>
      <c r="C22" s="12" t="s">
        <v>44</v>
      </c>
      <c r="D22" s="2">
        <v>1.2</v>
      </c>
      <c r="E22" s="2">
        <v>0.9</v>
      </c>
      <c r="F22" s="2">
        <v>25</v>
      </c>
      <c r="G22" s="2">
        <v>25</v>
      </c>
      <c r="H22" s="8">
        <v>6650</v>
      </c>
      <c r="I22" s="26">
        <f t="shared" si="0"/>
        <v>3990</v>
      </c>
    </row>
    <row r="23" spans="1:9" ht="19.5" customHeight="1" x14ac:dyDescent="0.35">
      <c r="A23" s="6">
        <v>17</v>
      </c>
      <c r="B23" s="6" t="s">
        <v>45</v>
      </c>
      <c r="C23" s="14" t="s">
        <v>46</v>
      </c>
      <c r="D23" s="2">
        <v>1.5</v>
      </c>
      <c r="E23" s="2">
        <v>1.1000000000000001</v>
      </c>
      <c r="F23" s="2">
        <v>25</v>
      </c>
      <c r="G23" s="2">
        <v>25</v>
      </c>
      <c r="H23" s="8">
        <v>8150</v>
      </c>
      <c r="I23" s="26">
        <f t="shared" si="0"/>
        <v>4890</v>
      </c>
    </row>
    <row r="24" spans="1:9" ht="19.5" customHeight="1" x14ac:dyDescent="0.35">
      <c r="A24" s="6">
        <v>18</v>
      </c>
      <c r="B24" s="6" t="s">
        <v>47</v>
      </c>
      <c r="C24" s="14" t="s">
        <v>48</v>
      </c>
      <c r="D24" s="2">
        <v>2</v>
      </c>
      <c r="E24" s="2">
        <v>1.5</v>
      </c>
      <c r="F24" s="2">
        <v>25</v>
      </c>
      <c r="G24" s="2">
        <v>25</v>
      </c>
      <c r="H24" s="8">
        <v>9190</v>
      </c>
      <c r="I24" s="26">
        <f t="shared" si="0"/>
        <v>5514</v>
      </c>
    </row>
    <row r="25" spans="1:9" ht="19.5" customHeight="1" x14ac:dyDescent="0.35">
      <c r="A25" s="4">
        <v>19</v>
      </c>
      <c r="B25" s="6" t="s">
        <v>49</v>
      </c>
      <c r="C25" s="14" t="s">
        <v>50</v>
      </c>
      <c r="D25" s="2">
        <v>0.5</v>
      </c>
      <c r="E25" s="2">
        <v>0.37</v>
      </c>
      <c r="F25" s="2">
        <v>25</v>
      </c>
      <c r="G25" s="2">
        <v>25</v>
      </c>
      <c r="H25" s="8">
        <v>3310</v>
      </c>
      <c r="I25" s="26">
        <f t="shared" si="0"/>
        <v>1986</v>
      </c>
    </row>
    <row r="26" spans="1:9" ht="19.5" customHeight="1" x14ac:dyDescent="0.35">
      <c r="A26" s="6">
        <v>20</v>
      </c>
      <c r="B26" s="4" t="s">
        <v>51</v>
      </c>
      <c r="C26" s="12" t="s">
        <v>52</v>
      </c>
      <c r="D26" s="2">
        <v>0.5</v>
      </c>
      <c r="E26" s="2">
        <v>0.37</v>
      </c>
      <c r="F26" s="2">
        <v>25</v>
      </c>
      <c r="G26" s="2">
        <v>25</v>
      </c>
      <c r="H26" s="10">
        <v>4380</v>
      </c>
      <c r="I26" s="26">
        <f>H26*0.63</f>
        <v>2759.4</v>
      </c>
    </row>
    <row r="27" spans="1:9" ht="19.5" customHeight="1" x14ac:dyDescent="0.35">
      <c r="A27" s="6">
        <v>21</v>
      </c>
      <c r="B27" s="4" t="s">
        <v>53</v>
      </c>
      <c r="C27" s="12" t="s">
        <v>54</v>
      </c>
      <c r="D27" s="2">
        <v>1</v>
      </c>
      <c r="E27" s="2">
        <v>0.75</v>
      </c>
      <c r="F27" s="2">
        <v>25</v>
      </c>
      <c r="G27" s="2">
        <v>25</v>
      </c>
      <c r="H27" s="10">
        <v>5300</v>
      </c>
      <c r="I27" s="26">
        <f>H27*0.63</f>
        <v>3339</v>
      </c>
    </row>
    <row r="28" spans="1:9" ht="19.5" customHeight="1" x14ac:dyDescent="0.35">
      <c r="A28" s="6">
        <v>22</v>
      </c>
      <c r="B28" s="6" t="s">
        <v>55</v>
      </c>
      <c r="C28" s="14" t="s">
        <v>56</v>
      </c>
      <c r="D28" s="2">
        <v>1.1000000000000001</v>
      </c>
      <c r="E28" s="2">
        <v>0.8</v>
      </c>
      <c r="F28" s="2">
        <v>25</v>
      </c>
      <c r="G28" s="2">
        <v>25</v>
      </c>
      <c r="H28" s="8">
        <v>5040</v>
      </c>
      <c r="I28" s="26">
        <f>H28*0.6</f>
        <v>3024</v>
      </c>
    </row>
    <row r="29" spans="1:9" ht="19.5" customHeight="1" x14ac:dyDescent="0.35">
      <c r="A29" s="4">
        <v>23</v>
      </c>
      <c r="B29" s="6" t="s">
        <v>57</v>
      </c>
      <c r="C29" s="14" t="s">
        <v>58</v>
      </c>
      <c r="D29" s="2">
        <v>1.1000000000000001</v>
      </c>
      <c r="E29" s="2">
        <v>0.8</v>
      </c>
      <c r="F29" s="2">
        <v>25</v>
      </c>
      <c r="G29" s="2">
        <v>25</v>
      </c>
      <c r="H29" s="8">
        <v>5150</v>
      </c>
      <c r="I29" s="26">
        <f>H29*0.6</f>
        <v>3090</v>
      </c>
    </row>
    <row r="30" spans="1:9" ht="19.5" customHeight="1" x14ac:dyDescent="0.35">
      <c r="A30" s="6">
        <v>24</v>
      </c>
      <c r="B30" s="4" t="s">
        <v>59</v>
      </c>
      <c r="C30" s="16" t="s">
        <v>60</v>
      </c>
      <c r="D30" s="2">
        <v>1.25</v>
      </c>
      <c r="E30" s="2">
        <v>0.94</v>
      </c>
      <c r="F30" s="2">
        <v>25</v>
      </c>
      <c r="G30" s="2">
        <v>25</v>
      </c>
      <c r="H30" s="8">
        <v>6630</v>
      </c>
      <c r="I30" s="26">
        <f>H30*0.6</f>
        <v>3978</v>
      </c>
    </row>
    <row r="31" spans="1:9" ht="19.5" customHeight="1" x14ac:dyDescent="0.35">
      <c r="A31" s="6">
        <v>25</v>
      </c>
      <c r="B31" s="6" t="s">
        <v>61</v>
      </c>
      <c r="C31" s="14" t="s">
        <v>62</v>
      </c>
      <c r="D31" s="17">
        <v>0.5</v>
      </c>
      <c r="E31" s="17">
        <v>0.37</v>
      </c>
      <c r="F31" s="17">
        <v>25</v>
      </c>
      <c r="G31" s="17">
        <v>25</v>
      </c>
      <c r="H31" s="9">
        <v>4950</v>
      </c>
      <c r="I31" s="26">
        <f>H31*0.63</f>
        <v>3118.5</v>
      </c>
    </row>
    <row r="32" spans="1:9" ht="19.5" customHeight="1" x14ac:dyDescent="0.35">
      <c r="A32" s="6">
        <v>26</v>
      </c>
      <c r="B32" s="6" t="s">
        <v>63</v>
      </c>
      <c r="C32" s="14" t="s">
        <v>64</v>
      </c>
      <c r="D32" s="17">
        <v>0.5</v>
      </c>
      <c r="E32" s="17">
        <v>0.37</v>
      </c>
      <c r="F32" s="17">
        <v>25</v>
      </c>
      <c r="G32" s="17">
        <v>25</v>
      </c>
      <c r="H32" s="9">
        <v>5000</v>
      </c>
      <c r="I32" s="26">
        <f>H32*0.63</f>
        <v>3150</v>
      </c>
    </row>
    <row r="33" spans="1:9" ht="19.5" customHeight="1" x14ac:dyDescent="0.35">
      <c r="A33" s="4">
        <v>27</v>
      </c>
      <c r="B33" s="6" t="s">
        <v>65</v>
      </c>
      <c r="C33" s="14" t="s">
        <v>66</v>
      </c>
      <c r="D33" s="2">
        <v>1</v>
      </c>
      <c r="E33" s="2">
        <v>0.75</v>
      </c>
      <c r="F33" s="2">
        <v>25</v>
      </c>
      <c r="G33" s="2">
        <v>25</v>
      </c>
      <c r="H33" s="8">
        <v>5560</v>
      </c>
      <c r="I33" s="26">
        <f t="shared" ref="I33:I54" si="1">H33*0.6</f>
        <v>3336</v>
      </c>
    </row>
    <row r="34" spans="1:9" ht="19.5" customHeight="1" x14ac:dyDescent="0.35">
      <c r="A34" s="6">
        <v>28</v>
      </c>
      <c r="B34" s="6" t="s">
        <v>67</v>
      </c>
      <c r="C34" s="14" t="s">
        <v>68</v>
      </c>
      <c r="D34" s="2">
        <v>1</v>
      </c>
      <c r="E34" s="2">
        <v>0.75</v>
      </c>
      <c r="F34" s="2">
        <v>25</v>
      </c>
      <c r="G34" s="2">
        <v>25</v>
      </c>
      <c r="H34" s="8">
        <v>5650</v>
      </c>
      <c r="I34" s="26">
        <f t="shared" si="1"/>
        <v>3390</v>
      </c>
    </row>
    <row r="35" spans="1:9" ht="19.5" customHeight="1" x14ac:dyDescent="0.35">
      <c r="A35" s="6">
        <v>29</v>
      </c>
      <c r="B35" s="6" t="s">
        <v>69</v>
      </c>
      <c r="C35" s="14" t="s">
        <v>70</v>
      </c>
      <c r="D35" s="2">
        <v>1.5</v>
      </c>
      <c r="E35" s="2">
        <v>1.1000000000000001</v>
      </c>
      <c r="F35" s="2">
        <v>25</v>
      </c>
      <c r="G35" s="2">
        <v>25</v>
      </c>
      <c r="H35" s="8">
        <v>7840</v>
      </c>
      <c r="I35" s="26">
        <f t="shared" si="1"/>
        <v>4704</v>
      </c>
    </row>
    <row r="36" spans="1:9" ht="19.5" customHeight="1" x14ac:dyDescent="0.35">
      <c r="A36" s="6">
        <v>30</v>
      </c>
      <c r="B36" s="6" t="s">
        <v>71</v>
      </c>
      <c r="C36" s="14" t="s">
        <v>72</v>
      </c>
      <c r="D36" s="2">
        <v>1.5</v>
      </c>
      <c r="E36" s="2">
        <v>1.1000000000000001</v>
      </c>
      <c r="F36" s="2">
        <v>25</v>
      </c>
      <c r="G36" s="2">
        <v>25</v>
      </c>
      <c r="H36" s="8">
        <v>8170</v>
      </c>
      <c r="I36" s="26">
        <f t="shared" si="1"/>
        <v>4902</v>
      </c>
    </row>
    <row r="37" spans="1:9" ht="19.5" customHeight="1" x14ac:dyDescent="0.35">
      <c r="A37" s="4">
        <v>31</v>
      </c>
      <c r="B37" s="4" t="s">
        <v>73</v>
      </c>
      <c r="C37" s="12" t="s">
        <v>74</v>
      </c>
      <c r="D37" s="2">
        <v>0.5</v>
      </c>
      <c r="E37" s="2">
        <v>0.37</v>
      </c>
      <c r="F37" s="2">
        <v>25</v>
      </c>
      <c r="G37" s="2">
        <v>25</v>
      </c>
      <c r="H37" s="8">
        <v>6450</v>
      </c>
      <c r="I37" s="26">
        <f t="shared" si="1"/>
        <v>3870</v>
      </c>
    </row>
    <row r="38" spans="1:9" ht="19.5" customHeight="1" x14ac:dyDescent="0.35">
      <c r="A38" s="6">
        <v>32</v>
      </c>
      <c r="B38" s="6" t="s">
        <v>75</v>
      </c>
      <c r="C38" s="14" t="s">
        <v>76</v>
      </c>
      <c r="D38" s="3">
        <v>0.9</v>
      </c>
      <c r="E38" s="3">
        <v>0.7</v>
      </c>
      <c r="F38" s="3">
        <v>25</v>
      </c>
      <c r="G38" s="3">
        <v>25</v>
      </c>
      <c r="H38" s="8">
        <v>6640</v>
      </c>
      <c r="I38" s="26">
        <f t="shared" si="1"/>
        <v>3984</v>
      </c>
    </row>
    <row r="39" spans="1:9" ht="19.5" customHeight="1" x14ac:dyDescent="0.35">
      <c r="A39" s="6">
        <v>33</v>
      </c>
      <c r="B39" s="6" t="s">
        <v>77</v>
      </c>
      <c r="C39" s="14" t="s">
        <v>78</v>
      </c>
      <c r="D39" s="3">
        <v>1</v>
      </c>
      <c r="E39" s="3">
        <v>0.75</v>
      </c>
      <c r="F39" s="3">
        <v>25</v>
      </c>
      <c r="G39" s="3">
        <v>25</v>
      </c>
      <c r="H39" s="8">
        <v>7100</v>
      </c>
      <c r="I39" s="26">
        <f t="shared" si="1"/>
        <v>4260</v>
      </c>
    </row>
    <row r="40" spans="1:9" ht="19.5" customHeight="1" x14ac:dyDescent="0.35">
      <c r="A40" s="6">
        <v>34</v>
      </c>
      <c r="B40" s="4" t="s">
        <v>79</v>
      </c>
      <c r="C40" s="15" t="s">
        <v>80</v>
      </c>
      <c r="D40" s="3">
        <v>0.5</v>
      </c>
      <c r="E40" s="3">
        <v>0.37</v>
      </c>
      <c r="F40" s="3">
        <v>25</v>
      </c>
      <c r="G40" s="3">
        <v>25</v>
      </c>
      <c r="H40" s="8">
        <v>5500</v>
      </c>
      <c r="I40" s="26">
        <f t="shared" si="1"/>
        <v>3300</v>
      </c>
    </row>
    <row r="41" spans="1:9" ht="19.5" customHeight="1" x14ac:dyDescent="0.35">
      <c r="A41" s="4">
        <v>35</v>
      </c>
      <c r="B41" s="4"/>
      <c r="C41" s="15" t="s">
        <v>81</v>
      </c>
      <c r="D41" s="3">
        <v>1</v>
      </c>
      <c r="E41" s="3">
        <v>0.75</v>
      </c>
      <c r="F41" s="3">
        <v>25</v>
      </c>
      <c r="G41" s="3">
        <v>25</v>
      </c>
      <c r="H41" s="8">
        <v>6200</v>
      </c>
      <c r="I41" s="26">
        <f t="shared" si="1"/>
        <v>3720</v>
      </c>
    </row>
    <row r="42" spans="1:9" ht="19.5" customHeight="1" x14ac:dyDescent="0.35">
      <c r="A42" s="6">
        <v>36</v>
      </c>
      <c r="B42" s="4" t="s">
        <v>82</v>
      </c>
      <c r="C42" s="12" t="s">
        <v>83</v>
      </c>
      <c r="D42" s="1">
        <v>0.5</v>
      </c>
      <c r="E42" s="1">
        <v>0.37</v>
      </c>
      <c r="F42" s="1">
        <v>25</v>
      </c>
      <c r="G42" s="1">
        <v>25</v>
      </c>
      <c r="H42" s="8">
        <v>7140</v>
      </c>
      <c r="I42" s="26">
        <f t="shared" si="1"/>
        <v>4284</v>
      </c>
    </row>
    <row r="43" spans="1:9" ht="19.5" customHeight="1" x14ac:dyDescent="0.35">
      <c r="A43" s="6">
        <v>37</v>
      </c>
      <c r="B43" s="6" t="s">
        <v>84</v>
      </c>
      <c r="C43" s="14" t="s">
        <v>85</v>
      </c>
      <c r="D43" s="1">
        <v>1.1000000000000001</v>
      </c>
      <c r="E43" s="1">
        <v>0.8</v>
      </c>
      <c r="F43" s="1">
        <v>25</v>
      </c>
      <c r="G43" s="1">
        <v>25</v>
      </c>
      <c r="H43" s="8">
        <v>7700</v>
      </c>
      <c r="I43" s="26">
        <f t="shared" si="1"/>
        <v>4620</v>
      </c>
    </row>
    <row r="44" spans="1:9" ht="19.5" customHeight="1" x14ac:dyDescent="0.35">
      <c r="A44" s="6">
        <v>38</v>
      </c>
      <c r="B44" s="6" t="s">
        <v>86</v>
      </c>
      <c r="C44" s="14" t="s">
        <v>87</v>
      </c>
      <c r="D44" s="1">
        <v>1.5</v>
      </c>
      <c r="E44" s="1">
        <v>1.1000000000000001</v>
      </c>
      <c r="F44" s="1">
        <v>25</v>
      </c>
      <c r="G44" s="1">
        <v>25</v>
      </c>
      <c r="H44" s="8">
        <v>8690</v>
      </c>
      <c r="I44" s="26">
        <f t="shared" si="1"/>
        <v>5214</v>
      </c>
    </row>
    <row r="45" spans="1:9" ht="19.5" customHeight="1" x14ac:dyDescent="0.35">
      <c r="A45" s="4">
        <v>39</v>
      </c>
      <c r="B45" s="4" t="s">
        <v>88</v>
      </c>
      <c r="C45" s="12" t="s">
        <v>89</v>
      </c>
      <c r="D45" s="2">
        <v>0.5</v>
      </c>
      <c r="E45" s="2">
        <v>0.37</v>
      </c>
      <c r="F45" s="2">
        <v>25</v>
      </c>
      <c r="G45" s="2">
        <v>12</v>
      </c>
      <c r="H45" s="8">
        <v>4860</v>
      </c>
      <c r="I45" s="26">
        <f t="shared" si="1"/>
        <v>2916</v>
      </c>
    </row>
    <row r="46" spans="1:9" ht="19.5" customHeight="1" x14ac:dyDescent="0.35">
      <c r="A46" s="6">
        <v>40</v>
      </c>
      <c r="B46" s="4" t="s">
        <v>90</v>
      </c>
      <c r="C46" s="12" t="s">
        <v>91</v>
      </c>
      <c r="D46" s="2">
        <v>1</v>
      </c>
      <c r="E46" s="2">
        <v>0.75</v>
      </c>
      <c r="F46" s="2">
        <v>25</v>
      </c>
      <c r="G46" s="2">
        <v>25</v>
      </c>
      <c r="H46" s="8">
        <v>5600</v>
      </c>
      <c r="I46" s="26">
        <f t="shared" si="1"/>
        <v>3360</v>
      </c>
    </row>
    <row r="47" spans="1:9" ht="19.5" customHeight="1" x14ac:dyDescent="0.35">
      <c r="A47" s="6">
        <v>41</v>
      </c>
      <c r="B47" s="6" t="s">
        <v>92</v>
      </c>
      <c r="C47" s="14" t="s">
        <v>93</v>
      </c>
      <c r="D47" s="17">
        <v>1</v>
      </c>
      <c r="E47" s="17">
        <v>0.75</v>
      </c>
      <c r="F47" s="17">
        <v>25</v>
      </c>
      <c r="G47" s="17">
        <v>25</v>
      </c>
      <c r="H47" s="9">
        <v>8420</v>
      </c>
      <c r="I47" s="26">
        <f>H47*0.63</f>
        <v>5304.6</v>
      </c>
    </row>
    <row r="48" spans="1:9" ht="19.5" customHeight="1" x14ac:dyDescent="0.35">
      <c r="A48" s="6">
        <v>42</v>
      </c>
      <c r="B48" s="6" t="s">
        <v>94</v>
      </c>
      <c r="C48" s="14" t="s">
        <v>95</v>
      </c>
      <c r="D48" s="2">
        <v>1.1000000000000001</v>
      </c>
      <c r="E48" s="2">
        <v>0.8</v>
      </c>
      <c r="F48" s="2">
        <v>25</v>
      </c>
      <c r="G48" s="2">
        <v>25</v>
      </c>
      <c r="H48" s="8">
        <v>12020</v>
      </c>
      <c r="I48" s="26">
        <f t="shared" si="1"/>
        <v>7212</v>
      </c>
    </row>
    <row r="49" spans="1:9" ht="19.5" customHeight="1" x14ac:dyDescent="0.35">
      <c r="A49" s="4">
        <v>43</v>
      </c>
      <c r="B49" s="4" t="s">
        <v>96</v>
      </c>
      <c r="C49" s="12" t="s">
        <v>97</v>
      </c>
      <c r="D49" s="2">
        <v>0.5</v>
      </c>
      <c r="E49" s="2">
        <v>0.37</v>
      </c>
      <c r="F49" s="2">
        <v>25</v>
      </c>
      <c r="G49" s="2">
        <v>25</v>
      </c>
      <c r="H49" s="8">
        <v>7530</v>
      </c>
      <c r="I49" s="26">
        <f t="shared" si="1"/>
        <v>4518</v>
      </c>
    </row>
    <row r="50" spans="1:9" ht="19.5" customHeight="1" x14ac:dyDescent="0.35">
      <c r="A50" s="6">
        <v>44</v>
      </c>
      <c r="B50" s="4" t="s">
        <v>98</v>
      </c>
      <c r="C50" s="12" t="s">
        <v>99</v>
      </c>
      <c r="D50" s="2">
        <v>1</v>
      </c>
      <c r="E50" s="2">
        <v>0.75</v>
      </c>
      <c r="F50" s="2">
        <v>25</v>
      </c>
      <c r="G50" s="2">
        <v>25</v>
      </c>
      <c r="H50" s="8">
        <v>9150</v>
      </c>
      <c r="I50" s="26">
        <f t="shared" si="1"/>
        <v>5490</v>
      </c>
    </row>
    <row r="51" spans="1:9" ht="19.5" customHeight="1" x14ac:dyDescent="0.35">
      <c r="A51" s="6">
        <v>45</v>
      </c>
      <c r="B51" s="4" t="s">
        <v>100</v>
      </c>
      <c r="C51" s="12" t="s">
        <v>101</v>
      </c>
      <c r="D51" s="2">
        <v>1</v>
      </c>
      <c r="E51" s="2">
        <v>0.75</v>
      </c>
      <c r="F51" s="2">
        <v>25</v>
      </c>
      <c r="G51" s="2">
        <v>25</v>
      </c>
      <c r="H51" s="5">
        <v>16800</v>
      </c>
      <c r="I51" s="26">
        <f t="shared" si="1"/>
        <v>10080</v>
      </c>
    </row>
    <row r="52" spans="1:9" ht="19.5" customHeight="1" x14ac:dyDescent="0.35">
      <c r="A52" s="6">
        <v>46</v>
      </c>
      <c r="B52" s="6" t="s">
        <v>102</v>
      </c>
      <c r="C52" s="14" t="s">
        <v>103</v>
      </c>
      <c r="D52" s="2">
        <v>0.5</v>
      </c>
      <c r="E52" s="2">
        <v>0.37</v>
      </c>
      <c r="F52" s="2">
        <v>25</v>
      </c>
      <c r="G52" s="2">
        <v>25</v>
      </c>
      <c r="H52" s="8">
        <v>17760</v>
      </c>
      <c r="I52" s="26">
        <f t="shared" si="1"/>
        <v>10656</v>
      </c>
    </row>
    <row r="53" spans="1:9" ht="19.5" customHeight="1" x14ac:dyDescent="0.35">
      <c r="A53" s="4">
        <v>47</v>
      </c>
      <c r="B53" s="6" t="s">
        <v>104</v>
      </c>
      <c r="C53" s="14" t="s">
        <v>105</v>
      </c>
      <c r="D53" s="2">
        <v>1</v>
      </c>
      <c r="E53" s="2">
        <v>0.75</v>
      </c>
      <c r="F53" s="2">
        <v>25</v>
      </c>
      <c r="G53" s="2">
        <v>25</v>
      </c>
      <c r="H53" s="8">
        <v>19120</v>
      </c>
      <c r="I53" s="26">
        <f t="shared" si="1"/>
        <v>11472</v>
      </c>
    </row>
    <row r="54" spans="1:9" ht="19.5" customHeight="1" x14ac:dyDescent="0.35">
      <c r="A54" s="6">
        <v>48</v>
      </c>
      <c r="B54" s="6" t="s">
        <v>106</v>
      </c>
      <c r="C54" s="14" t="s">
        <v>107</v>
      </c>
      <c r="D54" s="2">
        <v>1.1000000000000001</v>
      </c>
      <c r="E54" s="2">
        <v>0.8</v>
      </c>
      <c r="F54" s="2">
        <v>25</v>
      </c>
      <c r="G54" s="2">
        <v>25</v>
      </c>
      <c r="H54" s="8">
        <v>20900</v>
      </c>
      <c r="I54" s="26">
        <f t="shared" si="1"/>
        <v>12540</v>
      </c>
    </row>
    <row r="55" spans="1:9" ht="19.5" customHeight="1" x14ac:dyDescent="0.35">
      <c r="A55" s="267" t="s">
        <v>108</v>
      </c>
      <c r="B55" s="268"/>
      <c r="C55" s="268"/>
      <c r="D55" s="268"/>
      <c r="E55" s="268"/>
      <c r="F55" s="268"/>
      <c r="G55" s="269"/>
      <c r="H55" s="207" t="s">
        <v>109</v>
      </c>
      <c r="I55" s="315" t="s">
        <v>502</v>
      </c>
    </row>
    <row r="56" spans="1:9" ht="19.5" customHeight="1" x14ac:dyDescent="0.35">
      <c r="A56" s="207" t="s">
        <v>2</v>
      </c>
      <c r="B56" s="287" t="s">
        <v>3</v>
      </c>
      <c r="C56" s="260" t="s">
        <v>4</v>
      </c>
      <c r="D56" s="209" t="s">
        <v>5</v>
      </c>
      <c r="E56" s="210"/>
      <c r="F56" s="209" t="s">
        <v>6</v>
      </c>
      <c r="G56" s="210"/>
      <c r="H56" s="259"/>
      <c r="I56" s="315"/>
    </row>
    <row r="57" spans="1:9" ht="19.5" customHeight="1" x14ac:dyDescent="0.35">
      <c r="A57" s="208"/>
      <c r="B57" s="287"/>
      <c r="C57" s="261"/>
      <c r="D57" s="11" t="s">
        <v>9</v>
      </c>
      <c r="E57" s="11" t="s">
        <v>10</v>
      </c>
      <c r="F57" s="11" t="s">
        <v>11</v>
      </c>
      <c r="G57" s="11" t="s">
        <v>12</v>
      </c>
      <c r="H57" s="208"/>
      <c r="I57" s="315"/>
    </row>
    <row r="58" spans="1:9" ht="19.5" customHeight="1" x14ac:dyDescent="0.35">
      <c r="A58" s="6">
        <v>1</v>
      </c>
      <c r="B58" s="6" t="s">
        <v>110</v>
      </c>
      <c r="C58" s="14" t="s">
        <v>111</v>
      </c>
      <c r="D58" s="303">
        <v>0.5</v>
      </c>
      <c r="E58" s="303">
        <v>0.37</v>
      </c>
      <c r="F58" s="2">
        <v>25</v>
      </c>
      <c r="G58" s="2">
        <v>25</v>
      </c>
      <c r="H58" s="8">
        <v>4680</v>
      </c>
      <c r="I58" s="26">
        <f>H58*0.6</f>
        <v>2808</v>
      </c>
    </row>
    <row r="59" spans="1:9" ht="19.5" customHeight="1" x14ac:dyDescent="0.35">
      <c r="A59" s="6">
        <v>2</v>
      </c>
      <c r="B59" s="6" t="s">
        <v>112</v>
      </c>
      <c r="C59" s="14" t="s">
        <v>113</v>
      </c>
      <c r="D59" s="303"/>
      <c r="E59" s="303"/>
      <c r="F59" s="2">
        <v>40</v>
      </c>
      <c r="G59" s="2">
        <v>40</v>
      </c>
      <c r="H59" s="8">
        <v>6430</v>
      </c>
      <c r="I59" s="26">
        <f t="shared" ref="I59:I113" si="2">H59*0.6</f>
        <v>3858</v>
      </c>
    </row>
    <row r="60" spans="1:9" ht="19.5" customHeight="1" x14ac:dyDescent="0.35">
      <c r="A60" s="4">
        <v>3</v>
      </c>
      <c r="B60" s="4" t="s">
        <v>114</v>
      </c>
      <c r="C60" s="18" t="s">
        <v>115</v>
      </c>
      <c r="D60" s="2">
        <v>0.75</v>
      </c>
      <c r="E60" s="2">
        <v>0.56000000000000005</v>
      </c>
      <c r="F60" s="2">
        <v>40</v>
      </c>
      <c r="G60" s="2">
        <v>40</v>
      </c>
      <c r="H60" s="5">
        <v>6240</v>
      </c>
      <c r="I60" s="26">
        <f t="shared" si="2"/>
        <v>3744</v>
      </c>
    </row>
    <row r="61" spans="1:9" ht="19.5" customHeight="1" x14ac:dyDescent="0.35">
      <c r="A61" s="6">
        <v>4</v>
      </c>
      <c r="B61" s="6" t="s">
        <v>116</v>
      </c>
      <c r="C61" s="14" t="s">
        <v>117</v>
      </c>
      <c r="D61" s="262">
        <v>1</v>
      </c>
      <c r="E61" s="262">
        <v>0.75</v>
      </c>
      <c r="F61" s="1">
        <v>25</v>
      </c>
      <c r="G61" s="1">
        <v>25</v>
      </c>
      <c r="H61" s="8">
        <v>7572</v>
      </c>
      <c r="I61" s="26">
        <f t="shared" si="2"/>
        <v>4543.2</v>
      </c>
    </row>
    <row r="62" spans="1:9" ht="19.5" customHeight="1" x14ac:dyDescent="0.35">
      <c r="A62" s="6">
        <v>5</v>
      </c>
      <c r="B62" s="6" t="s">
        <v>118</v>
      </c>
      <c r="C62" s="14" t="s">
        <v>119</v>
      </c>
      <c r="D62" s="266"/>
      <c r="E62" s="266"/>
      <c r="F62" s="1">
        <v>50</v>
      </c>
      <c r="G62" s="1">
        <v>50</v>
      </c>
      <c r="H62" s="8">
        <v>8900</v>
      </c>
      <c r="I62" s="26">
        <f t="shared" si="2"/>
        <v>5340</v>
      </c>
    </row>
    <row r="63" spans="1:9" ht="19.5" customHeight="1" x14ac:dyDescent="0.35">
      <c r="A63" s="4">
        <v>6</v>
      </c>
      <c r="B63" s="6" t="s">
        <v>120</v>
      </c>
      <c r="C63" s="14" t="s">
        <v>121</v>
      </c>
      <c r="D63" s="266"/>
      <c r="E63" s="266"/>
      <c r="F63" s="1">
        <v>50</v>
      </c>
      <c r="G63" s="1">
        <v>50</v>
      </c>
      <c r="H63" s="5">
        <v>9100</v>
      </c>
      <c r="I63" s="26">
        <f t="shared" si="2"/>
        <v>5460</v>
      </c>
    </row>
    <row r="64" spans="1:9" ht="19.5" customHeight="1" x14ac:dyDescent="0.35">
      <c r="A64" s="6">
        <v>7</v>
      </c>
      <c r="B64" s="4" t="s">
        <v>122</v>
      </c>
      <c r="C64" s="18" t="s">
        <v>123</v>
      </c>
      <c r="D64" s="266"/>
      <c r="E64" s="266"/>
      <c r="F64" s="1">
        <v>50</v>
      </c>
      <c r="G64" s="1">
        <v>50</v>
      </c>
      <c r="H64" s="5">
        <v>9000</v>
      </c>
      <c r="I64" s="26">
        <f t="shared" si="2"/>
        <v>5400</v>
      </c>
    </row>
    <row r="65" spans="1:9" ht="19.5" customHeight="1" x14ac:dyDescent="0.35">
      <c r="A65" s="6">
        <v>8</v>
      </c>
      <c r="B65" s="4" t="s">
        <v>124</v>
      </c>
      <c r="C65" s="19" t="s">
        <v>125</v>
      </c>
      <c r="D65" s="266"/>
      <c r="E65" s="266"/>
      <c r="F65" s="1">
        <v>75</v>
      </c>
      <c r="G65" s="1">
        <v>75</v>
      </c>
      <c r="H65" s="8">
        <v>10000</v>
      </c>
      <c r="I65" s="26">
        <f t="shared" si="2"/>
        <v>6000</v>
      </c>
    </row>
    <row r="66" spans="1:9" ht="19.5" customHeight="1" x14ac:dyDescent="0.35">
      <c r="A66" s="4">
        <v>9</v>
      </c>
      <c r="B66" s="4"/>
      <c r="C66" s="18" t="s">
        <v>126</v>
      </c>
      <c r="D66" s="263"/>
      <c r="E66" s="263"/>
      <c r="F66" s="1">
        <v>75</v>
      </c>
      <c r="G66" s="1">
        <v>75</v>
      </c>
      <c r="H66" s="5">
        <v>10200</v>
      </c>
      <c r="I66" s="26">
        <f t="shared" si="2"/>
        <v>6120</v>
      </c>
    </row>
    <row r="67" spans="1:9" ht="19.5" customHeight="1" x14ac:dyDescent="0.35">
      <c r="A67" s="6">
        <v>10</v>
      </c>
      <c r="B67" s="4" t="s">
        <v>127</v>
      </c>
      <c r="C67" s="19" t="s">
        <v>128</v>
      </c>
      <c r="D67" s="262">
        <v>1.5</v>
      </c>
      <c r="E67" s="262">
        <v>1.1000000000000001</v>
      </c>
      <c r="F67" s="1">
        <v>50</v>
      </c>
      <c r="G67" s="1">
        <v>50</v>
      </c>
      <c r="H67" s="5">
        <v>10420</v>
      </c>
      <c r="I67" s="26">
        <f t="shared" si="2"/>
        <v>6252</v>
      </c>
    </row>
    <row r="68" spans="1:9" ht="19.5" customHeight="1" x14ac:dyDescent="0.35">
      <c r="A68" s="6">
        <v>11</v>
      </c>
      <c r="B68" s="4" t="s">
        <v>129</v>
      </c>
      <c r="C68" s="18" t="s">
        <v>130</v>
      </c>
      <c r="D68" s="266"/>
      <c r="E68" s="266"/>
      <c r="F68" s="1">
        <v>50</v>
      </c>
      <c r="G68" s="1">
        <v>50</v>
      </c>
      <c r="H68" s="5">
        <v>10600</v>
      </c>
      <c r="I68" s="26">
        <f t="shared" si="2"/>
        <v>6360</v>
      </c>
    </row>
    <row r="69" spans="1:9" ht="19.5" customHeight="1" x14ac:dyDescent="0.35">
      <c r="A69" s="4">
        <v>12</v>
      </c>
      <c r="B69" s="4" t="s">
        <v>131</v>
      </c>
      <c r="C69" s="19" t="s">
        <v>132</v>
      </c>
      <c r="D69" s="266"/>
      <c r="E69" s="266"/>
      <c r="F69" s="1">
        <v>65</v>
      </c>
      <c r="G69" s="1">
        <v>50</v>
      </c>
      <c r="H69" s="5">
        <v>10600</v>
      </c>
      <c r="I69" s="26">
        <f t="shared" si="2"/>
        <v>6360</v>
      </c>
    </row>
    <row r="70" spans="1:9" ht="19.5" customHeight="1" x14ac:dyDescent="0.35">
      <c r="A70" s="6">
        <v>13</v>
      </c>
      <c r="B70" s="4" t="s">
        <v>133</v>
      </c>
      <c r="C70" s="18" t="s">
        <v>134</v>
      </c>
      <c r="D70" s="266"/>
      <c r="E70" s="266"/>
      <c r="F70" s="1">
        <v>65</v>
      </c>
      <c r="G70" s="1">
        <v>50</v>
      </c>
      <c r="H70" s="5">
        <v>10800</v>
      </c>
      <c r="I70" s="26">
        <f t="shared" si="2"/>
        <v>6480</v>
      </c>
    </row>
    <row r="71" spans="1:9" ht="19.5" customHeight="1" x14ac:dyDescent="0.35">
      <c r="A71" s="6">
        <v>14</v>
      </c>
      <c r="B71" s="4" t="s">
        <v>135</v>
      </c>
      <c r="C71" s="19" t="s">
        <v>136</v>
      </c>
      <c r="D71" s="266"/>
      <c r="E71" s="266"/>
      <c r="F71" s="1">
        <v>75</v>
      </c>
      <c r="G71" s="1">
        <v>75</v>
      </c>
      <c r="H71" s="8">
        <v>11000</v>
      </c>
      <c r="I71" s="26">
        <f t="shared" si="2"/>
        <v>6600</v>
      </c>
    </row>
    <row r="72" spans="1:9" ht="19.5" customHeight="1" x14ac:dyDescent="0.35">
      <c r="A72" s="4">
        <v>15</v>
      </c>
      <c r="B72" s="4" t="s">
        <v>137</v>
      </c>
      <c r="C72" s="18" t="s">
        <v>138</v>
      </c>
      <c r="D72" s="266"/>
      <c r="E72" s="266"/>
      <c r="F72" s="1">
        <v>75</v>
      </c>
      <c r="G72" s="1">
        <v>75</v>
      </c>
      <c r="H72" s="5">
        <v>11200</v>
      </c>
      <c r="I72" s="26">
        <f t="shared" si="2"/>
        <v>6720</v>
      </c>
    </row>
    <row r="73" spans="1:9" ht="19.5" customHeight="1" x14ac:dyDescent="0.35">
      <c r="A73" s="6">
        <v>16</v>
      </c>
      <c r="B73" s="4" t="s">
        <v>139</v>
      </c>
      <c r="C73" s="18" t="s">
        <v>140</v>
      </c>
      <c r="D73" s="263"/>
      <c r="E73" s="263"/>
      <c r="F73" s="1">
        <v>75</v>
      </c>
      <c r="G73" s="1">
        <v>75</v>
      </c>
      <c r="H73" s="5">
        <v>11200</v>
      </c>
      <c r="I73" s="26">
        <f t="shared" si="2"/>
        <v>6720</v>
      </c>
    </row>
    <row r="74" spans="1:9" ht="19.5" customHeight="1" x14ac:dyDescent="0.35">
      <c r="A74" s="6">
        <v>17</v>
      </c>
      <c r="B74" s="4" t="s">
        <v>141</v>
      </c>
      <c r="C74" s="19" t="s">
        <v>142</v>
      </c>
      <c r="D74" s="262">
        <v>2</v>
      </c>
      <c r="E74" s="262">
        <v>1.5</v>
      </c>
      <c r="F74" s="1">
        <v>50</v>
      </c>
      <c r="G74" s="1">
        <v>40</v>
      </c>
      <c r="H74" s="8">
        <v>15000</v>
      </c>
      <c r="I74" s="26">
        <f t="shared" si="2"/>
        <v>9000</v>
      </c>
    </row>
    <row r="75" spans="1:9" ht="19.5" customHeight="1" x14ac:dyDescent="0.35">
      <c r="A75" s="4">
        <v>18</v>
      </c>
      <c r="B75" s="4" t="s">
        <v>143</v>
      </c>
      <c r="C75" s="18" t="s">
        <v>144</v>
      </c>
      <c r="D75" s="266"/>
      <c r="E75" s="266"/>
      <c r="F75" s="1">
        <v>50</v>
      </c>
      <c r="G75" s="1">
        <v>40</v>
      </c>
      <c r="H75" s="5">
        <v>15200</v>
      </c>
      <c r="I75" s="26">
        <f t="shared" si="2"/>
        <v>9120</v>
      </c>
    </row>
    <row r="76" spans="1:9" ht="19.5" customHeight="1" x14ac:dyDescent="0.35">
      <c r="A76" s="6">
        <v>19</v>
      </c>
      <c r="B76" s="6" t="s">
        <v>145</v>
      </c>
      <c r="C76" s="14" t="s">
        <v>146</v>
      </c>
      <c r="D76" s="266"/>
      <c r="E76" s="266"/>
      <c r="F76" s="1">
        <v>50</v>
      </c>
      <c r="G76" s="1">
        <v>50</v>
      </c>
      <c r="H76" s="8">
        <v>13000</v>
      </c>
      <c r="I76" s="26">
        <f t="shared" si="2"/>
        <v>7800</v>
      </c>
    </row>
    <row r="77" spans="1:9" ht="19.5" customHeight="1" x14ac:dyDescent="0.35">
      <c r="A77" s="6">
        <v>20</v>
      </c>
      <c r="B77" s="4" t="s">
        <v>147</v>
      </c>
      <c r="C77" s="18" t="s">
        <v>148</v>
      </c>
      <c r="D77" s="266"/>
      <c r="E77" s="266"/>
      <c r="F77" s="1">
        <v>50</v>
      </c>
      <c r="G77" s="1">
        <v>50</v>
      </c>
      <c r="H77" s="5">
        <v>13200</v>
      </c>
      <c r="I77" s="26">
        <f t="shared" si="2"/>
        <v>7920</v>
      </c>
    </row>
    <row r="78" spans="1:9" ht="19.5" customHeight="1" x14ac:dyDescent="0.35">
      <c r="A78" s="4">
        <v>21</v>
      </c>
      <c r="B78" s="6" t="s">
        <v>149</v>
      </c>
      <c r="C78" s="14" t="s">
        <v>150</v>
      </c>
      <c r="D78" s="266"/>
      <c r="E78" s="266"/>
      <c r="F78" s="1">
        <v>65</v>
      </c>
      <c r="G78" s="1">
        <v>50</v>
      </c>
      <c r="H78" s="8">
        <v>13300</v>
      </c>
      <c r="I78" s="26">
        <f t="shared" si="2"/>
        <v>7980</v>
      </c>
    </row>
    <row r="79" spans="1:9" ht="19.5" customHeight="1" x14ac:dyDescent="0.35">
      <c r="A79" s="6">
        <v>22</v>
      </c>
      <c r="B79" s="6" t="s">
        <v>151</v>
      </c>
      <c r="C79" s="14" t="s">
        <v>152</v>
      </c>
      <c r="D79" s="266"/>
      <c r="E79" s="266"/>
      <c r="F79" s="1">
        <v>65</v>
      </c>
      <c r="G79" s="1">
        <v>50</v>
      </c>
      <c r="H79" s="5">
        <v>13500</v>
      </c>
      <c r="I79" s="26">
        <f t="shared" si="2"/>
        <v>8100</v>
      </c>
    </row>
    <row r="80" spans="1:9" ht="19.5" customHeight="1" x14ac:dyDescent="0.35">
      <c r="A80" s="6">
        <v>23</v>
      </c>
      <c r="B80" s="4" t="s">
        <v>153</v>
      </c>
      <c r="C80" s="18" t="s">
        <v>154</v>
      </c>
      <c r="D80" s="266"/>
      <c r="E80" s="266"/>
      <c r="F80" s="1">
        <v>65</v>
      </c>
      <c r="G80" s="1">
        <v>50</v>
      </c>
      <c r="H80" s="5">
        <v>13340</v>
      </c>
      <c r="I80" s="26">
        <f t="shared" si="2"/>
        <v>8004</v>
      </c>
    </row>
    <row r="81" spans="1:9" ht="19.5" customHeight="1" x14ac:dyDescent="0.35">
      <c r="A81" s="4">
        <v>24</v>
      </c>
      <c r="B81" s="6"/>
      <c r="C81" s="14" t="s">
        <v>155</v>
      </c>
      <c r="D81" s="266"/>
      <c r="E81" s="266"/>
      <c r="F81" s="1">
        <v>65</v>
      </c>
      <c r="G81" s="1">
        <v>50</v>
      </c>
      <c r="H81" s="8">
        <v>13300</v>
      </c>
      <c r="I81" s="26">
        <f t="shared" si="2"/>
        <v>7980</v>
      </c>
    </row>
    <row r="82" spans="1:9" ht="19.5" customHeight="1" x14ac:dyDescent="0.35">
      <c r="A82" s="6">
        <v>25</v>
      </c>
      <c r="B82" s="4" t="s">
        <v>156</v>
      </c>
      <c r="C82" s="18" t="s">
        <v>157</v>
      </c>
      <c r="D82" s="266"/>
      <c r="E82" s="266"/>
      <c r="F82" s="1">
        <v>75</v>
      </c>
      <c r="G82" s="1">
        <v>75</v>
      </c>
      <c r="H82" s="5">
        <v>13600</v>
      </c>
      <c r="I82" s="26">
        <f t="shared" si="2"/>
        <v>8160</v>
      </c>
    </row>
    <row r="83" spans="1:9" ht="19.5" customHeight="1" x14ac:dyDescent="0.35">
      <c r="A83" s="6">
        <v>26</v>
      </c>
      <c r="B83" s="6" t="s">
        <v>158</v>
      </c>
      <c r="C83" s="14" t="s">
        <v>159</v>
      </c>
      <c r="D83" s="266"/>
      <c r="E83" s="266"/>
      <c r="F83" s="1">
        <v>75</v>
      </c>
      <c r="G83" s="1">
        <v>75</v>
      </c>
      <c r="H83" s="8">
        <v>13450</v>
      </c>
      <c r="I83" s="26">
        <f t="shared" si="2"/>
        <v>8070</v>
      </c>
    </row>
    <row r="84" spans="1:9" ht="19.5" customHeight="1" x14ac:dyDescent="0.35">
      <c r="A84" s="4">
        <v>27</v>
      </c>
      <c r="B84" s="6" t="s">
        <v>160</v>
      </c>
      <c r="C84" s="14" t="s">
        <v>161</v>
      </c>
      <c r="D84" s="266"/>
      <c r="E84" s="266"/>
      <c r="F84" s="1">
        <v>75</v>
      </c>
      <c r="G84" s="1">
        <v>75</v>
      </c>
      <c r="H84" s="5">
        <v>13800</v>
      </c>
      <c r="I84" s="26">
        <f t="shared" si="2"/>
        <v>8280</v>
      </c>
    </row>
    <row r="85" spans="1:9" ht="19.5" customHeight="1" x14ac:dyDescent="0.35">
      <c r="A85" s="6">
        <v>28</v>
      </c>
      <c r="B85" s="6" t="s">
        <v>162</v>
      </c>
      <c r="C85" s="14" t="s">
        <v>163</v>
      </c>
      <c r="D85" s="266"/>
      <c r="E85" s="266"/>
      <c r="F85" s="1">
        <v>75</v>
      </c>
      <c r="G85" s="1">
        <v>75</v>
      </c>
      <c r="H85" s="5">
        <v>14000</v>
      </c>
      <c r="I85" s="26">
        <f t="shared" si="2"/>
        <v>8400</v>
      </c>
    </row>
    <row r="86" spans="1:9" ht="19.5" customHeight="1" x14ac:dyDescent="0.35">
      <c r="A86" s="6">
        <v>29</v>
      </c>
      <c r="B86" s="6" t="s">
        <v>164</v>
      </c>
      <c r="C86" s="14" t="s">
        <v>165</v>
      </c>
      <c r="D86" s="266"/>
      <c r="E86" s="266"/>
      <c r="F86" s="1">
        <v>75</v>
      </c>
      <c r="G86" s="1">
        <v>75</v>
      </c>
      <c r="H86" s="5">
        <v>14500</v>
      </c>
      <c r="I86" s="26">
        <f t="shared" si="2"/>
        <v>8700</v>
      </c>
    </row>
    <row r="87" spans="1:9" ht="19.5" customHeight="1" x14ac:dyDescent="0.35">
      <c r="A87" s="4">
        <v>30</v>
      </c>
      <c r="B87" s="4" t="s">
        <v>166</v>
      </c>
      <c r="C87" s="18" t="s">
        <v>167</v>
      </c>
      <c r="D87" s="266"/>
      <c r="E87" s="266"/>
      <c r="F87" s="1">
        <v>75</v>
      </c>
      <c r="G87" s="1">
        <v>75</v>
      </c>
      <c r="H87" s="5">
        <v>13550</v>
      </c>
      <c r="I87" s="26">
        <f t="shared" si="2"/>
        <v>8130</v>
      </c>
    </row>
    <row r="88" spans="1:9" ht="19.5" customHeight="1" x14ac:dyDescent="0.35">
      <c r="A88" s="6">
        <v>31</v>
      </c>
      <c r="B88" s="6" t="s">
        <v>168</v>
      </c>
      <c r="C88" s="14" t="s">
        <v>169</v>
      </c>
      <c r="D88" s="266"/>
      <c r="E88" s="266"/>
      <c r="F88" s="1">
        <v>75</v>
      </c>
      <c r="G88" s="1">
        <v>65</v>
      </c>
      <c r="H88" s="8">
        <v>13450</v>
      </c>
      <c r="I88" s="26">
        <f t="shared" si="2"/>
        <v>8070</v>
      </c>
    </row>
    <row r="89" spans="1:9" ht="19.5" customHeight="1" x14ac:dyDescent="0.35">
      <c r="A89" s="6">
        <v>32</v>
      </c>
      <c r="B89" s="6" t="s">
        <v>170</v>
      </c>
      <c r="C89" s="14" t="s">
        <v>171</v>
      </c>
      <c r="D89" s="266"/>
      <c r="E89" s="266"/>
      <c r="F89" s="1">
        <v>75</v>
      </c>
      <c r="G89" s="1">
        <v>65</v>
      </c>
      <c r="H89" s="5">
        <v>13740</v>
      </c>
      <c r="I89" s="26">
        <f t="shared" si="2"/>
        <v>8244</v>
      </c>
    </row>
    <row r="90" spans="1:9" ht="19.5" customHeight="1" x14ac:dyDescent="0.35">
      <c r="A90" s="4">
        <v>33</v>
      </c>
      <c r="B90" s="4"/>
      <c r="C90" s="19" t="s">
        <v>172</v>
      </c>
      <c r="D90" s="266"/>
      <c r="E90" s="266"/>
      <c r="F90" s="1">
        <v>100</v>
      </c>
      <c r="G90" s="1">
        <v>100</v>
      </c>
      <c r="H90" s="8">
        <v>15000</v>
      </c>
      <c r="I90" s="26">
        <f t="shared" si="2"/>
        <v>9000</v>
      </c>
    </row>
    <row r="91" spans="1:9" ht="19.5" customHeight="1" x14ac:dyDescent="0.35">
      <c r="A91" s="6">
        <v>34</v>
      </c>
      <c r="B91" s="4"/>
      <c r="C91" s="18" t="s">
        <v>173</v>
      </c>
      <c r="D91" s="263"/>
      <c r="E91" s="263"/>
      <c r="F91" s="1">
        <v>100</v>
      </c>
      <c r="G91" s="1">
        <v>100</v>
      </c>
      <c r="H91" s="5">
        <v>15200</v>
      </c>
      <c r="I91" s="26">
        <f t="shared" si="2"/>
        <v>9120</v>
      </c>
    </row>
    <row r="92" spans="1:9" ht="19.5" customHeight="1" x14ac:dyDescent="0.35">
      <c r="A92" s="6">
        <v>35</v>
      </c>
      <c r="B92" s="4"/>
      <c r="C92" s="19" t="s">
        <v>174</v>
      </c>
      <c r="D92" s="262">
        <v>3</v>
      </c>
      <c r="E92" s="262">
        <v>2.25</v>
      </c>
      <c r="F92" s="1">
        <v>50</v>
      </c>
      <c r="G92" s="1">
        <v>40</v>
      </c>
      <c r="H92" s="8">
        <v>18000</v>
      </c>
      <c r="I92" s="26">
        <f t="shared" si="2"/>
        <v>10800</v>
      </c>
    </row>
    <row r="93" spans="1:9" ht="19.5" customHeight="1" x14ac:dyDescent="0.35">
      <c r="A93" s="4">
        <v>36</v>
      </c>
      <c r="B93" s="4" t="s">
        <v>175</v>
      </c>
      <c r="C93" s="18" t="s">
        <v>176</v>
      </c>
      <c r="D93" s="266"/>
      <c r="E93" s="266"/>
      <c r="F93" s="1">
        <v>50</v>
      </c>
      <c r="G93" s="1">
        <v>40</v>
      </c>
      <c r="H93" s="5">
        <v>18560</v>
      </c>
      <c r="I93" s="26">
        <f t="shared" si="2"/>
        <v>11136</v>
      </c>
    </row>
    <row r="94" spans="1:9" ht="19.5" customHeight="1" x14ac:dyDescent="0.35">
      <c r="A94" s="6">
        <v>37</v>
      </c>
      <c r="B94" s="4" t="s">
        <v>177</v>
      </c>
      <c r="C94" s="19" t="s">
        <v>178</v>
      </c>
      <c r="D94" s="266"/>
      <c r="E94" s="266"/>
      <c r="F94" s="1">
        <v>50</v>
      </c>
      <c r="G94" s="1">
        <v>50</v>
      </c>
      <c r="H94" s="8">
        <v>18250</v>
      </c>
      <c r="I94" s="26">
        <f t="shared" si="2"/>
        <v>10950</v>
      </c>
    </row>
    <row r="95" spans="1:9" ht="19.5" customHeight="1" x14ac:dyDescent="0.35">
      <c r="A95" s="6">
        <v>38</v>
      </c>
      <c r="B95" s="4" t="s">
        <v>179</v>
      </c>
      <c r="C95" s="18" t="s">
        <v>180</v>
      </c>
      <c r="D95" s="266"/>
      <c r="E95" s="266"/>
      <c r="F95" s="1">
        <v>50</v>
      </c>
      <c r="G95" s="1">
        <v>50</v>
      </c>
      <c r="H95" s="5">
        <v>18670</v>
      </c>
      <c r="I95" s="26">
        <f t="shared" si="2"/>
        <v>11202</v>
      </c>
    </row>
    <row r="96" spans="1:9" ht="19.5" customHeight="1" x14ac:dyDescent="0.35">
      <c r="A96" s="4">
        <v>39</v>
      </c>
      <c r="B96" s="6" t="s">
        <v>181</v>
      </c>
      <c r="C96" s="14" t="s">
        <v>182</v>
      </c>
      <c r="D96" s="266"/>
      <c r="E96" s="266"/>
      <c r="F96" s="1">
        <v>65</v>
      </c>
      <c r="G96" s="1">
        <v>50</v>
      </c>
      <c r="H96" s="8">
        <v>18100</v>
      </c>
      <c r="I96" s="26">
        <f t="shared" si="2"/>
        <v>10860</v>
      </c>
    </row>
    <row r="97" spans="1:9" ht="19.5" customHeight="1" x14ac:dyDescent="0.35">
      <c r="A97" s="6">
        <v>40</v>
      </c>
      <c r="B97" s="6" t="s">
        <v>183</v>
      </c>
      <c r="C97" s="14" t="s">
        <v>184</v>
      </c>
      <c r="D97" s="266"/>
      <c r="E97" s="266"/>
      <c r="F97" s="1">
        <v>65</v>
      </c>
      <c r="G97" s="1">
        <v>50</v>
      </c>
      <c r="H97" s="5">
        <v>18770</v>
      </c>
      <c r="I97" s="26">
        <f t="shared" si="2"/>
        <v>11262</v>
      </c>
    </row>
    <row r="98" spans="1:9" ht="19.5" customHeight="1" x14ac:dyDescent="0.35">
      <c r="A98" s="6">
        <v>41</v>
      </c>
      <c r="B98" s="6" t="s">
        <v>185</v>
      </c>
      <c r="C98" s="14" t="s">
        <v>186</v>
      </c>
      <c r="D98" s="266"/>
      <c r="E98" s="266"/>
      <c r="F98" s="1">
        <v>75</v>
      </c>
      <c r="G98" s="1">
        <v>75</v>
      </c>
      <c r="H98" s="8">
        <v>18020</v>
      </c>
      <c r="I98" s="26">
        <f t="shared" si="2"/>
        <v>10812</v>
      </c>
    </row>
    <row r="99" spans="1:9" ht="19.5" customHeight="1" x14ac:dyDescent="0.35">
      <c r="A99" s="4">
        <v>42</v>
      </c>
      <c r="B99" s="6" t="s">
        <v>187</v>
      </c>
      <c r="C99" s="14" t="s">
        <v>188</v>
      </c>
      <c r="D99" s="266"/>
      <c r="E99" s="266"/>
      <c r="F99" s="1">
        <v>75</v>
      </c>
      <c r="G99" s="1">
        <v>75</v>
      </c>
      <c r="H99" s="5">
        <v>18680</v>
      </c>
      <c r="I99" s="26">
        <f t="shared" si="2"/>
        <v>11208</v>
      </c>
    </row>
    <row r="100" spans="1:9" ht="19.5" customHeight="1" x14ac:dyDescent="0.35">
      <c r="A100" s="6">
        <v>43</v>
      </c>
      <c r="B100" s="6" t="s">
        <v>189</v>
      </c>
      <c r="C100" s="14" t="s">
        <v>190</v>
      </c>
      <c r="D100" s="266"/>
      <c r="E100" s="266"/>
      <c r="F100" s="1">
        <v>100</v>
      </c>
      <c r="G100" s="1">
        <v>100</v>
      </c>
      <c r="H100" s="8">
        <v>19100</v>
      </c>
      <c r="I100" s="26">
        <f t="shared" si="2"/>
        <v>11460</v>
      </c>
    </row>
    <row r="101" spans="1:9" ht="19.5" customHeight="1" x14ac:dyDescent="0.35">
      <c r="A101" s="6">
        <v>44</v>
      </c>
      <c r="B101" s="6" t="s">
        <v>191</v>
      </c>
      <c r="C101" s="14" t="s">
        <v>192</v>
      </c>
      <c r="D101" s="266"/>
      <c r="E101" s="266"/>
      <c r="F101" s="1">
        <v>100</v>
      </c>
      <c r="G101" s="1">
        <v>100</v>
      </c>
      <c r="H101" s="5">
        <v>19500</v>
      </c>
      <c r="I101" s="26">
        <f t="shared" si="2"/>
        <v>11700</v>
      </c>
    </row>
    <row r="102" spans="1:9" ht="19.5" customHeight="1" x14ac:dyDescent="0.35">
      <c r="A102" s="4">
        <v>45</v>
      </c>
      <c r="B102" s="6" t="s">
        <v>193</v>
      </c>
      <c r="C102" s="14" t="s">
        <v>194</v>
      </c>
      <c r="D102" s="266"/>
      <c r="E102" s="266"/>
      <c r="F102" s="1">
        <v>100</v>
      </c>
      <c r="G102" s="1">
        <v>100</v>
      </c>
      <c r="H102" s="5">
        <v>14800</v>
      </c>
      <c r="I102" s="26">
        <f t="shared" si="2"/>
        <v>8880</v>
      </c>
    </row>
    <row r="103" spans="1:9" ht="19.5" customHeight="1" x14ac:dyDescent="0.35">
      <c r="A103" s="6">
        <v>46</v>
      </c>
      <c r="B103" s="4" t="s">
        <v>195</v>
      </c>
      <c r="C103" s="18" t="s">
        <v>196</v>
      </c>
      <c r="D103" s="263"/>
      <c r="E103" s="263"/>
      <c r="F103" s="1">
        <v>100</v>
      </c>
      <c r="G103" s="1">
        <v>100</v>
      </c>
      <c r="H103" s="5">
        <v>15000</v>
      </c>
      <c r="I103" s="26">
        <f t="shared" si="2"/>
        <v>9000</v>
      </c>
    </row>
    <row r="104" spans="1:9" ht="19.5" customHeight="1" x14ac:dyDescent="0.35">
      <c r="A104" s="6">
        <v>47</v>
      </c>
      <c r="B104" s="6" t="s">
        <v>197</v>
      </c>
      <c r="C104" s="14" t="s">
        <v>198</v>
      </c>
      <c r="D104" s="262">
        <v>5</v>
      </c>
      <c r="E104" s="262">
        <v>3.75</v>
      </c>
      <c r="F104" s="1">
        <v>80</v>
      </c>
      <c r="G104" s="1">
        <v>65</v>
      </c>
      <c r="H104" s="5">
        <v>24600</v>
      </c>
      <c r="I104" s="26">
        <f t="shared" si="2"/>
        <v>14760</v>
      </c>
    </row>
    <row r="105" spans="1:9" ht="19.5" customHeight="1" x14ac:dyDescent="0.35">
      <c r="A105" s="4">
        <v>48</v>
      </c>
      <c r="B105" s="4"/>
      <c r="C105" s="20" t="s">
        <v>199</v>
      </c>
      <c r="D105" s="266"/>
      <c r="E105" s="266"/>
      <c r="F105" s="1">
        <v>80</v>
      </c>
      <c r="G105" s="1">
        <v>65</v>
      </c>
      <c r="H105" s="5">
        <v>26000</v>
      </c>
      <c r="I105" s="26">
        <f t="shared" si="2"/>
        <v>15600</v>
      </c>
    </row>
    <row r="106" spans="1:9" ht="19.5" customHeight="1" x14ac:dyDescent="0.35">
      <c r="A106" s="6">
        <v>49</v>
      </c>
      <c r="B106" s="6" t="s">
        <v>200</v>
      </c>
      <c r="C106" s="20" t="s">
        <v>201</v>
      </c>
      <c r="D106" s="263"/>
      <c r="E106" s="263"/>
      <c r="F106" s="1">
        <v>80</v>
      </c>
      <c r="G106" s="1">
        <v>65</v>
      </c>
      <c r="H106" s="5">
        <v>23600</v>
      </c>
      <c r="I106" s="26">
        <f t="shared" si="2"/>
        <v>14160</v>
      </c>
    </row>
    <row r="107" spans="1:9" ht="19.5" customHeight="1" x14ac:dyDescent="0.35">
      <c r="A107" s="6">
        <v>50</v>
      </c>
      <c r="B107" s="4" t="s">
        <v>202</v>
      </c>
      <c r="C107" s="18" t="s">
        <v>203</v>
      </c>
      <c r="D107" s="7">
        <v>0.75</v>
      </c>
      <c r="E107" s="7">
        <v>0.56000000000000005</v>
      </c>
      <c r="F107" s="2">
        <v>25</v>
      </c>
      <c r="G107" s="2">
        <v>25</v>
      </c>
      <c r="H107" s="5">
        <v>5170</v>
      </c>
      <c r="I107" s="26">
        <f t="shared" si="2"/>
        <v>3102</v>
      </c>
    </row>
    <row r="108" spans="1:9" ht="19.5" customHeight="1" x14ac:dyDescent="0.35">
      <c r="A108" s="4">
        <v>51</v>
      </c>
      <c r="B108" s="4" t="s">
        <v>204</v>
      </c>
      <c r="C108" s="18" t="s">
        <v>205</v>
      </c>
      <c r="D108" s="262">
        <v>1</v>
      </c>
      <c r="E108" s="262">
        <v>0.75</v>
      </c>
      <c r="F108" s="1">
        <v>40</v>
      </c>
      <c r="G108" s="1">
        <v>40</v>
      </c>
      <c r="H108" s="5">
        <v>9000</v>
      </c>
      <c r="I108" s="26">
        <f t="shared" si="2"/>
        <v>5400</v>
      </c>
    </row>
    <row r="109" spans="1:9" ht="19.5" customHeight="1" x14ac:dyDescent="0.35">
      <c r="A109" s="6">
        <v>52</v>
      </c>
      <c r="B109" s="4"/>
      <c r="C109" s="18" t="s">
        <v>206</v>
      </c>
      <c r="D109" s="263"/>
      <c r="E109" s="263"/>
      <c r="F109" s="1">
        <v>40</v>
      </c>
      <c r="G109" s="1">
        <v>40</v>
      </c>
      <c r="H109" s="5">
        <v>9000</v>
      </c>
      <c r="I109" s="26">
        <f t="shared" si="2"/>
        <v>5400</v>
      </c>
    </row>
    <row r="110" spans="1:9" ht="19.5" customHeight="1" x14ac:dyDescent="0.35">
      <c r="A110" s="6">
        <v>53</v>
      </c>
      <c r="B110" s="4"/>
      <c r="C110" s="20" t="s">
        <v>207</v>
      </c>
      <c r="D110" s="262">
        <v>2</v>
      </c>
      <c r="E110" s="262">
        <v>1.5</v>
      </c>
      <c r="F110" s="1">
        <v>75</v>
      </c>
      <c r="G110" s="1">
        <v>75</v>
      </c>
      <c r="H110" s="5">
        <v>12500</v>
      </c>
      <c r="I110" s="26">
        <f t="shared" si="2"/>
        <v>7500</v>
      </c>
    </row>
    <row r="111" spans="1:9" ht="19.5" customHeight="1" x14ac:dyDescent="0.35">
      <c r="A111" s="4">
        <v>54</v>
      </c>
      <c r="B111" s="4" t="s">
        <v>208</v>
      </c>
      <c r="C111" s="20" t="s">
        <v>209</v>
      </c>
      <c r="D111" s="266"/>
      <c r="E111" s="266"/>
      <c r="F111" s="1">
        <v>75</v>
      </c>
      <c r="G111" s="1">
        <v>75</v>
      </c>
      <c r="H111" s="5">
        <v>12500</v>
      </c>
      <c r="I111" s="26">
        <f t="shared" si="2"/>
        <v>7500</v>
      </c>
    </row>
    <row r="112" spans="1:9" ht="19.5" customHeight="1" x14ac:dyDescent="0.35">
      <c r="A112" s="6">
        <v>55</v>
      </c>
      <c r="B112" s="4" t="s">
        <v>210</v>
      </c>
      <c r="C112" s="20" t="s">
        <v>211</v>
      </c>
      <c r="D112" s="266"/>
      <c r="E112" s="266"/>
      <c r="F112" s="1">
        <v>65</v>
      </c>
      <c r="G112" s="1">
        <v>50</v>
      </c>
      <c r="H112" s="5">
        <v>12200</v>
      </c>
      <c r="I112" s="26">
        <f t="shared" si="2"/>
        <v>7320</v>
      </c>
    </row>
    <row r="113" spans="1:9" ht="19.5" customHeight="1" x14ac:dyDescent="0.35">
      <c r="A113" s="6">
        <v>56</v>
      </c>
      <c r="B113" s="4" t="s">
        <v>212</v>
      </c>
      <c r="C113" s="20" t="s">
        <v>213</v>
      </c>
      <c r="D113" s="263"/>
      <c r="E113" s="263"/>
      <c r="F113" s="1">
        <v>50</v>
      </c>
      <c r="G113" s="1">
        <v>50</v>
      </c>
      <c r="H113" s="5">
        <v>12200</v>
      </c>
      <c r="I113" s="26">
        <f t="shared" si="2"/>
        <v>7320</v>
      </c>
    </row>
    <row r="114" spans="1:9" ht="19.5" customHeight="1" x14ac:dyDescent="0.35">
      <c r="A114" s="300" t="s">
        <v>214</v>
      </c>
      <c r="B114" s="300"/>
      <c r="C114" s="300"/>
      <c r="D114" s="300"/>
      <c r="E114" s="300"/>
      <c r="F114" s="300"/>
      <c r="G114" s="300"/>
      <c r="H114" s="207" t="s">
        <v>109</v>
      </c>
      <c r="I114" s="315" t="s">
        <v>503</v>
      </c>
    </row>
    <row r="115" spans="1:9" ht="19.5" customHeight="1" x14ac:dyDescent="0.35">
      <c r="A115" s="207" t="s">
        <v>2</v>
      </c>
      <c r="B115" s="287" t="s">
        <v>3</v>
      </c>
      <c r="C115" s="298" t="s">
        <v>4</v>
      </c>
      <c r="D115" s="287" t="s">
        <v>5</v>
      </c>
      <c r="E115" s="287"/>
      <c r="F115" s="287" t="s">
        <v>6</v>
      </c>
      <c r="G115" s="287"/>
      <c r="H115" s="259"/>
      <c r="I115" s="315"/>
    </row>
    <row r="116" spans="1:9" ht="19.5" customHeight="1" x14ac:dyDescent="0.35">
      <c r="A116" s="208"/>
      <c r="B116" s="287"/>
      <c r="C116" s="298"/>
      <c r="D116" s="11" t="s">
        <v>9</v>
      </c>
      <c r="E116" s="11" t="s">
        <v>10</v>
      </c>
      <c r="F116" s="11" t="s">
        <v>11</v>
      </c>
      <c r="G116" s="11" t="s">
        <v>12</v>
      </c>
      <c r="H116" s="208"/>
      <c r="I116" s="315"/>
    </row>
    <row r="117" spans="1:9" ht="19.5" customHeight="1" x14ac:dyDescent="0.35">
      <c r="A117" s="4">
        <v>1</v>
      </c>
      <c r="B117" s="4" t="s">
        <v>215</v>
      </c>
      <c r="C117" s="12" t="s">
        <v>216</v>
      </c>
      <c r="D117" s="2">
        <v>0.5</v>
      </c>
      <c r="E117" s="2">
        <v>0.37</v>
      </c>
      <c r="F117" s="2">
        <v>25</v>
      </c>
      <c r="G117" s="2">
        <v>25</v>
      </c>
      <c r="H117" s="13">
        <v>5370</v>
      </c>
      <c r="I117" s="26">
        <f>H117*0.63</f>
        <v>3383.1</v>
      </c>
    </row>
    <row r="118" spans="1:9" ht="19.5" customHeight="1" x14ac:dyDescent="0.35">
      <c r="A118" s="4">
        <v>2</v>
      </c>
      <c r="B118" s="4" t="s">
        <v>217</v>
      </c>
      <c r="C118" s="12" t="s">
        <v>218</v>
      </c>
      <c r="D118" s="2">
        <v>1</v>
      </c>
      <c r="E118" s="2">
        <v>0.75</v>
      </c>
      <c r="F118" s="2">
        <v>25</v>
      </c>
      <c r="G118" s="2">
        <v>25</v>
      </c>
      <c r="H118" s="13">
        <v>7070</v>
      </c>
      <c r="I118" s="148">
        <v>4793</v>
      </c>
    </row>
    <row r="119" spans="1:9" ht="19.5" customHeight="1" x14ac:dyDescent="0.35">
      <c r="A119" s="4">
        <v>3</v>
      </c>
      <c r="B119" s="21" t="s">
        <v>219</v>
      </c>
      <c r="C119" s="22" t="s">
        <v>220</v>
      </c>
      <c r="D119" s="23">
        <v>2</v>
      </c>
      <c r="E119" s="4">
        <v>1.5</v>
      </c>
      <c r="F119" s="4">
        <v>50</v>
      </c>
      <c r="G119" s="4">
        <v>50</v>
      </c>
      <c r="H119" s="4">
        <v>12200</v>
      </c>
      <c r="I119" s="4">
        <f>H119*0.63</f>
        <v>7686</v>
      </c>
    </row>
    <row r="120" spans="1:9" ht="19.5" customHeight="1" x14ac:dyDescent="0.35">
      <c r="A120" s="4">
        <v>4</v>
      </c>
      <c r="B120" s="21" t="s">
        <v>221</v>
      </c>
      <c r="C120" s="22" t="s">
        <v>222</v>
      </c>
      <c r="D120" s="23">
        <v>2</v>
      </c>
      <c r="E120" s="4">
        <v>1.5</v>
      </c>
      <c r="F120" s="4">
        <v>50</v>
      </c>
      <c r="G120" s="4">
        <v>50</v>
      </c>
      <c r="H120" s="4">
        <v>12200</v>
      </c>
      <c r="I120" s="4">
        <f t="shared" ref="I120:I128" si="3">H120*0.63</f>
        <v>7686</v>
      </c>
    </row>
    <row r="121" spans="1:9" ht="19.5" customHeight="1" x14ac:dyDescent="0.35">
      <c r="A121" s="4">
        <v>5</v>
      </c>
      <c r="B121" s="21" t="s">
        <v>223</v>
      </c>
      <c r="C121" s="22" t="s">
        <v>224</v>
      </c>
      <c r="D121" s="23">
        <v>2</v>
      </c>
      <c r="E121" s="4">
        <v>1.5</v>
      </c>
      <c r="F121" s="4">
        <v>65</v>
      </c>
      <c r="G121" s="4">
        <v>50</v>
      </c>
      <c r="H121" s="4">
        <v>12300</v>
      </c>
      <c r="I121" s="4">
        <f t="shared" si="3"/>
        <v>7749</v>
      </c>
    </row>
    <row r="122" spans="1:9" ht="19.5" customHeight="1" x14ac:dyDescent="0.35">
      <c r="A122" s="4">
        <v>6</v>
      </c>
      <c r="B122" s="21" t="s">
        <v>225</v>
      </c>
      <c r="C122" s="22" t="s">
        <v>226</v>
      </c>
      <c r="D122" s="23">
        <v>2</v>
      </c>
      <c r="E122" s="4">
        <v>1.5</v>
      </c>
      <c r="F122" s="4">
        <v>65</v>
      </c>
      <c r="G122" s="4">
        <v>50</v>
      </c>
      <c r="H122" s="4">
        <v>12300</v>
      </c>
      <c r="I122" s="4">
        <f t="shared" si="3"/>
        <v>7749</v>
      </c>
    </row>
    <row r="123" spans="1:9" ht="19.5" customHeight="1" x14ac:dyDescent="0.35">
      <c r="A123" s="4">
        <v>7</v>
      </c>
      <c r="B123" s="21" t="s">
        <v>227</v>
      </c>
      <c r="C123" s="22" t="s">
        <v>228</v>
      </c>
      <c r="D123" s="21">
        <v>3</v>
      </c>
      <c r="E123" s="4">
        <v>2.25</v>
      </c>
      <c r="F123" s="4">
        <v>65</v>
      </c>
      <c r="G123" s="4">
        <v>50</v>
      </c>
      <c r="H123" s="4">
        <v>12900</v>
      </c>
      <c r="I123" s="4">
        <f t="shared" si="3"/>
        <v>8127</v>
      </c>
    </row>
    <row r="124" spans="1:9" ht="19.5" customHeight="1" x14ac:dyDescent="0.35">
      <c r="A124" s="4">
        <v>8</v>
      </c>
      <c r="B124" s="21" t="s">
        <v>229</v>
      </c>
      <c r="C124" s="24" t="s">
        <v>230</v>
      </c>
      <c r="D124" s="21">
        <v>3</v>
      </c>
      <c r="E124" s="4">
        <v>2.25</v>
      </c>
      <c r="F124" s="4">
        <v>65</v>
      </c>
      <c r="G124" s="4">
        <v>50</v>
      </c>
      <c r="H124" s="4">
        <v>13000</v>
      </c>
      <c r="I124" s="4">
        <f t="shared" si="3"/>
        <v>8190</v>
      </c>
    </row>
    <row r="125" spans="1:9" ht="19.5" customHeight="1" x14ac:dyDescent="0.35">
      <c r="A125" s="4">
        <v>9</v>
      </c>
      <c r="B125" s="21" t="s">
        <v>231</v>
      </c>
      <c r="C125" s="24" t="s">
        <v>232</v>
      </c>
      <c r="D125" s="21">
        <v>3</v>
      </c>
      <c r="E125" s="4">
        <v>2.25</v>
      </c>
      <c r="F125" s="4">
        <v>65</v>
      </c>
      <c r="G125" s="4">
        <v>50</v>
      </c>
      <c r="H125" s="4">
        <v>12900</v>
      </c>
      <c r="I125" s="4">
        <f t="shared" si="3"/>
        <v>8127</v>
      </c>
    </row>
    <row r="126" spans="1:9" ht="19.5" customHeight="1" x14ac:dyDescent="0.35">
      <c r="A126" s="4">
        <v>10</v>
      </c>
      <c r="B126" s="21" t="s">
        <v>233</v>
      </c>
      <c r="C126" s="24" t="s">
        <v>234</v>
      </c>
      <c r="D126" s="21">
        <v>3</v>
      </c>
      <c r="E126" s="4">
        <v>2.25</v>
      </c>
      <c r="F126" s="4">
        <v>65</v>
      </c>
      <c r="G126" s="4">
        <v>50</v>
      </c>
      <c r="H126" s="4">
        <v>19300</v>
      </c>
      <c r="I126" s="4">
        <f t="shared" si="3"/>
        <v>12159</v>
      </c>
    </row>
    <row r="127" spans="1:9" ht="19.5" customHeight="1" x14ac:dyDescent="0.35">
      <c r="A127" s="4">
        <v>11</v>
      </c>
      <c r="B127" s="21" t="s">
        <v>235</v>
      </c>
      <c r="C127" s="24" t="s">
        <v>236</v>
      </c>
      <c r="D127" s="21">
        <v>5</v>
      </c>
      <c r="E127" s="1">
        <v>3.75</v>
      </c>
      <c r="F127" s="4">
        <v>65</v>
      </c>
      <c r="G127" s="4">
        <v>50</v>
      </c>
      <c r="H127" s="4">
        <v>18700</v>
      </c>
      <c r="I127" s="4">
        <f t="shared" si="3"/>
        <v>11781</v>
      </c>
    </row>
    <row r="128" spans="1:9" ht="19.5" customHeight="1" x14ac:dyDescent="0.35">
      <c r="A128" s="4">
        <v>12</v>
      </c>
      <c r="B128" s="21" t="s">
        <v>237</v>
      </c>
      <c r="C128" s="24" t="s">
        <v>238</v>
      </c>
      <c r="D128" s="21">
        <v>5</v>
      </c>
      <c r="E128" s="1">
        <v>3.75</v>
      </c>
      <c r="F128" s="4">
        <v>65</v>
      </c>
      <c r="G128" s="4">
        <v>50</v>
      </c>
      <c r="H128" s="4">
        <v>22900</v>
      </c>
      <c r="I128" s="4">
        <f t="shared" si="3"/>
        <v>14427</v>
      </c>
    </row>
    <row r="129" spans="1:9" ht="19.5" customHeight="1" x14ac:dyDescent="0.35">
      <c r="A129" s="300" t="s">
        <v>239</v>
      </c>
      <c r="B129" s="300"/>
      <c r="C129" s="300"/>
      <c r="D129" s="300"/>
      <c r="E129" s="300"/>
      <c r="F129" s="300"/>
      <c r="G129" s="300"/>
      <c r="H129" s="207" t="s">
        <v>109</v>
      </c>
      <c r="I129" s="315" t="s">
        <v>503</v>
      </c>
    </row>
    <row r="130" spans="1:9" ht="19.5" customHeight="1" x14ac:dyDescent="0.35">
      <c r="A130" s="287" t="s">
        <v>2</v>
      </c>
      <c r="B130" s="287" t="s">
        <v>3</v>
      </c>
      <c r="C130" s="298" t="s">
        <v>4</v>
      </c>
      <c r="D130" s="287" t="s">
        <v>5</v>
      </c>
      <c r="E130" s="287"/>
      <c r="F130" s="272" t="s">
        <v>6</v>
      </c>
      <c r="G130" s="273"/>
      <c r="H130" s="259"/>
      <c r="I130" s="315"/>
    </row>
    <row r="131" spans="1:9" ht="19.5" customHeight="1" x14ac:dyDescent="0.35">
      <c r="A131" s="287"/>
      <c r="B131" s="287"/>
      <c r="C131" s="298"/>
      <c r="D131" s="11" t="s">
        <v>9</v>
      </c>
      <c r="E131" s="11" t="s">
        <v>10</v>
      </c>
      <c r="F131" s="274"/>
      <c r="G131" s="275"/>
      <c r="H131" s="208"/>
      <c r="I131" s="315"/>
    </row>
    <row r="132" spans="1:9" ht="19.5" customHeight="1" x14ac:dyDescent="0.35">
      <c r="A132" s="4">
        <v>1</v>
      </c>
      <c r="B132" s="4" t="s">
        <v>240</v>
      </c>
      <c r="C132" s="25" t="s">
        <v>241</v>
      </c>
      <c r="D132" s="4">
        <v>0.5</v>
      </c>
      <c r="E132" s="4"/>
      <c r="F132" s="292">
        <v>32</v>
      </c>
      <c r="G132" s="292"/>
      <c r="H132" s="4">
        <v>8240</v>
      </c>
      <c r="I132" s="26">
        <f t="shared" ref="I132:I154" si="4">H132*0.63</f>
        <v>5191.2</v>
      </c>
    </row>
    <row r="133" spans="1:9" ht="19.5" customHeight="1" x14ac:dyDescent="0.35">
      <c r="A133" s="4">
        <v>2</v>
      </c>
      <c r="B133" s="4" t="s">
        <v>242</v>
      </c>
      <c r="C133" s="25" t="s">
        <v>243</v>
      </c>
      <c r="D133" s="4">
        <v>0.5</v>
      </c>
      <c r="E133" s="4"/>
      <c r="F133" s="292">
        <v>32</v>
      </c>
      <c r="G133" s="292"/>
      <c r="H133" s="4">
        <v>8450</v>
      </c>
      <c r="I133" s="26">
        <f t="shared" si="4"/>
        <v>5323.5</v>
      </c>
    </row>
    <row r="134" spans="1:9" ht="19.5" customHeight="1" x14ac:dyDescent="0.35">
      <c r="A134" s="4">
        <v>3</v>
      </c>
      <c r="B134" s="4" t="s">
        <v>244</v>
      </c>
      <c r="C134" s="25" t="s">
        <v>245</v>
      </c>
      <c r="D134" s="4">
        <v>0.75</v>
      </c>
      <c r="E134" s="4"/>
      <c r="F134" s="292">
        <v>32</v>
      </c>
      <c r="G134" s="292"/>
      <c r="H134" s="4">
        <v>8550</v>
      </c>
      <c r="I134" s="26">
        <f t="shared" si="4"/>
        <v>5386.5</v>
      </c>
    </row>
    <row r="135" spans="1:9" ht="19.5" customHeight="1" x14ac:dyDescent="0.35">
      <c r="A135" s="4">
        <v>4</v>
      </c>
      <c r="B135" s="4" t="s">
        <v>246</v>
      </c>
      <c r="C135" s="25" t="s">
        <v>247</v>
      </c>
      <c r="D135" s="4">
        <v>0.75</v>
      </c>
      <c r="E135" s="4"/>
      <c r="F135" s="292">
        <v>32</v>
      </c>
      <c r="G135" s="292"/>
      <c r="H135" s="4">
        <v>8750</v>
      </c>
      <c r="I135" s="26">
        <f t="shared" si="4"/>
        <v>5512.5</v>
      </c>
    </row>
    <row r="136" spans="1:9" ht="19.5" customHeight="1" x14ac:dyDescent="0.35">
      <c r="A136" s="4">
        <v>5</v>
      </c>
      <c r="B136" s="4" t="s">
        <v>248</v>
      </c>
      <c r="C136" s="25" t="s">
        <v>249</v>
      </c>
      <c r="D136" s="4">
        <v>1</v>
      </c>
      <c r="E136" s="4"/>
      <c r="F136" s="292">
        <v>32</v>
      </c>
      <c r="G136" s="292"/>
      <c r="H136" s="26">
        <v>8800</v>
      </c>
      <c r="I136" s="26">
        <f t="shared" si="4"/>
        <v>5544</v>
      </c>
    </row>
    <row r="137" spans="1:9" ht="19.5" customHeight="1" x14ac:dyDescent="0.35">
      <c r="A137" s="4">
        <v>6</v>
      </c>
      <c r="B137" s="4" t="s">
        <v>250</v>
      </c>
      <c r="C137" s="25" t="s">
        <v>251</v>
      </c>
      <c r="D137" s="4">
        <v>1</v>
      </c>
      <c r="E137" s="4"/>
      <c r="F137" s="292">
        <v>32</v>
      </c>
      <c r="G137" s="292"/>
      <c r="H137" s="26">
        <v>9000</v>
      </c>
      <c r="I137" s="26">
        <f t="shared" si="4"/>
        <v>5670</v>
      </c>
    </row>
    <row r="138" spans="1:9" ht="19.5" customHeight="1" x14ac:dyDescent="0.35">
      <c r="A138" s="4">
        <v>7</v>
      </c>
      <c r="B138" s="4" t="s">
        <v>252</v>
      </c>
      <c r="C138" s="25" t="s">
        <v>253</v>
      </c>
      <c r="D138" s="4">
        <v>1</v>
      </c>
      <c r="E138" s="4"/>
      <c r="F138" s="292">
        <v>32</v>
      </c>
      <c r="G138" s="292"/>
      <c r="H138" s="4">
        <v>9480</v>
      </c>
      <c r="I138" s="26">
        <f t="shared" si="4"/>
        <v>5972.4</v>
      </c>
    </row>
    <row r="139" spans="1:9" ht="19.5" customHeight="1" x14ac:dyDescent="0.35">
      <c r="A139" s="4">
        <v>8</v>
      </c>
      <c r="B139" s="4" t="s">
        <v>254</v>
      </c>
      <c r="C139" s="25" t="s">
        <v>255</v>
      </c>
      <c r="D139" s="4">
        <v>1</v>
      </c>
      <c r="E139" s="4"/>
      <c r="F139" s="292">
        <v>32</v>
      </c>
      <c r="G139" s="292"/>
      <c r="H139" s="4">
        <v>9790</v>
      </c>
      <c r="I139" s="26">
        <f t="shared" si="4"/>
        <v>6167.7</v>
      </c>
    </row>
    <row r="140" spans="1:9" ht="19.5" customHeight="1" x14ac:dyDescent="0.35">
      <c r="A140" s="4">
        <v>9</v>
      </c>
      <c r="B140" s="4" t="s">
        <v>256</v>
      </c>
      <c r="C140" s="25" t="s">
        <v>257</v>
      </c>
      <c r="D140" s="4">
        <v>1.5</v>
      </c>
      <c r="E140" s="4"/>
      <c r="F140" s="292">
        <v>32</v>
      </c>
      <c r="G140" s="292"/>
      <c r="H140" s="4">
        <v>11330</v>
      </c>
      <c r="I140" s="26">
        <f t="shared" si="4"/>
        <v>7137.9</v>
      </c>
    </row>
    <row r="141" spans="1:9" ht="19.5" customHeight="1" x14ac:dyDescent="0.35">
      <c r="A141" s="4">
        <v>10</v>
      </c>
      <c r="B141" s="4" t="s">
        <v>258</v>
      </c>
      <c r="C141" s="25" t="s">
        <v>259</v>
      </c>
      <c r="D141" s="4">
        <v>1.5</v>
      </c>
      <c r="E141" s="4"/>
      <c r="F141" s="292">
        <v>32</v>
      </c>
      <c r="G141" s="292"/>
      <c r="H141" s="4">
        <v>11640</v>
      </c>
      <c r="I141" s="26">
        <f t="shared" si="4"/>
        <v>7333.2</v>
      </c>
    </row>
    <row r="142" spans="1:9" ht="19.5" customHeight="1" x14ac:dyDescent="0.35">
      <c r="A142" s="4">
        <v>11</v>
      </c>
      <c r="B142" s="4" t="s">
        <v>260</v>
      </c>
      <c r="C142" s="25" t="s">
        <v>261</v>
      </c>
      <c r="D142" s="4">
        <v>1.5</v>
      </c>
      <c r="E142" s="4"/>
      <c r="F142" s="292">
        <v>32</v>
      </c>
      <c r="G142" s="292"/>
      <c r="H142" s="4">
        <v>11800</v>
      </c>
      <c r="I142" s="26">
        <f t="shared" si="4"/>
        <v>7434</v>
      </c>
    </row>
    <row r="143" spans="1:9" ht="19.5" customHeight="1" x14ac:dyDescent="0.35">
      <c r="A143" s="4">
        <v>12</v>
      </c>
      <c r="B143" s="4" t="s">
        <v>262</v>
      </c>
      <c r="C143" s="25" t="s">
        <v>263</v>
      </c>
      <c r="D143" s="4">
        <v>1.5</v>
      </c>
      <c r="E143" s="4"/>
      <c r="F143" s="292">
        <v>32</v>
      </c>
      <c r="G143" s="292"/>
      <c r="H143" s="4">
        <v>12670</v>
      </c>
      <c r="I143" s="26">
        <f t="shared" si="4"/>
        <v>7982.1</v>
      </c>
    </row>
    <row r="144" spans="1:9" ht="19.5" customHeight="1" x14ac:dyDescent="0.35">
      <c r="A144" s="4">
        <v>13</v>
      </c>
      <c r="B144" s="4" t="s">
        <v>264</v>
      </c>
      <c r="C144" s="25" t="s">
        <v>265</v>
      </c>
      <c r="D144" s="4">
        <v>2</v>
      </c>
      <c r="E144" s="4"/>
      <c r="F144" s="292">
        <v>40</v>
      </c>
      <c r="G144" s="292"/>
      <c r="H144" s="4">
        <v>14730</v>
      </c>
      <c r="I144" s="26">
        <f t="shared" si="4"/>
        <v>9279.9</v>
      </c>
    </row>
    <row r="145" spans="1:9" ht="19.5" customHeight="1" x14ac:dyDescent="0.35">
      <c r="A145" s="4">
        <v>14</v>
      </c>
      <c r="B145" s="4" t="s">
        <v>266</v>
      </c>
      <c r="C145" s="25" t="s">
        <v>267</v>
      </c>
      <c r="D145" s="4">
        <v>2</v>
      </c>
      <c r="E145" s="4"/>
      <c r="F145" s="292">
        <v>32</v>
      </c>
      <c r="G145" s="292"/>
      <c r="H145" s="4">
        <v>15250</v>
      </c>
      <c r="I145" s="26">
        <f t="shared" si="4"/>
        <v>9607.5</v>
      </c>
    </row>
    <row r="146" spans="1:9" ht="19.5" customHeight="1" x14ac:dyDescent="0.35">
      <c r="A146" s="4">
        <v>15</v>
      </c>
      <c r="B146" s="4" t="s">
        <v>268</v>
      </c>
      <c r="C146" s="25" t="s">
        <v>269</v>
      </c>
      <c r="D146" s="4">
        <v>2</v>
      </c>
      <c r="E146" s="4"/>
      <c r="F146" s="292">
        <v>32</v>
      </c>
      <c r="G146" s="292"/>
      <c r="H146" s="4">
        <v>15860</v>
      </c>
      <c r="I146" s="26">
        <f t="shared" si="4"/>
        <v>9991.7999999999993</v>
      </c>
    </row>
    <row r="147" spans="1:9" ht="19.5" customHeight="1" x14ac:dyDescent="0.35">
      <c r="A147" s="4">
        <v>16</v>
      </c>
      <c r="B147" s="4" t="s">
        <v>270</v>
      </c>
      <c r="C147" s="25" t="s">
        <v>271</v>
      </c>
      <c r="D147" s="4">
        <v>2</v>
      </c>
      <c r="E147" s="4"/>
      <c r="F147" s="292">
        <v>32</v>
      </c>
      <c r="G147" s="292"/>
      <c r="H147" s="4">
        <v>15970</v>
      </c>
      <c r="I147" s="26">
        <f t="shared" si="4"/>
        <v>10061.1</v>
      </c>
    </row>
    <row r="148" spans="1:9" ht="19.5" customHeight="1" x14ac:dyDescent="0.35">
      <c r="A148" s="4">
        <v>17</v>
      </c>
      <c r="B148" s="4" t="s">
        <v>272</v>
      </c>
      <c r="C148" s="25" t="s">
        <v>273</v>
      </c>
      <c r="D148" s="4">
        <v>2</v>
      </c>
      <c r="E148" s="4"/>
      <c r="F148" s="292">
        <v>32</v>
      </c>
      <c r="G148" s="292"/>
      <c r="H148" s="4">
        <v>16480</v>
      </c>
      <c r="I148" s="26">
        <f t="shared" si="4"/>
        <v>10382.4</v>
      </c>
    </row>
    <row r="149" spans="1:9" ht="19.5" customHeight="1" x14ac:dyDescent="0.35">
      <c r="A149" s="4">
        <v>18</v>
      </c>
      <c r="B149" s="4" t="s">
        <v>274</v>
      </c>
      <c r="C149" s="25" t="s">
        <v>275</v>
      </c>
      <c r="D149" s="4">
        <v>2</v>
      </c>
      <c r="E149" s="4"/>
      <c r="F149" s="292">
        <v>65</v>
      </c>
      <c r="G149" s="292"/>
      <c r="H149" s="4">
        <v>14940</v>
      </c>
      <c r="I149" s="26">
        <f t="shared" si="4"/>
        <v>9412.2000000000007</v>
      </c>
    </row>
    <row r="150" spans="1:9" ht="19.5" customHeight="1" x14ac:dyDescent="0.35">
      <c r="A150" s="4">
        <v>19</v>
      </c>
      <c r="B150" s="4" t="s">
        <v>276</v>
      </c>
      <c r="C150" s="25" t="s">
        <v>277</v>
      </c>
      <c r="D150" s="4">
        <v>3</v>
      </c>
      <c r="E150" s="4"/>
      <c r="F150" s="292">
        <v>32</v>
      </c>
      <c r="G150" s="292"/>
      <c r="H150" s="4">
        <v>23500</v>
      </c>
      <c r="I150" s="26">
        <f t="shared" si="4"/>
        <v>14805</v>
      </c>
    </row>
    <row r="151" spans="1:9" ht="19.5" customHeight="1" x14ac:dyDescent="0.35">
      <c r="A151" s="4">
        <v>20</v>
      </c>
      <c r="B151" s="4" t="s">
        <v>278</v>
      </c>
      <c r="C151" s="25" t="s">
        <v>279</v>
      </c>
      <c r="D151" s="4">
        <v>3</v>
      </c>
      <c r="E151" s="4"/>
      <c r="F151" s="292">
        <v>32</v>
      </c>
      <c r="G151" s="292"/>
      <c r="H151" s="4">
        <v>24000</v>
      </c>
      <c r="I151" s="26">
        <f t="shared" si="4"/>
        <v>15120</v>
      </c>
    </row>
    <row r="152" spans="1:9" ht="19.5" customHeight="1" x14ac:dyDescent="0.35">
      <c r="A152" s="4">
        <v>21</v>
      </c>
      <c r="B152" s="4" t="s">
        <v>280</v>
      </c>
      <c r="C152" s="25" t="s">
        <v>281</v>
      </c>
      <c r="D152" s="4">
        <v>3</v>
      </c>
      <c r="E152" s="4"/>
      <c r="F152" s="292">
        <v>32</v>
      </c>
      <c r="G152" s="292"/>
      <c r="H152" s="4">
        <v>24500</v>
      </c>
      <c r="I152" s="26">
        <f t="shared" si="4"/>
        <v>15435</v>
      </c>
    </row>
    <row r="153" spans="1:9" ht="19.5" customHeight="1" x14ac:dyDescent="0.35">
      <c r="A153" s="4">
        <v>22</v>
      </c>
      <c r="B153" s="4" t="s">
        <v>282</v>
      </c>
      <c r="C153" s="25" t="s">
        <v>283</v>
      </c>
      <c r="D153" s="4">
        <v>3</v>
      </c>
      <c r="E153" s="4"/>
      <c r="F153" s="292">
        <v>65</v>
      </c>
      <c r="G153" s="292"/>
      <c r="H153" s="4">
        <v>23690</v>
      </c>
      <c r="I153" s="26">
        <f t="shared" si="4"/>
        <v>14924.7</v>
      </c>
    </row>
    <row r="154" spans="1:9" ht="19.5" customHeight="1" x14ac:dyDescent="0.35">
      <c r="A154" s="4">
        <v>23</v>
      </c>
      <c r="B154" s="4" t="s">
        <v>284</v>
      </c>
      <c r="C154" s="25" t="s">
        <v>283</v>
      </c>
      <c r="D154" s="4">
        <v>3</v>
      </c>
      <c r="E154" s="4"/>
      <c r="F154" s="292">
        <v>65</v>
      </c>
      <c r="G154" s="292"/>
      <c r="H154" s="4">
        <v>15450</v>
      </c>
      <c r="I154" s="26">
        <f t="shared" si="4"/>
        <v>9733.5</v>
      </c>
    </row>
    <row r="155" spans="1:9" ht="19.5" customHeight="1" x14ac:dyDescent="0.35">
      <c r="A155" s="300" t="s">
        <v>285</v>
      </c>
      <c r="B155" s="300"/>
      <c r="C155" s="300"/>
      <c r="D155" s="300"/>
      <c r="E155" s="300"/>
      <c r="F155" s="300"/>
      <c r="G155" s="300"/>
      <c r="H155" s="207" t="s">
        <v>109</v>
      </c>
      <c r="I155" s="315" t="s">
        <v>503</v>
      </c>
    </row>
    <row r="156" spans="1:9" ht="19.5" customHeight="1" x14ac:dyDescent="0.35">
      <c r="A156" s="287" t="s">
        <v>2</v>
      </c>
      <c r="B156" s="287" t="s">
        <v>3</v>
      </c>
      <c r="C156" s="298" t="s">
        <v>4</v>
      </c>
      <c r="D156" s="287" t="s">
        <v>5</v>
      </c>
      <c r="E156" s="287"/>
      <c r="F156" s="287" t="s">
        <v>6</v>
      </c>
      <c r="G156" s="287"/>
      <c r="H156" s="259"/>
      <c r="I156" s="315"/>
    </row>
    <row r="157" spans="1:9" ht="19.5" customHeight="1" x14ac:dyDescent="0.35">
      <c r="A157" s="287"/>
      <c r="B157" s="287"/>
      <c r="C157" s="298"/>
      <c r="D157" s="11" t="s">
        <v>9</v>
      </c>
      <c r="E157" s="11" t="s">
        <v>10</v>
      </c>
      <c r="F157" s="11" t="s">
        <v>11</v>
      </c>
      <c r="G157" s="11" t="s">
        <v>12</v>
      </c>
      <c r="H157" s="208"/>
      <c r="I157" s="315"/>
    </row>
    <row r="158" spans="1:9" ht="19.5" customHeight="1" x14ac:dyDescent="0.35">
      <c r="A158" s="4">
        <v>1</v>
      </c>
      <c r="B158" s="4" t="s">
        <v>286</v>
      </c>
      <c r="C158" s="25" t="s">
        <v>287</v>
      </c>
      <c r="D158" s="4">
        <v>0.5</v>
      </c>
      <c r="E158" s="4"/>
      <c r="F158" s="292">
        <v>32</v>
      </c>
      <c r="G158" s="292"/>
      <c r="H158" s="4">
        <v>6800</v>
      </c>
      <c r="I158" s="4">
        <f t="shared" ref="I158:I172" si="5">H158*0.63</f>
        <v>4284</v>
      </c>
    </row>
    <row r="159" spans="1:9" ht="19.5" customHeight="1" x14ac:dyDescent="0.35">
      <c r="A159" s="4">
        <v>2</v>
      </c>
      <c r="B159" s="4" t="s">
        <v>288</v>
      </c>
      <c r="C159" s="25" t="s">
        <v>289</v>
      </c>
      <c r="D159" s="4">
        <v>0.5</v>
      </c>
      <c r="E159" s="4"/>
      <c r="F159" s="292">
        <v>32</v>
      </c>
      <c r="G159" s="292"/>
      <c r="H159" s="4">
        <v>7600</v>
      </c>
      <c r="I159" s="4">
        <f t="shared" si="5"/>
        <v>4788</v>
      </c>
    </row>
    <row r="160" spans="1:9" ht="19.5" customHeight="1" x14ac:dyDescent="0.35">
      <c r="A160" s="4">
        <v>3</v>
      </c>
      <c r="B160" s="4" t="s">
        <v>290</v>
      </c>
      <c r="C160" s="25" t="s">
        <v>291</v>
      </c>
      <c r="D160" s="4">
        <v>0.75</v>
      </c>
      <c r="E160" s="4"/>
      <c r="F160" s="292">
        <v>32</v>
      </c>
      <c r="G160" s="292"/>
      <c r="H160" s="4">
        <v>7800</v>
      </c>
      <c r="I160" s="4">
        <f t="shared" si="5"/>
        <v>4914</v>
      </c>
    </row>
    <row r="161" spans="1:9" ht="19.5" customHeight="1" x14ac:dyDescent="0.35">
      <c r="A161" s="4">
        <v>4</v>
      </c>
      <c r="B161" s="4" t="s">
        <v>292</v>
      </c>
      <c r="C161" s="25" t="s">
        <v>293</v>
      </c>
      <c r="D161" s="4">
        <v>0.75</v>
      </c>
      <c r="E161" s="4"/>
      <c r="F161" s="292">
        <v>32</v>
      </c>
      <c r="G161" s="292"/>
      <c r="H161" s="4">
        <v>8000</v>
      </c>
      <c r="I161" s="4">
        <f t="shared" si="5"/>
        <v>5040</v>
      </c>
    </row>
    <row r="162" spans="1:9" ht="19.5" customHeight="1" x14ac:dyDescent="0.35">
      <c r="A162" s="4">
        <v>5</v>
      </c>
      <c r="B162" s="4" t="s">
        <v>294</v>
      </c>
      <c r="C162" s="25" t="s">
        <v>295</v>
      </c>
      <c r="D162" s="4">
        <v>1</v>
      </c>
      <c r="E162" s="4"/>
      <c r="F162" s="292">
        <v>32</v>
      </c>
      <c r="G162" s="292"/>
      <c r="H162" s="4">
        <v>8200</v>
      </c>
      <c r="I162" s="4">
        <f t="shared" si="5"/>
        <v>5166</v>
      </c>
    </row>
    <row r="163" spans="1:9" ht="19.5" customHeight="1" x14ac:dyDescent="0.35">
      <c r="A163" s="4">
        <v>6</v>
      </c>
      <c r="B163" s="4" t="s">
        <v>296</v>
      </c>
      <c r="C163" s="25" t="s">
        <v>297</v>
      </c>
      <c r="D163" s="4">
        <v>1</v>
      </c>
      <c r="E163" s="4"/>
      <c r="F163" s="292">
        <v>32</v>
      </c>
      <c r="G163" s="292"/>
      <c r="H163" s="4">
        <v>8400</v>
      </c>
      <c r="I163" s="4">
        <f t="shared" si="5"/>
        <v>5292</v>
      </c>
    </row>
    <row r="164" spans="1:9" ht="19.5" customHeight="1" x14ac:dyDescent="0.35">
      <c r="A164" s="4">
        <v>7</v>
      </c>
      <c r="B164" s="4" t="s">
        <v>298</v>
      </c>
      <c r="C164" s="25" t="s">
        <v>299</v>
      </c>
      <c r="D164" s="4">
        <v>1</v>
      </c>
      <c r="E164" s="4"/>
      <c r="F164" s="292">
        <v>32</v>
      </c>
      <c r="G164" s="292"/>
      <c r="H164" s="4">
        <v>8600</v>
      </c>
      <c r="I164" s="4">
        <f t="shared" si="5"/>
        <v>5418</v>
      </c>
    </row>
    <row r="165" spans="1:9" ht="19.5" customHeight="1" x14ac:dyDescent="0.35">
      <c r="A165" s="4">
        <v>8</v>
      </c>
      <c r="B165" s="4" t="s">
        <v>300</v>
      </c>
      <c r="C165" s="25" t="s">
        <v>301</v>
      </c>
      <c r="D165" s="4">
        <v>1.5</v>
      </c>
      <c r="E165" s="4"/>
      <c r="F165" s="292">
        <v>32</v>
      </c>
      <c r="G165" s="292"/>
      <c r="H165" s="4">
        <v>9000</v>
      </c>
      <c r="I165" s="4">
        <f t="shared" si="5"/>
        <v>5670</v>
      </c>
    </row>
    <row r="166" spans="1:9" ht="19.5" customHeight="1" x14ac:dyDescent="0.35">
      <c r="A166" s="4">
        <v>9</v>
      </c>
      <c r="B166" s="4" t="s">
        <v>302</v>
      </c>
      <c r="C166" s="25" t="s">
        <v>303</v>
      </c>
      <c r="D166" s="4">
        <v>1.5</v>
      </c>
      <c r="E166" s="4"/>
      <c r="F166" s="292">
        <v>32</v>
      </c>
      <c r="G166" s="292"/>
      <c r="H166" s="4">
        <v>10600</v>
      </c>
      <c r="I166" s="4">
        <f t="shared" si="5"/>
        <v>6678</v>
      </c>
    </row>
    <row r="167" spans="1:9" ht="19.5" customHeight="1" x14ac:dyDescent="0.35">
      <c r="A167" s="4">
        <v>10</v>
      </c>
      <c r="B167" s="4" t="s">
        <v>304</v>
      </c>
      <c r="C167" s="25" t="s">
        <v>305</v>
      </c>
      <c r="D167" s="4">
        <v>1.5</v>
      </c>
      <c r="E167" s="4"/>
      <c r="F167" s="292">
        <v>32</v>
      </c>
      <c r="G167" s="292"/>
      <c r="H167" s="4">
        <v>11000</v>
      </c>
      <c r="I167" s="4">
        <f t="shared" si="5"/>
        <v>6930</v>
      </c>
    </row>
    <row r="168" spans="1:9" ht="19.5" customHeight="1" x14ac:dyDescent="0.35">
      <c r="A168" s="4">
        <v>11</v>
      </c>
      <c r="B168" s="4" t="s">
        <v>306</v>
      </c>
      <c r="C168" s="25" t="s">
        <v>307</v>
      </c>
      <c r="D168" s="4">
        <v>2</v>
      </c>
      <c r="E168" s="4"/>
      <c r="F168" s="292">
        <v>32</v>
      </c>
      <c r="G168" s="292"/>
      <c r="H168" s="4">
        <v>13000</v>
      </c>
      <c r="I168" s="4">
        <f t="shared" si="5"/>
        <v>8190</v>
      </c>
    </row>
    <row r="169" spans="1:9" ht="19.5" customHeight="1" x14ac:dyDescent="0.35">
      <c r="A169" s="4">
        <v>12</v>
      </c>
      <c r="B169" s="4" t="s">
        <v>308</v>
      </c>
      <c r="C169" s="25" t="s">
        <v>309</v>
      </c>
      <c r="D169" s="4">
        <v>2</v>
      </c>
      <c r="E169" s="4"/>
      <c r="F169" s="292">
        <v>32</v>
      </c>
      <c r="G169" s="292"/>
      <c r="H169" s="4">
        <v>15500</v>
      </c>
      <c r="I169" s="4">
        <f t="shared" si="5"/>
        <v>9765</v>
      </c>
    </row>
    <row r="170" spans="1:9" ht="19.5" customHeight="1" x14ac:dyDescent="0.35">
      <c r="A170" s="4">
        <v>13</v>
      </c>
      <c r="B170" s="4" t="s">
        <v>310</v>
      </c>
      <c r="C170" s="25" t="s">
        <v>311</v>
      </c>
      <c r="D170" s="4">
        <v>3</v>
      </c>
      <c r="E170" s="4"/>
      <c r="F170" s="292">
        <v>32</v>
      </c>
      <c r="G170" s="292"/>
      <c r="H170" s="4">
        <v>19000</v>
      </c>
      <c r="I170" s="4">
        <f t="shared" si="5"/>
        <v>11970</v>
      </c>
    </row>
    <row r="171" spans="1:9" ht="19.5" customHeight="1" x14ac:dyDescent="0.35">
      <c r="A171" s="4">
        <v>14</v>
      </c>
      <c r="B171" s="4" t="s">
        <v>312</v>
      </c>
      <c r="C171" s="25" t="s">
        <v>313</v>
      </c>
      <c r="D171" s="4">
        <v>3</v>
      </c>
      <c r="E171" s="4"/>
      <c r="F171" s="292">
        <v>32</v>
      </c>
      <c r="G171" s="292"/>
      <c r="H171" s="4">
        <v>20000</v>
      </c>
      <c r="I171" s="4">
        <f t="shared" si="5"/>
        <v>12600</v>
      </c>
    </row>
    <row r="172" spans="1:9" ht="19.5" customHeight="1" x14ac:dyDescent="0.35">
      <c r="A172" s="4">
        <v>15</v>
      </c>
      <c r="B172" s="4" t="s">
        <v>314</v>
      </c>
      <c r="C172" s="25" t="s">
        <v>315</v>
      </c>
      <c r="D172" s="4">
        <v>3</v>
      </c>
      <c r="E172" s="4"/>
      <c r="F172" s="292">
        <v>32</v>
      </c>
      <c r="G172" s="292"/>
      <c r="H172" s="4">
        <v>20500</v>
      </c>
      <c r="I172" s="4">
        <f t="shared" si="5"/>
        <v>12915</v>
      </c>
    </row>
    <row r="173" spans="1:9" ht="19.5" customHeight="1" x14ac:dyDescent="0.35">
      <c r="A173" s="77"/>
      <c r="B173" s="77"/>
      <c r="C173" s="78"/>
      <c r="D173" s="77"/>
      <c r="E173" s="77"/>
      <c r="F173" s="77"/>
      <c r="G173" s="77"/>
      <c r="H173" s="79"/>
      <c r="I173" s="31"/>
    </row>
  </sheetData>
  <mergeCells count="95">
    <mergeCell ref="A1:I3"/>
    <mergeCell ref="A4:I4"/>
    <mergeCell ref="A5:A6"/>
    <mergeCell ref="B5:B6"/>
    <mergeCell ref="C5:C6"/>
    <mergeCell ref="D5:E5"/>
    <mergeCell ref="F5:G5"/>
    <mergeCell ref="H5:H6"/>
    <mergeCell ref="I5:I6"/>
    <mergeCell ref="A55:G55"/>
    <mergeCell ref="H55:H57"/>
    <mergeCell ref="I55:I57"/>
    <mergeCell ref="A56:A57"/>
    <mergeCell ref="B56:B57"/>
    <mergeCell ref="C56:C57"/>
    <mergeCell ref="D56:E56"/>
    <mergeCell ref="F56:G56"/>
    <mergeCell ref="D58:D59"/>
    <mergeCell ref="E58:E59"/>
    <mergeCell ref="D61:D66"/>
    <mergeCell ref="E61:E66"/>
    <mergeCell ref="D67:D73"/>
    <mergeCell ref="E67:E73"/>
    <mergeCell ref="D74:D91"/>
    <mergeCell ref="E74:E91"/>
    <mergeCell ref="D92:D103"/>
    <mergeCell ref="E92:E103"/>
    <mergeCell ref="D104:D106"/>
    <mergeCell ref="E104:E106"/>
    <mergeCell ref="D108:D109"/>
    <mergeCell ref="E108:E109"/>
    <mergeCell ref="D110:D113"/>
    <mergeCell ref="E110:E113"/>
    <mergeCell ref="A114:G114"/>
    <mergeCell ref="I114:I116"/>
    <mergeCell ref="A115:A116"/>
    <mergeCell ref="B115:B116"/>
    <mergeCell ref="C115:C116"/>
    <mergeCell ref="D115:E115"/>
    <mergeCell ref="F115:G115"/>
    <mergeCell ref="H114:H116"/>
    <mergeCell ref="F137:G137"/>
    <mergeCell ref="A129:G129"/>
    <mergeCell ref="H129:H131"/>
    <mergeCell ref="I129:I131"/>
    <mergeCell ref="A130:A131"/>
    <mergeCell ref="B130:B131"/>
    <mergeCell ref="C130:C131"/>
    <mergeCell ref="D130:E130"/>
    <mergeCell ref="F130:G131"/>
    <mergeCell ref="F132:G132"/>
    <mergeCell ref="F133:G133"/>
    <mergeCell ref="F134:G134"/>
    <mergeCell ref="F135:G135"/>
    <mergeCell ref="F136:G136"/>
    <mergeCell ref="F149:G149"/>
    <mergeCell ref="F138:G138"/>
    <mergeCell ref="F139:G139"/>
    <mergeCell ref="F140:G140"/>
    <mergeCell ref="F141:G141"/>
    <mergeCell ref="F142:G142"/>
    <mergeCell ref="F143:G143"/>
    <mergeCell ref="F144:G144"/>
    <mergeCell ref="F145:G145"/>
    <mergeCell ref="F146:G146"/>
    <mergeCell ref="F147:G147"/>
    <mergeCell ref="F148:G148"/>
    <mergeCell ref="F150:G150"/>
    <mergeCell ref="F151:G151"/>
    <mergeCell ref="F152:G152"/>
    <mergeCell ref="F153:G153"/>
    <mergeCell ref="F154:G154"/>
    <mergeCell ref="F163:G163"/>
    <mergeCell ref="H155:H157"/>
    <mergeCell ref="I155:I157"/>
    <mergeCell ref="A156:A157"/>
    <mergeCell ref="B156:B157"/>
    <mergeCell ref="C156:C157"/>
    <mergeCell ref="D156:E156"/>
    <mergeCell ref="F156:G156"/>
    <mergeCell ref="A155:G155"/>
    <mergeCell ref="F158:G158"/>
    <mergeCell ref="F159:G159"/>
    <mergeCell ref="F160:G160"/>
    <mergeCell ref="F161:G161"/>
    <mergeCell ref="F162:G162"/>
    <mergeCell ref="F170:G170"/>
    <mergeCell ref="F171:G171"/>
    <mergeCell ref="F172:G172"/>
    <mergeCell ref="F164:G164"/>
    <mergeCell ref="F165:G165"/>
    <mergeCell ref="F166:G166"/>
    <mergeCell ref="F167:G167"/>
    <mergeCell ref="F168:G168"/>
    <mergeCell ref="F169:G169"/>
  </mergeCells>
  <conditionalFormatting sqref="B1:B173">
    <cfRule type="duplicateValues" dxfId="36" priority="1"/>
    <cfRule type="duplicateValues" dxfId="35" priority="2"/>
  </conditionalFormatting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172"/>
  <sheetViews>
    <sheetView topLeftCell="A104" workbookViewId="0">
      <selection activeCell="I118" sqref="I118"/>
    </sheetView>
  </sheetViews>
  <sheetFormatPr defaultRowHeight="17.25" customHeight="1" x14ac:dyDescent="0.35"/>
  <cols>
    <col min="2" max="2" width="13.453125" customWidth="1"/>
    <col min="3" max="3" width="17" customWidth="1"/>
    <col min="10" max="10" width="9.1796875" customWidth="1"/>
  </cols>
  <sheetData>
    <row r="1" spans="1:10" ht="17.25" customHeight="1" x14ac:dyDescent="0.35">
      <c r="A1" s="203" t="s">
        <v>0</v>
      </c>
      <c r="B1" s="204"/>
      <c r="C1" s="204"/>
      <c r="D1" s="204"/>
      <c r="E1" s="204"/>
      <c r="F1" s="204"/>
      <c r="G1" s="204"/>
      <c r="H1" s="204"/>
      <c r="I1" s="204"/>
      <c r="J1" s="204"/>
    </row>
    <row r="2" spans="1:10" ht="17.25" customHeight="1" x14ac:dyDescent="0.35">
      <c r="A2" s="203"/>
      <c r="B2" s="204"/>
      <c r="C2" s="204"/>
      <c r="D2" s="204"/>
      <c r="E2" s="204"/>
      <c r="F2" s="204"/>
      <c r="G2" s="204"/>
      <c r="H2" s="204"/>
      <c r="I2" s="204"/>
      <c r="J2" s="204"/>
    </row>
    <row r="3" spans="1:10" ht="17.25" customHeight="1" x14ac:dyDescent="0.35">
      <c r="A3" s="203"/>
      <c r="B3" s="204"/>
      <c r="C3" s="204"/>
      <c r="D3" s="204"/>
      <c r="E3" s="204"/>
      <c r="F3" s="204"/>
      <c r="G3" s="204"/>
      <c r="H3" s="204"/>
      <c r="I3" s="204"/>
      <c r="J3" s="204"/>
    </row>
    <row r="4" spans="1:10" ht="30" customHeight="1" x14ac:dyDescent="0.35">
      <c r="A4" s="205" t="s">
        <v>507</v>
      </c>
      <c r="B4" s="206"/>
      <c r="C4" s="206"/>
      <c r="D4" s="206"/>
      <c r="E4" s="206"/>
      <c r="F4" s="206"/>
      <c r="G4" s="206"/>
      <c r="H4" s="206"/>
      <c r="I4" s="206"/>
      <c r="J4" s="206"/>
    </row>
    <row r="5" spans="1:10" ht="17.25" customHeight="1" x14ac:dyDescent="0.35">
      <c r="A5" s="287" t="s">
        <v>2</v>
      </c>
      <c r="B5" s="287" t="s">
        <v>3</v>
      </c>
      <c r="C5" s="287" t="s">
        <v>4</v>
      </c>
      <c r="D5" s="287" t="s">
        <v>5</v>
      </c>
      <c r="E5" s="287"/>
      <c r="F5" s="287" t="s">
        <v>6</v>
      </c>
      <c r="G5" s="287"/>
      <c r="H5" s="287" t="s">
        <v>7</v>
      </c>
      <c r="I5" s="315" t="s">
        <v>334</v>
      </c>
      <c r="J5" s="315"/>
    </row>
    <row r="6" spans="1:10" ht="17.25" customHeight="1" x14ac:dyDescent="0.35">
      <c r="A6" s="287"/>
      <c r="B6" s="287"/>
      <c r="C6" s="287"/>
      <c r="D6" s="11" t="s">
        <v>9</v>
      </c>
      <c r="E6" s="11" t="s">
        <v>10</v>
      </c>
      <c r="F6" s="11" t="s">
        <v>11</v>
      </c>
      <c r="G6" s="11" t="s">
        <v>12</v>
      </c>
      <c r="H6" s="287"/>
      <c r="I6" s="41">
        <v>0.38</v>
      </c>
      <c r="J6" s="41">
        <v>0.03</v>
      </c>
    </row>
    <row r="7" spans="1:10" ht="17.25" customHeight="1" x14ac:dyDescent="0.35">
      <c r="A7" s="6">
        <v>1</v>
      </c>
      <c r="B7" s="4" t="s">
        <v>13</v>
      </c>
      <c r="C7" s="12" t="s">
        <v>14</v>
      </c>
      <c r="D7" s="2">
        <v>0.5</v>
      </c>
      <c r="E7" s="2">
        <v>0.37</v>
      </c>
      <c r="F7" s="2">
        <v>25</v>
      </c>
      <c r="G7" s="2">
        <v>25</v>
      </c>
      <c r="H7" s="13">
        <v>2640</v>
      </c>
      <c r="I7" s="297">
        <f>H7*0.63</f>
        <v>1663.2</v>
      </c>
      <c r="J7" s="297"/>
    </row>
    <row r="8" spans="1:10" ht="17.25" customHeight="1" x14ac:dyDescent="0.35">
      <c r="A8" s="6">
        <v>2</v>
      </c>
      <c r="B8" s="4" t="s">
        <v>15</v>
      </c>
      <c r="C8" s="12" t="s">
        <v>16</v>
      </c>
      <c r="D8" s="2">
        <v>1</v>
      </c>
      <c r="E8" s="2">
        <v>0.75</v>
      </c>
      <c r="F8" s="2">
        <v>25</v>
      </c>
      <c r="G8" s="2">
        <v>25</v>
      </c>
      <c r="H8" s="13">
        <v>3420</v>
      </c>
      <c r="I8" s="297">
        <f>H8*0.63</f>
        <v>2154.6</v>
      </c>
      <c r="J8" s="297"/>
    </row>
    <row r="9" spans="1:10" ht="17.25" customHeight="1" x14ac:dyDescent="0.35">
      <c r="A9" s="4">
        <v>3</v>
      </c>
      <c r="B9" s="4" t="s">
        <v>17</v>
      </c>
      <c r="C9" s="12" t="s">
        <v>18</v>
      </c>
      <c r="D9" s="2">
        <v>0.5</v>
      </c>
      <c r="E9" s="2">
        <v>0.37</v>
      </c>
      <c r="F9" s="2">
        <v>25</v>
      </c>
      <c r="G9" s="2">
        <v>25</v>
      </c>
      <c r="H9" s="13">
        <v>2840</v>
      </c>
      <c r="I9" s="297">
        <f>H9*0.63</f>
        <v>1789.2</v>
      </c>
      <c r="J9" s="297"/>
    </row>
    <row r="10" spans="1:10" ht="17.25" customHeight="1" x14ac:dyDescent="0.35">
      <c r="A10" s="6">
        <v>4</v>
      </c>
      <c r="B10" s="4" t="s">
        <v>19</v>
      </c>
      <c r="C10" s="12" t="s">
        <v>20</v>
      </c>
      <c r="D10" s="2">
        <v>1</v>
      </c>
      <c r="E10" s="2">
        <v>0.75</v>
      </c>
      <c r="F10" s="2">
        <v>25</v>
      </c>
      <c r="G10" s="2">
        <v>25</v>
      </c>
      <c r="H10" s="13">
        <v>3660</v>
      </c>
      <c r="I10" s="297">
        <f>H10*0.63</f>
        <v>2305.8000000000002</v>
      </c>
      <c r="J10" s="297"/>
    </row>
    <row r="11" spans="1:10" ht="17.25" customHeight="1" x14ac:dyDescent="0.35">
      <c r="A11" s="6">
        <v>5</v>
      </c>
      <c r="B11" s="6" t="s">
        <v>21</v>
      </c>
      <c r="C11" s="14" t="s">
        <v>22</v>
      </c>
      <c r="D11" s="2">
        <v>0.5</v>
      </c>
      <c r="E11" s="2">
        <v>0.37</v>
      </c>
      <c r="F11" s="2">
        <v>25</v>
      </c>
      <c r="G11" s="2">
        <v>25</v>
      </c>
      <c r="H11" s="8">
        <v>3160</v>
      </c>
      <c r="I11" s="26">
        <f>H11*0.62</f>
        <v>1959.2</v>
      </c>
      <c r="J11" s="26">
        <f>I11*0.97</f>
        <v>1900.424</v>
      </c>
    </row>
    <row r="12" spans="1:10" ht="17.25" customHeight="1" x14ac:dyDescent="0.35">
      <c r="A12" s="6">
        <v>6</v>
      </c>
      <c r="B12" s="6" t="s">
        <v>23</v>
      </c>
      <c r="C12" s="14" t="s">
        <v>24</v>
      </c>
      <c r="D12" s="2">
        <v>1</v>
      </c>
      <c r="E12" s="2">
        <v>0.75</v>
      </c>
      <c r="F12" s="2">
        <v>25</v>
      </c>
      <c r="G12" s="2">
        <v>25</v>
      </c>
      <c r="H12" s="8">
        <v>4120</v>
      </c>
      <c r="I12" s="26">
        <f t="shared" ref="I12:I25" si="0">H12*0.62</f>
        <v>2554.4</v>
      </c>
      <c r="J12" s="26">
        <f t="shared" ref="J12:J25" si="1">I12*0.97</f>
        <v>2477.768</v>
      </c>
    </row>
    <row r="13" spans="1:10" ht="17.25" customHeight="1" x14ac:dyDescent="0.35">
      <c r="A13" s="4">
        <v>7</v>
      </c>
      <c r="B13" s="4" t="s">
        <v>25</v>
      </c>
      <c r="C13" s="12" t="s">
        <v>26</v>
      </c>
      <c r="D13" s="2">
        <v>1.5</v>
      </c>
      <c r="E13" s="2">
        <v>1</v>
      </c>
      <c r="F13" s="2">
        <v>25</v>
      </c>
      <c r="G13" s="2">
        <v>25</v>
      </c>
      <c r="H13" s="8">
        <v>5750</v>
      </c>
      <c r="I13" s="26">
        <f t="shared" si="0"/>
        <v>3565</v>
      </c>
      <c r="J13" s="26">
        <f t="shared" si="1"/>
        <v>3458.0499999999997</v>
      </c>
    </row>
    <row r="14" spans="1:10" ht="17.25" customHeight="1" x14ac:dyDescent="0.35">
      <c r="A14" s="6">
        <v>8</v>
      </c>
      <c r="B14" s="6" t="s">
        <v>27</v>
      </c>
      <c r="C14" s="14" t="s">
        <v>28</v>
      </c>
      <c r="D14" s="2">
        <v>0.5</v>
      </c>
      <c r="E14" s="2">
        <v>0.37</v>
      </c>
      <c r="F14" s="2">
        <v>25</v>
      </c>
      <c r="G14" s="2">
        <v>25</v>
      </c>
      <c r="H14" s="8">
        <v>3520</v>
      </c>
      <c r="I14" s="26">
        <f t="shared" si="0"/>
        <v>2182.4</v>
      </c>
      <c r="J14" s="26">
        <f t="shared" si="1"/>
        <v>2116.9279999999999</v>
      </c>
    </row>
    <row r="15" spans="1:10" ht="17.25" customHeight="1" x14ac:dyDescent="0.35">
      <c r="A15" s="6">
        <v>9</v>
      </c>
      <c r="B15" s="4" t="s">
        <v>29</v>
      </c>
      <c r="C15" s="15" t="s">
        <v>30</v>
      </c>
      <c r="D15" s="2">
        <v>1</v>
      </c>
      <c r="E15" s="2">
        <v>0.75</v>
      </c>
      <c r="F15" s="2">
        <v>25</v>
      </c>
      <c r="G15" s="2">
        <v>25</v>
      </c>
      <c r="H15" s="8">
        <v>3660</v>
      </c>
      <c r="I15" s="26">
        <f t="shared" si="0"/>
        <v>2269.1999999999998</v>
      </c>
      <c r="J15" s="26">
        <f t="shared" si="1"/>
        <v>2201.1239999999998</v>
      </c>
    </row>
    <row r="16" spans="1:10" ht="17.25" customHeight="1" x14ac:dyDescent="0.35">
      <c r="A16" s="6">
        <v>10</v>
      </c>
      <c r="B16" s="4" t="s">
        <v>31</v>
      </c>
      <c r="C16" s="12" t="s">
        <v>32</v>
      </c>
      <c r="D16" s="2">
        <v>1</v>
      </c>
      <c r="E16" s="2">
        <v>0.75</v>
      </c>
      <c r="F16" s="2">
        <v>25</v>
      </c>
      <c r="G16" s="2">
        <v>25</v>
      </c>
      <c r="H16" s="8">
        <v>4220</v>
      </c>
      <c r="I16" s="26">
        <f t="shared" si="0"/>
        <v>2616.4</v>
      </c>
      <c r="J16" s="26">
        <f t="shared" si="1"/>
        <v>2537.9079999999999</v>
      </c>
    </row>
    <row r="17" spans="1:10" ht="17.25" customHeight="1" x14ac:dyDescent="0.35">
      <c r="A17" s="4">
        <v>11</v>
      </c>
      <c r="B17" s="6" t="s">
        <v>33</v>
      </c>
      <c r="C17" s="14" t="s">
        <v>34</v>
      </c>
      <c r="D17" s="2">
        <v>0.75</v>
      </c>
      <c r="E17" s="2">
        <v>0.56000000000000005</v>
      </c>
      <c r="F17" s="2">
        <v>25</v>
      </c>
      <c r="G17" s="2">
        <v>25</v>
      </c>
      <c r="H17" s="8">
        <v>4080</v>
      </c>
      <c r="I17" s="26">
        <f t="shared" si="0"/>
        <v>2529.6</v>
      </c>
      <c r="J17" s="26">
        <f t="shared" si="1"/>
        <v>2453.712</v>
      </c>
    </row>
    <row r="18" spans="1:10" ht="17.25" customHeight="1" x14ac:dyDescent="0.35">
      <c r="A18" s="6">
        <v>12</v>
      </c>
      <c r="B18" s="4" t="s">
        <v>35</v>
      </c>
      <c r="C18" s="16" t="s">
        <v>36</v>
      </c>
      <c r="D18" s="2">
        <v>1</v>
      </c>
      <c r="E18" s="2">
        <v>0.75</v>
      </c>
      <c r="F18" s="2">
        <v>25</v>
      </c>
      <c r="G18" s="2">
        <v>25</v>
      </c>
      <c r="H18" s="8">
        <v>4730</v>
      </c>
      <c r="I18" s="26">
        <f t="shared" si="0"/>
        <v>2932.6</v>
      </c>
      <c r="J18" s="26">
        <f t="shared" si="1"/>
        <v>2844.6219999999998</v>
      </c>
    </row>
    <row r="19" spans="1:10" ht="17.25" customHeight="1" x14ac:dyDescent="0.35">
      <c r="A19" s="6">
        <v>13</v>
      </c>
      <c r="B19" s="4" t="s">
        <v>37</v>
      </c>
      <c r="C19" s="16" t="s">
        <v>38</v>
      </c>
      <c r="D19" s="2">
        <v>1</v>
      </c>
      <c r="E19" s="2">
        <v>0.75</v>
      </c>
      <c r="F19" s="2">
        <v>25</v>
      </c>
      <c r="G19" s="2">
        <v>25</v>
      </c>
      <c r="H19" s="8">
        <v>4730</v>
      </c>
      <c r="I19" s="26">
        <f t="shared" si="0"/>
        <v>2932.6</v>
      </c>
      <c r="J19" s="26">
        <f t="shared" si="1"/>
        <v>2844.6219999999998</v>
      </c>
    </row>
    <row r="20" spans="1:10" ht="17.25" customHeight="1" x14ac:dyDescent="0.35">
      <c r="A20" s="6">
        <v>14</v>
      </c>
      <c r="B20" s="6" t="s">
        <v>39</v>
      </c>
      <c r="C20" s="14" t="s">
        <v>40</v>
      </c>
      <c r="D20" s="2">
        <v>1</v>
      </c>
      <c r="E20" s="2">
        <v>0.75</v>
      </c>
      <c r="F20" s="2">
        <v>25</v>
      </c>
      <c r="G20" s="2">
        <v>25</v>
      </c>
      <c r="H20" s="8">
        <v>5170</v>
      </c>
      <c r="I20" s="26">
        <f t="shared" si="0"/>
        <v>3205.4</v>
      </c>
      <c r="J20" s="26">
        <f t="shared" si="1"/>
        <v>3109.2379999999998</v>
      </c>
    </row>
    <row r="21" spans="1:10" ht="17.25" customHeight="1" x14ac:dyDescent="0.35">
      <c r="A21" s="4">
        <v>15</v>
      </c>
      <c r="B21" s="6" t="s">
        <v>41</v>
      </c>
      <c r="C21" s="14" t="s">
        <v>42</v>
      </c>
      <c r="D21" s="2">
        <v>1</v>
      </c>
      <c r="E21" s="2">
        <v>0.75</v>
      </c>
      <c r="F21" s="2">
        <v>25</v>
      </c>
      <c r="G21" s="2">
        <v>25</v>
      </c>
      <c r="H21" s="8">
        <v>4670</v>
      </c>
      <c r="I21" s="26">
        <f t="shared" si="0"/>
        <v>2895.4</v>
      </c>
      <c r="J21" s="26">
        <f t="shared" si="1"/>
        <v>2808.538</v>
      </c>
    </row>
    <row r="22" spans="1:10" ht="17.25" customHeight="1" x14ac:dyDescent="0.35">
      <c r="A22" s="6">
        <v>16</v>
      </c>
      <c r="B22" s="4" t="s">
        <v>43</v>
      </c>
      <c r="C22" s="12" t="s">
        <v>44</v>
      </c>
      <c r="D22" s="2">
        <v>1.2</v>
      </c>
      <c r="E22" s="2">
        <v>0.9</v>
      </c>
      <c r="F22" s="2">
        <v>25</v>
      </c>
      <c r="G22" s="2">
        <v>25</v>
      </c>
      <c r="H22" s="8">
        <v>6650</v>
      </c>
      <c r="I22" s="26">
        <f t="shared" si="0"/>
        <v>4123</v>
      </c>
      <c r="J22" s="26">
        <f t="shared" si="1"/>
        <v>3999.31</v>
      </c>
    </row>
    <row r="23" spans="1:10" ht="17.25" customHeight="1" x14ac:dyDescent="0.35">
      <c r="A23" s="6">
        <v>17</v>
      </c>
      <c r="B23" s="6" t="s">
        <v>45</v>
      </c>
      <c r="C23" s="14" t="s">
        <v>46</v>
      </c>
      <c r="D23" s="2">
        <v>1.5</v>
      </c>
      <c r="E23" s="2">
        <v>1.1000000000000001</v>
      </c>
      <c r="F23" s="2">
        <v>25</v>
      </c>
      <c r="G23" s="2">
        <v>25</v>
      </c>
      <c r="H23" s="8">
        <v>8150</v>
      </c>
      <c r="I23" s="26">
        <f t="shared" si="0"/>
        <v>5053</v>
      </c>
      <c r="J23" s="26">
        <f t="shared" si="1"/>
        <v>4901.41</v>
      </c>
    </row>
    <row r="24" spans="1:10" ht="17.25" customHeight="1" x14ac:dyDescent="0.35">
      <c r="A24" s="6">
        <v>18</v>
      </c>
      <c r="B24" s="6" t="s">
        <v>47</v>
      </c>
      <c r="C24" s="14" t="s">
        <v>48</v>
      </c>
      <c r="D24" s="2">
        <v>2</v>
      </c>
      <c r="E24" s="2">
        <v>1.5</v>
      </c>
      <c r="F24" s="2">
        <v>25</v>
      </c>
      <c r="G24" s="2">
        <v>25</v>
      </c>
      <c r="H24" s="8">
        <v>9190</v>
      </c>
      <c r="I24" s="26">
        <f t="shared" si="0"/>
        <v>5697.8</v>
      </c>
      <c r="J24" s="26">
        <f t="shared" si="1"/>
        <v>5526.866</v>
      </c>
    </row>
    <row r="25" spans="1:10" ht="17.25" customHeight="1" x14ac:dyDescent="0.35">
      <c r="A25" s="4">
        <v>19</v>
      </c>
      <c r="B25" s="6" t="s">
        <v>49</v>
      </c>
      <c r="C25" s="14" t="s">
        <v>50</v>
      </c>
      <c r="D25" s="2">
        <v>0.5</v>
      </c>
      <c r="E25" s="2">
        <v>0.37</v>
      </c>
      <c r="F25" s="2">
        <v>25</v>
      </c>
      <c r="G25" s="2">
        <v>25</v>
      </c>
      <c r="H25" s="8">
        <v>3310</v>
      </c>
      <c r="I25" s="26">
        <f t="shared" si="0"/>
        <v>2052.1999999999998</v>
      </c>
      <c r="J25" s="26">
        <f t="shared" si="1"/>
        <v>1990.6339999999998</v>
      </c>
    </row>
    <row r="26" spans="1:10" ht="17.25" customHeight="1" x14ac:dyDescent="0.35">
      <c r="A26" s="6">
        <v>20</v>
      </c>
      <c r="B26" s="4" t="s">
        <v>51</v>
      </c>
      <c r="C26" s="12" t="s">
        <v>52</v>
      </c>
      <c r="D26" s="2">
        <v>0.5</v>
      </c>
      <c r="E26" s="2">
        <v>0.37</v>
      </c>
      <c r="F26" s="2">
        <v>25</v>
      </c>
      <c r="G26" s="2">
        <v>25</v>
      </c>
      <c r="H26" s="10">
        <v>4380</v>
      </c>
      <c r="I26" s="297">
        <f>H26*0.63</f>
        <v>2759.4</v>
      </c>
      <c r="J26" s="297"/>
    </row>
    <row r="27" spans="1:10" ht="17.25" customHeight="1" x14ac:dyDescent="0.35">
      <c r="A27" s="6">
        <v>21</v>
      </c>
      <c r="B27" s="4" t="s">
        <v>53</v>
      </c>
      <c r="C27" s="12" t="s">
        <v>54</v>
      </c>
      <c r="D27" s="2">
        <v>1</v>
      </c>
      <c r="E27" s="2">
        <v>0.75</v>
      </c>
      <c r="F27" s="2">
        <v>25</v>
      </c>
      <c r="G27" s="2">
        <v>25</v>
      </c>
      <c r="H27" s="10">
        <v>5300</v>
      </c>
      <c r="I27" s="297">
        <f>H27*0.63</f>
        <v>3339</v>
      </c>
      <c r="J27" s="297"/>
    </row>
    <row r="28" spans="1:10" ht="17.25" customHeight="1" x14ac:dyDescent="0.35">
      <c r="A28" s="6">
        <v>22</v>
      </c>
      <c r="B28" s="6" t="s">
        <v>55</v>
      </c>
      <c r="C28" s="14" t="s">
        <v>56</v>
      </c>
      <c r="D28" s="2">
        <v>1.1000000000000001</v>
      </c>
      <c r="E28" s="2">
        <v>0.8</v>
      </c>
      <c r="F28" s="2">
        <v>25</v>
      </c>
      <c r="G28" s="2">
        <v>25</v>
      </c>
      <c r="H28" s="8">
        <v>5040</v>
      </c>
      <c r="I28" s="26">
        <f>H28*0.62</f>
        <v>3124.8</v>
      </c>
      <c r="J28" s="26">
        <f>I28*0.97</f>
        <v>3031.056</v>
      </c>
    </row>
    <row r="29" spans="1:10" ht="17.25" customHeight="1" x14ac:dyDescent="0.35">
      <c r="A29" s="4">
        <v>23</v>
      </c>
      <c r="B29" s="6" t="s">
        <v>57</v>
      </c>
      <c r="C29" s="14" t="s">
        <v>58</v>
      </c>
      <c r="D29" s="2">
        <v>1.1000000000000001</v>
      </c>
      <c r="E29" s="2">
        <v>0.8</v>
      </c>
      <c r="F29" s="2">
        <v>25</v>
      </c>
      <c r="G29" s="2">
        <v>25</v>
      </c>
      <c r="H29" s="8">
        <v>5150</v>
      </c>
      <c r="I29" s="26">
        <f>H29*0.62</f>
        <v>3193</v>
      </c>
      <c r="J29" s="26">
        <f>I29*0.97</f>
        <v>3097.21</v>
      </c>
    </row>
    <row r="30" spans="1:10" ht="17.25" customHeight="1" x14ac:dyDescent="0.35">
      <c r="A30" s="6">
        <v>24</v>
      </c>
      <c r="B30" s="4" t="s">
        <v>59</v>
      </c>
      <c r="C30" s="16" t="s">
        <v>60</v>
      </c>
      <c r="D30" s="2">
        <v>1.25</v>
      </c>
      <c r="E30" s="2">
        <v>0.94</v>
      </c>
      <c r="F30" s="2">
        <v>25</v>
      </c>
      <c r="G30" s="2">
        <v>25</v>
      </c>
      <c r="H30" s="8">
        <v>6630</v>
      </c>
      <c r="I30" s="26">
        <f>H30*0.62</f>
        <v>4110.6000000000004</v>
      </c>
      <c r="J30" s="26">
        <f>I30*0.97</f>
        <v>3987.2820000000002</v>
      </c>
    </row>
    <row r="31" spans="1:10" ht="17.25" customHeight="1" x14ac:dyDescent="0.35">
      <c r="A31" s="6">
        <v>25</v>
      </c>
      <c r="B31" s="6" t="s">
        <v>61</v>
      </c>
      <c r="C31" s="14" t="s">
        <v>62</v>
      </c>
      <c r="D31" s="17">
        <v>0.5</v>
      </c>
      <c r="E31" s="17">
        <v>0.37</v>
      </c>
      <c r="F31" s="17">
        <v>25</v>
      </c>
      <c r="G31" s="17">
        <v>25</v>
      </c>
      <c r="H31" s="9">
        <v>4950</v>
      </c>
      <c r="I31" s="297">
        <f>H31*0.63</f>
        <v>3118.5</v>
      </c>
      <c r="J31" s="297"/>
    </row>
    <row r="32" spans="1:10" ht="17.25" customHeight="1" x14ac:dyDescent="0.35">
      <c r="A32" s="6">
        <v>26</v>
      </c>
      <c r="B32" s="6" t="s">
        <v>63</v>
      </c>
      <c r="C32" s="14" t="s">
        <v>64</v>
      </c>
      <c r="D32" s="17">
        <v>0.5</v>
      </c>
      <c r="E32" s="17">
        <v>0.37</v>
      </c>
      <c r="F32" s="17">
        <v>25</v>
      </c>
      <c r="G32" s="17">
        <v>25</v>
      </c>
      <c r="H32" s="9">
        <v>5000</v>
      </c>
      <c r="I32" s="297">
        <f>H32*0.63</f>
        <v>3150</v>
      </c>
      <c r="J32" s="297"/>
    </row>
    <row r="33" spans="1:10" ht="17.25" customHeight="1" x14ac:dyDescent="0.35">
      <c r="A33" s="4">
        <v>27</v>
      </c>
      <c r="B33" s="6" t="s">
        <v>65</v>
      </c>
      <c r="C33" s="14" t="s">
        <v>66</v>
      </c>
      <c r="D33" s="2">
        <v>1</v>
      </c>
      <c r="E33" s="2">
        <v>0.75</v>
      </c>
      <c r="F33" s="2">
        <v>25</v>
      </c>
      <c r="G33" s="2">
        <v>25</v>
      </c>
      <c r="H33" s="8">
        <v>5560</v>
      </c>
      <c r="I33" s="26">
        <f t="shared" ref="I33:I54" si="2">H33*0.62</f>
        <v>3447.2</v>
      </c>
      <c r="J33" s="26">
        <f t="shared" ref="J33:J54" si="3">I33*0.97</f>
        <v>3343.7839999999997</v>
      </c>
    </row>
    <row r="34" spans="1:10" ht="17.25" customHeight="1" x14ac:dyDescent="0.35">
      <c r="A34" s="6">
        <v>28</v>
      </c>
      <c r="B34" s="6" t="s">
        <v>67</v>
      </c>
      <c r="C34" s="14" t="s">
        <v>68</v>
      </c>
      <c r="D34" s="2">
        <v>1</v>
      </c>
      <c r="E34" s="2">
        <v>0.75</v>
      </c>
      <c r="F34" s="2">
        <v>25</v>
      </c>
      <c r="G34" s="2">
        <v>25</v>
      </c>
      <c r="H34" s="8">
        <v>5650</v>
      </c>
      <c r="I34" s="26">
        <f t="shared" si="2"/>
        <v>3503</v>
      </c>
      <c r="J34" s="26">
        <f t="shared" si="3"/>
        <v>3397.91</v>
      </c>
    </row>
    <row r="35" spans="1:10" ht="17.25" customHeight="1" x14ac:dyDescent="0.35">
      <c r="A35" s="6">
        <v>29</v>
      </c>
      <c r="B35" s="6" t="s">
        <v>69</v>
      </c>
      <c r="C35" s="14" t="s">
        <v>70</v>
      </c>
      <c r="D35" s="2">
        <v>1.5</v>
      </c>
      <c r="E35" s="2">
        <v>1.1000000000000001</v>
      </c>
      <c r="F35" s="2">
        <v>25</v>
      </c>
      <c r="G35" s="2">
        <v>25</v>
      </c>
      <c r="H35" s="8">
        <v>7840</v>
      </c>
      <c r="I35" s="26">
        <f t="shared" si="2"/>
        <v>4860.8</v>
      </c>
      <c r="J35" s="26">
        <f t="shared" si="3"/>
        <v>4714.9759999999997</v>
      </c>
    </row>
    <row r="36" spans="1:10" ht="17.25" customHeight="1" x14ac:dyDescent="0.35">
      <c r="A36" s="6">
        <v>30</v>
      </c>
      <c r="B36" s="6" t="s">
        <v>71</v>
      </c>
      <c r="C36" s="14" t="s">
        <v>72</v>
      </c>
      <c r="D36" s="2">
        <v>1.5</v>
      </c>
      <c r="E36" s="2">
        <v>1.1000000000000001</v>
      </c>
      <c r="F36" s="2">
        <v>25</v>
      </c>
      <c r="G36" s="2">
        <v>25</v>
      </c>
      <c r="H36" s="8">
        <v>8170</v>
      </c>
      <c r="I36" s="26">
        <f t="shared" si="2"/>
        <v>5065.3999999999996</v>
      </c>
      <c r="J36" s="26">
        <f t="shared" si="3"/>
        <v>4913.4379999999992</v>
      </c>
    </row>
    <row r="37" spans="1:10" ht="17.25" customHeight="1" x14ac:dyDescent="0.35">
      <c r="A37" s="4">
        <v>31</v>
      </c>
      <c r="B37" s="4" t="s">
        <v>73</v>
      </c>
      <c r="C37" s="12" t="s">
        <v>74</v>
      </c>
      <c r="D37" s="2">
        <v>0.5</v>
      </c>
      <c r="E37" s="2">
        <v>0.37</v>
      </c>
      <c r="F37" s="2">
        <v>25</v>
      </c>
      <c r="G37" s="2">
        <v>25</v>
      </c>
      <c r="H37" s="8">
        <v>6450</v>
      </c>
      <c r="I37" s="26">
        <f t="shared" si="2"/>
        <v>3999</v>
      </c>
      <c r="J37" s="26">
        <f t="shared" si="3"/>
        <v>3879.0299999999997</v>
      </c>
    </row>
    <row r="38" spans="1:10" ht="17.25" customHeight="1" x14ac:dyDescent="0.35">
      <c r="A38" s="6">
        <v>32</v>
      </c>
      <c r="B38" s="6" t="s">
        <v>75</v>
      </c>
      <c r="C38" s="14" t="s">
        <v>76</v>
      </c>
      <c r="D38" s="3">
        <v>0.9</v>
      </c>
      <c r="E38" s="3">
        <v>0.7</v>
      </c>
      <c r="F38" s="3">
        <v>25</v>
      </c>
      <c r="G38" s="3">
        <v>25</v>
      </c>
      <c r="H38" s="8">
        <v>6640</v>
      </c>
      <c r="I38" s="26">
        <f t="shared" si="2"/>
        <v>4116.8</v>
      </c>
      <c r="J38" s="26">
        <f t="shared" si="3"/>
        <v>3993.2960000000003</v>
      </c>
    </row>
    <row r="39" spans="1:10" ht="17.25" customHeight="1" x14ac:dyDescent="0.35">
      <c r="A39" s="6">
        <v>33</v>
      </c>
      <c r="B39" s="6" t="s">
        <v>77</v>
      </c>
      <c r="C39" s="14" t="s">
        <v>78</v>
      </c>
      <c r="D39" s="3">
        <v>1</v>
      </c>
      <c r="E39" s="3">
        <v>0.75</v>
      </c>
      <c r="F39" s="3">
        <v>25</v>
      </c>
      <c r="G39" s="3">
        <v>25</v>
      </c>
      <c r="H39" s="8">
        <v>7100</v>
      </c>
      <c r="I39" s="26">
        <f t="shared" si="2"/>
        <v>4402</v>
      </c>
      <c r="J39" s="26">
        <f t="shared" si="3"/>
        <v>4269.9399999999996</v>
      </c>
    </row>
    <row r="40" spans="1:10" ht="17.25" customHeight="1" x14ac:dyDescent="0.35">
      <c r="A40" s="6">
        <v>34</v>
      </c>
      <c r="B40" s="4" t="s">
        <v>79</v>
      </c>
      <c r="C40" s="15" t="s">
        <v>80</v>
      </c>
      <c r="D40" s="3">
        <v>0.5</v>
      </c>
      <c r="E40" s="3">
        <v>0.37</v>
      </c>
      <c r="F40" s="3">
        <v>25</v>
      </c>
      <c r="G40" s="3">
        <v>25</v>
      </c>
      <c r="H40" s="8">
        <v>5500</v>
      </c>
      <c r="I40" s="26">
        <f t="shared" si="2"/>
        <v>3410</v>
      </c>
      <c r="J40" s="26">
        <f t="shared" si="3"/>
        <v>3307.7</v>
      </c>
    </row>
    <row r="41" spans="1:10" ht="17.25" customHeight="1" x14ac:dyDescent="0.35">
      <c r="A41" s="4">
        <v>35</v>
      </c>
      <c r="B41" s="4"/>
      <c r="C41" s="15" t="s">
        <v>81</v>
      </c>
      <c r="D41" s="3">
        <v>1</v>
      </c>
      <c r="E41" s="3">
        <v>0.75</v>
      </c>
      <c r="F41" s="3">
        <v>25</v>
      </c>
      <c r="G41" s="3">
        <v>25</v>
      </c>
      <c r="H41" s="8">
        <v>6200</v>
      </c>
      <c r="I41" s="26">
        <f t="shared" si="2"/>
        <v>3844</v>
      </c>
      <c r="J41" s="26">
        <f t="shared" si="3"/>
        <v>3728.68</v>
      </c>
    </row>
    <row r="42" spans="1:10" ht="17.25" customHeight="1" x14ac:dyDescent="0.35">
      <c r="A42" s="6">
        <v>36</v>
      </c>
      <c r="B42" s="4" t="s">
        <v>82</v>
      </c>
      <c r="C42" s="12" t="s">
        <v>83</v>
      </c>
      <c r="D42" s="1">
        <v>0.5</v>
      </c>
      <c r="E42" s="1">
        <v>0.37</v>
      </c>
      <c r="F42" s="1">
        <v>25</v>
      </c>
      <c r="G42" s="1">
        <v>25</v>
      </c>
      <c r="H42" s="8">
        <v>7140</v>
      </c>
      <c r="I42" s="26">
        <f t="shared" si="2"/>
        <v>4426.8</v>
      </c>
      <c r="J42" s="26">
        <f t="shared" si="3"/>
        <v>4293.9960000000001</v>
      </c>
    </row>
    <row r="43" spans="1:10" ht="17.25" customHeight="1" x14ac:dyDescent="0.35">
      <c r="A43" s="6">
        <v>37</v>
      </c>
      <c r="B43" s="6" t="s">
        <v>84</v>
      </c>
      <c r="C43" s="14" t="s">
        <v>85</v>
      </c>
      <c r="D43" s="1">
        <v>1.1000000000000001</v>
      </c>
      <c r="E43" s="1">
        <v>0.8</v>
      </c>
      <c r="F43" s="1">
        <v>25</v>
      </c>
      <c r="G43" s="1">
        <v>25</v>
      </c>
      <c r="H43" s="8">
        <v>7700</v>
      </c>
      <c r="I43" s="26">
        <f t="shared" si="2"/>
        <v>4774</v>
      </c>
      <c r="J43" s="26">
        <f t="shared" si="3"/>
        <v>4630.78</v>
      </c>
    </row>
    <row r="44" spans="1:10" ht="17.25" customHeight="1" x14ac:dyDescent="0.35">
      <c r="A44" s="6">
        <v>38</v>
      </c>
      <c r="B44" s="6" t="s">
        <v>86</v>
      </c>
      <c r="C44" s="14" t="s">
        <v>87</v>
      </c>
      <c r="D44" s="1">
        <v>1.5</v>
      </c>
      <c r="E44" s="1">
        <v>1.1000000000000001</v>
      </c>
      <c r="F44" s="1">
        <v>25</v>
      </c>
      <c r="G44" s="1">
        <v>25</v>
      </c>
      <c r="H44" s="8">
        <v>8690</v>
      </c>
      <c r="I44" s="26">
        <f t="shared" si="2"/>
        <v>5387.8</v>
      </c>
      <c r="J44" s="26">
        <f t="shared" si="3"/>
        <v>5226.1660000000002</v>
      </c>
    </row>
    <row r="45" spans="1:10" ht="17.25" customHeight="1" x14ac:dyDescent="0.35">
      <c r="A45" s="4">
        <v>39</v>
      </c>
      <c r="B45" s="4" t="s">
        <v>88</v>
      </c>
      <c r="C45" s="12" t="s">
        <v>89</v>
      </c>
      <c r="D45" s="2">
        <v>0.5</v>
      </c>
      <c r="E45" s="2">
        <v>0.37</v>
      </c>
      <c r="F45" s="2">
        <v>25</v>
      </c>
      <c r="G45" s="2">
        <v>12</v>
      </c>
      <c r="H45" s="8">
        <v>4860</v>
      </c>
      <c r="I45" s="26">
        <f t="shared" si="2"/>
        <v>3013.2</v>
      </c>
      <c r="J45" s="26">
        <f t="shared" si="3"/>
        <v>2922.8039999999996</v>
      </c>
    </row>
    <row r="46" spans="1:10" ht="17.25" customHeight="1" x14ac:dyDescent="0.35">
      <c r="A46" s="6">
        <v>40</v>
      </c>
      <c r="B46" s="4" t="s">
        <v>90</v>
      </c>
      <c r="C46" s="12" t="s">
        <v>91</v>
      </c>
      <c r="D46" s="2">
        <v>1</v>
      </c>
      <c r="E46" s="2">
        <v>0.75</v>
      </c>
      <c r="F46" s="2">
        <v>25</v>
      </c>
      <c r="G46" s="2">
        <v>25</v>
      </c>
      <c r="H46" s="8">
        <v>5600</v>
      </c>
      <c r="I46" s="26">
        <f t="shared" si="2"/>
        <v>3472</v>
      </c>
      <c r="J46" s="26">
        <f t="shared" si="3"/>
        <v>3367.8399999999997</v>
      </c>
    </row>
    <row r="47" spans="1:10" ht="17.25" customHeight="1" x14ac:dyDescent="0.35">
      <c r="A47" s="6">
        <v>41</v>
      </c>
      <c r="B47" s="6" t="s">
        <v>92</v>
      </c>
      <c r="C47" s="14" t="s">
        <v>93</v>
      </c>
      <c r="D47" s="17">
        <v>1</v>
      </c>
      <c r="E47" s="17">
        <v>0.75</v>
      </c>
      <c r="F47" s="17">
        <v>25</v>
      </c>
      <c r="G47" s="17">
        <v>25</v>
      </c>
      <c r="H47" s="9">
        <v>8420</v>
      </c>
      <c r="I47" s="297">
        <f>H47*0.63</f>
        <v>5304.6</v>
      </c>
      <c r="J47" s="297"/>
    </row>
    <row r="48" spans="1:10" ht="17.25" customHeight="1" x14ac:dyDescent="0.35">
      <c r="A48" s="6">
        <v>42</v>
      </c>
      <c r="B48" s="6" t="s">
        <v>94</v>
      </c>
      <c r="C48" s="14" t="s">
        <v>95</v>
      </c>
      <c r="D48" s="2">
        <v>1.1000000000000001</v>
      </c>
      <c r="E48" s="2">
        <v>0.8</v>
      </c>
      <c r="F48" s="2">
        <v>25</v>
      </c>
      <c r="G48" s="2">
        <v>25</v>
      </c>
      <c r="H48" s="8">
        <v>12020</v>
      </c>
      <c r="I48" s="26">
        <f t="shared" si="2"/>
        <v>7452.4</v>
      </c>
      <c r="J48" s="26">
        <f t="shared" si="3"/>
        <v>7228.8279999999995</v>
      </c>
    </row>
    <row r="49" spans="1:10" ht="17.25" customHeight="1" x14ac:dyDescent="0.35">
      <c r="A49" s="4">
        <v>43</v>
      </c>
      <c r="B49" s="4" t="s">
        <v>96</v>
      </c>
      <c r="C49" s="12" t="s">
        <v>97</v>
      </c>
      <c r="D49" s="2">
        <v>0.5</v>
      </c>
      <c r="E49" s="2">
        <v>0.37</v>
      </c>
      <c r="F49" s="2">
        <v>25</v>
      </c>
      <c r="G49" s="2">
        <v>25</v>
      </c>
      <c r="H49" s="8">
        <v>7530</v>
      </c>
      <c r="I49" s="26">
        <f t="shared" si="2"/>
        <v>4668.6000000000004</v>
      </c>
      <c r="J49" s="26">
        <f t="shared" si="3"/>
        <v>4528.5420000000004</v>
      </c>
    </row>
    <row r="50" spans="1:10" ht="17.25" customHeight="1" x14ac:dyDescent="0.35">
      <c r="A50" s="6">
        <v>44</v>
      </c>
      <c r="B50" s="4" t="s">
        <v>98</v>
      </c>
      <c r="C50" s="12" t="s">
        <v>99</v>
      </c>
      <c r="D50" s="2">
        <v>1</v>
      </c>
      <c r="E50" s="2">
        <v>0.75</v>
      </c>
      <c r="F50" s="2">
        <v>25</v>
      </c>
      <c r="G50" s="2">
        <v>25</v>
      </c>
      <c r="H50" s="8">
        <v>9150</v>
      </c>
      <c r="I50" s="26">
        <f t="shared" si="2"/>
        <v>5673</v>
      </c>
      <c r="J50" s="26">
        <f t="shared" si="3"/>
        <v>5502.8099999999995</v>
      </c>
    </row>
    <row r="51" spans="1:10" ht="17.25" customHeight="1" x14ac:dyDescent="0.35">
      <c r="A51" s="6">
        <v>45</v>
      </c>
      <c r="B51" s="4" t="s">
        <v>100</v>
      </c>
      <c r="C51" s="12" t="s">
        <v>101</v>
      </c>
      <c r="D51" s="2">
        <v>1</v>
      </c>
      <c r="E51" s="2">
        <v>0.75</v>
      </c>
      <c r="F51" s="2">
        <v>25</v>
      </c>
      <c r="G51" s="2">
        <v>25</v>
      </c>
      <c r="H51" s="5">
        <v>16800</v>
      </c>
      <c r="I51" s="26">
        <f t="shared" si="2"/>
        <v>10416</v>
      </c>
      <c r="J51" s="26">
        <f t="shared" si="3"/>
        <v>10103.52</v>
      </c>
    </row>
    <row r="52" spans="1:10" ht="17.25" customHeight="1" x14ac:dyDescent="0.35">
      <c r="A52" s="6">
        <v>46</v>
      </c>
      <c r="B52" s="6" t="s">
        <v>102</v>
      </c>
      <c r="C52" s="14" t="s">
        <v>103</v>
      </c>
      <c r="D52" s="2">
        <v>0.5</v>
      </c>
      <c r="E52" s="2">
        <v>0.37</v>
      </c>
      <c r="F52" s="2">
        <v>25</v>
      </c>
      <c r="G52" s="2">
        <v>25</v>
      </c>
      <c r="H52" s="8">
        <v>17760</v>
      </c>
      <c r="I52" s="26">
        <f t="shared" si="2"/>
        <v>11011.2</v>
      </c>
      <c r="J52" s="26">
        <f t="shared" si="3"/>
        <v>10680.864</v>
      </c>
    </row>
    <row r="53" spans="1:10" ht="17.25" customHeight="1" x14ac:dyDescent="0.35">
      <c r="A53" s="4">
        <v>47</v>
      </c>
      <c r="B53" s="6" t="s">
        <v>104</v>
      </c>
      <c r="C53" s="14" t="s">
        <v>105</v>
      </c>
      <c r="D53" s="2">
        <v>1</v>
      </c>
      <c r="E53" s="2">
        <v>0.75</v>
      </c>
      <c r="F53" s="2">
        <v>25</v>
      </c>
      <c r="G53" s="2">
        <v>25</v>
      </c>
      <c r="H53" s="8">
        <v>19120</v>
      </c>
      <c r="I53" s="26">
        <f t="shared" si="2"/>
        <v>11854.4</v>
      </c>
      <c r="J53" s="26">
        <f t="shared" si="3"/>
        <v>11498.768</v>
      </c>
    </row>
    <row r="54" spans="1:10" ht="17.25" customHeight="1" x14ac:dyDescent="0.35">
      <c r="A54" s="6">
        <v>48</v>
      </c>
      <c r="B54" s="6" t="s">
        <v>106</v>
      </c>
      <c r="C54" s="14" t="s">
        <v>107</v>
      </c>
      <c r="D54" s="2">
        <v>1.1000000000000001</v>
      </c>
      <c r="E54" s="2">
        <v>0.8</v>
      </c>
      <c r="F54" s="2">
        <v>25</v>
      </c>
      <c r="G54" s="2">
        <v>25</v>
      </c>
      <c r="H54" s="8">
        <v>20900</v>
      </c>
      <c r="I54" s="26">
        <f t="shared" si="2"/>
        <v>12958</v>
      </c>
      <c r="J54" s="26">
        <f t="shared" si="3"/>
        <v>12569.26</v>
      </c>
    </row>
    <row r="55" spans="1:10" ht="17.25" customHeight="1" x14ac:dyDescent="0.35">
      <c r="A55" s="267" t="s">
        <v>108</v>
      </c>
      <c r="B55" s="268"/>
      <c r="C55" s="268"/>
      <c r="D55" s="268"/>
      <c r="E55" s="268"/>
      <c r="F55" s="268"/>
      <c r="G55" s="269"/>
      <c r="H55" s="207" t="s">
        <v>109</v>
      </c>
      <c r="I55" s="315" t="s">
        <v>334</v>
      </c>
      <c r="J55" s="315"/>
    </row>
    <row r="56" spans="1:10" ht="17.25" customHeight="1" x14ac:dyDescent="0.35">
      <c r="A56" s="207" t="s">
        <v>2</v>
      </c>
      <c r="B56" s="287" t="s">
        <v>3</v>
      </c>
      <c r="C56" s="260" t="s">
        <v>4</v>
      </c>
      <c r="D56" s="209" t="s">
        <v>5</v>
      </c>
      <c r="E56" s="210"/>
      <c r="F56" s="209" t="s">
        <v>6</v>
      </c>
      <c r="G56" s="210"/>
      <c r="H56" s="259"/>
      <c r="I56" s="315"/>
      <c r="J56" s="315"/>
    </row>
    <row r="57" spans="1:10" ht="17.25" customHeight="1" x14ac:dyDescent="0.35">
      <c r="A57" s="208"/>
      <c r="B57" s="287"/>
      <c r="C57" s="261"/>
      <c r="D57" s="11" t="s">
        <v>9</v>
      </c>
      <c r="E57" s="11" t="s">
        <v>10</v>
      </c>
      <c r="F57" s="11" t="s">
        <v>11</v>
      </c>
      <c r="G57" s="11" t="s">
        <v>12</v>
      </c>
      <c r="H57" s="208"/>
      <c r="I57" s="41">
        <v>0.38</v>
      </c>
      <c r="J57" s="41">
        <v>0.03</v>
      </c>
    </row>
    <row r="58" spans="1:10" ht="17.25" customHeight="1" x14ac:dyDescent="0.35">
      <c r="A58" s="6">
        <v>1</v>
      </c>
      <c r="B58" s="6" t="s">
        <v>110</v>
      </c>
      <c r="C58" s="14" t="s">
        <v>111</v>
      </c>
      <c r="D58" s="303">
        <v>0.5</v>
      </c>
      <c r="E58" s="303">
        <v>0.37</v>
      </c>
      <c r="F58" s="2">
        <v>25</v>
      </c>
      <c r="G58" s="2">
        <v>25</v>
      </c>
      <c r="H58" s="8">
        <v>4680</v>
      </c>
      <c r="I58" s="26">
        <f t="shared" ref="I58:I113" si="4">H58*0.62</f>
        <v>2901.6</v>
      </c>
      <c r="J58" s="26">
        <f t="shared" ref="J58:J113" si="5">I58*0.97</f>
        <v>2814.5519999999997</v>
      </c>
    </row>
    <row r="59" spans="1:10" ht="17.25" customHeight="1" x14ac:dyDescent="0.35">
      <c r="A59" s="6">
        <v>2</v>
      </c>
      <c r="B59" s="6" t="s">
        <v>112</v>
      </c>
      <c r="C59" s="14" t="s">
        <v>113</v>
      </c>
      <c r="D59" s="303"/>
      <c r="E59" s="303"/>
      <c r="F59" s="2">
        <v>40</v>
      </c>
      <c r="G59" s="2">
        <v>40</v>
      </c>
      <c r="H59" s="8">
        <v>6430</v>
      </c>
      <c r="I59" s="26">
        <f t="shared" si="4"/>
        <v>3986.6</v>
      </c>
      <c r="J59" s="26">
        <f t="shared" si="5"/>
        <v>3867.002</v>
      </c>
    </row>
    <row r="60" spans="1:10" ht="17.25" customHeight="1" x14ac:dyDescent="0.35">
      <c r="A60" s="4">
        <v>3</v>
      </c>
      <c r="B60" s="4" t="s">
        <v>114</v>
      </c>
      <c r="C60" s="18" t="s">
        <v>115</v>
      </c>
      <c r="D60" s="2">
        <v>0.75</v>
      </c>
      <c r="E60" s="2">
        <v>0.56000000000000005</v>
      </c>
      <c r="F60" s="2">
        <v>40</v>
      </c>
      <c r="G60" s="2">
        <v>40</v>
      </c>
      <c r="H60" s="5">
        <v>6240</v>
      </c>
      <c r="I60" s="26">
        <f t="shared" si="4"/>
        <v>3868.8</v>
      </c>
      <c r="J60" s="26">
        <f t="shared" si="5"/>
        <v>3752.7359999999999</v>
      </c>
    </row>
    <row r="61" spans="1:10" ht="17.25" customHeight="1" x14ac:dyDescent="0.35">
      <c r="A61" s="6">
        <v>4</v>
      </c>
      <c r="B61" s="6" t="s">
        <v>116</v>
      </c>
      <c r="C61" s="14" t="s">
        <v>117</v>
      </c>
      <c r="D61" s="262">
        <v>1</v>
      </c>
      <c r="E61" s="262">
        <v>0.75</v>
      </c>
      <c r="F61" s="1">
        <v>25</v>
      </c>
      <c r="G61" s="1">
        <v>25</v>
      </c>
      <c r="H61" s="8">
        <v>7572</v>
      </c>
      <c r="I61" s="26">
        <f t="shared" si="4"/>
        <v>4694.6400000000003</v>
      </c>
      <c r="J61" s="26">
        <f t="shared" si="5"/>
        <v>4553.8008</v>
      </c>
    </row>
    <row r="62" spans="1:10" ht="17.25" customHeight="1" x14ac:dyDescent="0.35">
      <c r="A62" s="6">
        <v>5</v>
      </c>
      <c r="B62" s="6" t="s">
        <v>118</v>
      </c>
      <c r="C62" s="14" t="s">
        <v>119</v>
      </c>
      <c r="D62" s="266"/>
      <c r="E62" s="266"/>
      <c r="F62" s="1">
        <v>50</v>
      </c>
      <c r="G62" s="1">
        <v>50</v>
      </c>
      <c r="H62" s="8">
        <v>8900</v>
      </c>
      <c r="I62" s="26">
        <f t="shared" si="4"/>
        <v>5518</v>
      </c>
      <c r="J62" s="26">
        <f t="shared" si="5"/>
        <v>5352.46</v>
      </c>
    </row>
    <row r="63" spans="1:10" ht="17.25" customHeight="1" x14ac:dyDescent="0.35">
      <c r="A63" s="4">
        <v>6</v>
      </c>
      <c r="B63" s="6" t="s">
        <v>120</v>
      </c>
      <c r="C63" s="14" t="s">
        <v>121</v>
      </c>
      <c r="D63" s="266"/>
      <c r="E63" s="266"/>
      <c r="F63" s="1">
        <v>50</v>
      </c>
      <c r="G63" s="1">
        <v>50</v>
      </c>
      <c r="H63" s="5">
        <v>9100</v>
      </c>
      <c r="I63" s="26">
        <f t="shared" si="4"/>
        <v>5642</v>
      </c>
      <c r="J63" s="26">
        <f t="shared" si="5"/>
        <v>5472.74</v>
      </c>
    </row>
    <row r="64" spans="1:10" ht="17.25" customHeight="1" x14ac:dyDescent="0.35">
      <c r="A64" s="6">
        <v>7</v>
      </c>
      <c r="B64" s="4" t="s">
        <v>122</v>
      </c>
      <c r="C64" s="18" t="s">
        <v>123</v>
      </c>
      <c r="D64" s="266"/>
      <c r="E64" s="266"/>
      <c r="F64" s="1">
        <v>50</v>
      </c>
      <c r="G64" s="1">
        <v>50</v>
      </c>
      <c r="H64" s="5">
        <v>9000</v>
      </c>
      <c r="I64" s="26">
        <f t="shared" si="4"/>
        <v>5580</v>
      </c>
      <c r="J64" s="26">
        <f t="shared" si="5"/>
        <v>5412.5999999999995</v>
      </c>
    </row>
    <row r="65" spans="1:10" ht="17.25" customHeight="1" x14ac:dyDescent="0.35">
      <c r="A65" s="6">
        <v>8</v>
      </c>
      <c r="B65" s="4" t="s">
        <v>124</v>
      </c>
      <c r="C65" s="19" t="s">
        <v>125</v>
      </c>
      <c r="D65" s="266"/>
      <c r="E65" s="266"/>
      <c r="F65" s="1">
        <v>75</v>
      </c>
      <c r="G65" s="1">
        <v>75</v>
      </c>
      <c r="H65" s="8">
        <v>10000</v>
      </c>
      <c r="I65" s="26">
        <f t="shared" si="4"/>
        <v>6200</v>
      </c>
      <c r="J65" s="26">
        <f t="shared" si="5"/>
        <v>6014</v>
      </c>
    </row>
    <row r="66" spans="1:10" ht="17.25" customHeight="1" x14ac:dyDescent="0.35">
      <c r="A66" s="4">
        <v>9</v>
      </c>
      <c r="B66" s="4"/>
      <c r="C66" s="18" t="s">
        <v>126</v>
      </c>
      <c r="D66" s="263"/>
      <c r="E66" s="263"/>
      <c r="F66" s="1">
        <v>75</v>
      </c>
      <c r="G66" s="1">
        <v>75</v>
      </c>
      <c r="H66" s="5">
        <v>10200</v>
      </c>
      <c r="I66" s="26">
        <f t="shared" si="4"/>
        <v>6324</v>
      </c>
      <c r="J66" s="26">
        <f t="shared" si="5"/>
        <v>6134.28</v>
      </c>
    </row>
    <row r="67" spans="1:10" ht="17.25" customHeight="1" x14ac:dyDescent="0.35">
      <c r="A67" s="6">
        <v>10</v>
      </c>
      <c r="B67" s="4" t="s">
        <v>127</v>
      </c>
      <c r="C67" s="19" t="s">
        <v>128</v>
      </c>
      <c r="D67" s="262">
        <v>1.5</v>
      </c>
      <c r="E67" s="262">
        <v>1.1000000000000001</v>
      </c>
      <c r="F67" s="1">
        <v>50</v>
      </c>
      <c r="G67" s="1">
        <v>50</v>
      </c>
      <c r="H67" s="5">
        <v>10420</v>
      </c>
      <c r="I67" s="26">
        <f t="shared" si="4"/>
        <v>6460.4</v>
      </c>
      <c r="J67" s="26">
        <f t="shared" si="5"/>
        <v>6266.5879999999997</v>
      </c>
    </row>
    <row r="68" spans="1:10" ht="17.25" customHeight="1" x14ac:dyDescent="0.35">
      <c r="A68" s="6">
        <v>11</v>
      </c>
      <c r="B68" s="4" t="s">
        <v>129</v>
      </c>
      <c r="C68" s="18" t="s">
        <v>130</v>
      </c>
      <c r="D68" s="266"/>
      <c r="E68" s="266"/>
      <c r="F68" s="1">
        <v>50</v>
      </c>
      <c r="G68" s="1">
        <v>50</v>
      </c>
      <c r="H68" s="5">
        <v>10600</v>
      </c>
      <c r="I68" s="26">
        <f t="shared" si="4"/>
        <v>6572</v>
      </c>
      <c r="J68" s="26">
        <f t="shared" si="5"/>
        <v>6374.84</v>
      </c>
    </row>
    <row r="69" spans="1:10" ht="17.25" customHeight="1" x14ac:dyDescent="0.35">
      <c r="A69" s="4">
        <v>12</v>
      </c>
      <c r="B69" s="4" t="s">
        <v>131</v>
      </c>
      <c r="C69" s="19" t="s">
        <v>132</v>
      </c>
      <c r="D69" s="266"/>
      <c r="E69" s="266"/>
      <c r="F69" s="1">
        <v>65</v>
      </c>
      <c r="G69" s="1">
        <v>50</v>
      </c>
      <c r="H69" s="5">
        <v>10600</v>
      </c>
      <c r="I69" s="26">
        <f t="shared" si="4"/>
        <v>6572</v>
      </c>
      <c r="J69" s="26">
        <f t="shared" si="5"/>
        <v>6374.84</v>
      </c>
    </row>
    <row r="70" spans="1:10" ht="17.25" customHeight="1" x14ac:dyDescent="0.35">
      <c r="A70" s="6">
        <v>13</v>
      </c>
      <c r="B70" s="4" t="s">
        <v>133</v>
      </c>
      <c r="C70" s="18" t="s">
        <v>134</v>
      </c>
      <c r="D70" s="266"/>
      <c r="E70" s="266"/>
      <c r="F70" s="1">
        <v>65</v>
      </c>
      <c r="G70" s="1">
        <v>50</v>
      </c>
      <c r="H70" s="5">
        <v>10800</v>
      </c>
      <c r="I70" s="26">
        <f t="shared" si="4"/>
        <v>6696</v>
      </c>
      <c r="J70" s="26">
        <f t="shared" si="5"/>
        <v>6495.12</v>
      </c>
    </row>
    <row r="71" spans="1:10" ht="17.25" customHeight="1" x14ac:dyDescent="0.35">
      <c r="A71" s="6">
        <v>14</v>
      </c>
      <c r="B71" s="4" t="s">
        <v>135</v>
      </c>
      <c r="C71" s="19" t="s">
        <v>136</v>
      </c>
      <c r="D71" s="266"/>
      <c r="E71" s="266"/>
      <c r="F71" s="1">
        <v>75</v>
      </c>
      <c r="G71" s="1">
        <v>75</v>
      </c>
      <c r="H71" s="8">
        <v>11000</v>
      </c>
      <c r="I71" s="26">
        <f t="shared" si="4"/>
        <v>6820</v>
      </c>
      <c r="J71" s="26">
        <f t="shared" si="5"/>
        <v>6615.4</v>
      </c>
    </row>
    <row r="72" spans="1:10" ht="17.25" customHeight="1" x14ac:dyDescent="0.35">
      <c r="A72" s="4">
        <v>15</v>
      </c>
      <c r="B72" s="4" t="s">
        <v>137</v>
      </c>
      <c r="C72" s="18" t="s">
        <v>138</v>
      </c>
      <c r="D72" s="266"/>
      <c r="E72" s="266"/>
      <c r="F72" s="1">
        <v>75</v>
      </c>
      <c r="G72" s="1">
        <v>75</v>
      </c>
      <c r="H72" s="5">
        <v>11200</v>
      </c>
      <c r="I72" s="26">
        <f t="shared" si="4"/>
        <v>6944</v>
      </c>
      <c r="J72" s="26">
        <f t="shared" si="5"/>
        <v>6735.6799999999994</v>
      </c>
    </row>
    <row r="73" spans="1:10" ht="17.25" customHeight="1" x14ac:dyDescent="0.35">
      <c r="A73" s="6">
        <v>16</v>
      </c>
      <c r="B73" s="4" t="s">
        <v>139</v>
      </c>
      <c r="C73" s="18" t="s">
        <v>140</v>
      </c>
      <c r="D73" s="263"/>
      <c r="E73" s="263"/>
      <c r="F73" s="1">
        <v>75</v>
      </c>
      <c r="G73" s="1">
        <v>75</v>
      </c>
      <c r="H73" s="5">
        <v>11200</v>
      </c>
      <c r="I73" s="26">
        <f t="shared" si="4"/>
        <v>6944</v>
      </c>
      <c r="J73" s="26">
        <f t="shared" si="5"/>
        <v>6735.6799999999994</v>
      </c>
    </row>
    <row r="74" spans="1:10" ht="17.25" customHeight="1" x14ac:dyDescent="0.35">
      <c r="A74" s="6">
        <v>17</v>
      </c>
      <c r="B74" s="4" t="s">
        <v>141</v>
      </c>
      <c r="C74" s="19" t="s">
        <v>142</v>
      </c>
      <c r="D74" s="262">
        <v>2</v>
      </c>
      <c r="E74" s="262">
        <v>1.5</v>
      </c>
      <c r="F74" s="1">
        <v>50</v>
      </c>
      <c r="G74" s="1">
        <v>40</v>
      </c>
      <c r="H74" s="8">
        <v>15000</v>
      </c>
      <c r="I74" s="26">
        <f t="shared" si="4"/>
        <v>9300</v>
      </c>
      <c r="J74" s="26">
        <f t="shared" si="5"/>
        <v>9021</v>
      </c>
    </row>
    <row r="75" spans="1:10" ht="17.25" customHeight="1" x14ac:dyDescent="0.35">
      <c r="A75" s="4">
        <v>18</v>
      </c>
      <c r="B75" s="4" t="s">
        <v>143</v>
      </c>
      <c r="C75" s="18" t="s">
        <v>144</v>
      </c>
      <c r="D75" s="266"/>
      <c r="E75" s="266"/>
      <c r="F75" s="1">
        <v>50</v>
      </c>
      <c r="G75" s="1">
        <v>40</v>
      </c>
      <c r="H75" s="5">
        <v>15200</v>
      </c>
      <c r="I75" s="26">
        <f t="shared" si="4"/>
        <v>9424</v>
      </c>
      <c r="J75" s="26">
        <f t="shared" si="5"/>
        <v>9141.2800000000007</v>
      </c>
    </row>
    <row r="76" spans="1:10" ht="17.25" customHeight="1" x14ac:dyDescent="0.35">
      <c r="A76" s="6">
        <v>19</v>
      </c>
      <c r="B76" s="6" t="s">
        <v>145</v>
      </c>
      <c r="C76" s="14" t="s">
        <v>146</v>
      </c>
      <c r="D76" s="266"/>
      <c r="E76" s="266"/>
      <c r="F76" s="1">
        <v>50</v>
      </c>
      <c r="G76" s="1">
        <v>50</v>
      </c>
      <c r="H76" s="8">
        <v>13000</v>
      </c>
      <c r="I76" s="26">
        <f t="shared" si="4"/>
        <v>8060</v>
      </c>
      <c r="J76" s="26">
        <f t="shared" si="5"/>
        <v>7818.2</v>
      </c>
    </row>
    <row r="77" spans="1:10" ht="17.25" customHeight="1" x14ac:dyDescent="0.35">
      <c r="A77" s="6">
        <v>20</v>
      </c>
      <c r="B77" s="4" t="s">
        <v>147</v>
      </c>
      <c r="C77" s="18" t="s">
        <v>148</v>
      </c>
      <c r="D77" s="266"/>
      <c r="E77" s="266"/>
      <c r="F77" s="1">
        <v>50</v>
      </c>
      <c r="G77" s="1">
        <v>50</v>
      </c>
      <c r="H77" s="5">
        <v>13200</v>
      </c>
      <c r="I77" s="26">
        <f t="shared" si="4"/>
        <v>8184</v>
      </c>
      <c r="J77" s="26">
        <f t="shared" si="5"/>
        <v>7938.48</v>
      </c>
    </row>
    <row r="78" spans="1:10" ht="17.25" customHeight="1" x14ac:dyDescent="0.35">
      <c r="A78" s="4">
        <v>21</v>
      </c>
      <c r="B78" s="6" t="s">
        <v>149</v>
      </c>
      <c r="C78" s="14" t="s">
        <v>150</v>
      </c>
      <c r="D78" s="266"/>
      <c r="E78" s="266"/>
      <c r="F78" s="1">
        <v>65</v>
      </c>
      <c r="G78" s="1">
        <v>50</v>
      </c>
      <c r="H78" s="8">
        <v>13300</v>
      </c>
      <c r="I78" s="26">
        <f t="shared" si="4"/>
        <v>8246</v>
      </c>
      <c r="J78" s="26">
        <f t="shared" si="5"/>
        <v>7998.62</v>
      </c>
    </row>
    <row r="79" spans="1:10" ht="17.25" customHeight="1" x14ac:dyDescent="0.35">
      <c r="A79" s="6">
        <v>22</v>
      </c>
      <c r="B79" s="6" t="s">
        <v>151</v>
      </c>
      <c r="C79" s="14" t="s">
        <v>152</v>
      </c>
      <c r="D79" s="266"/>
      <c r="E79" s="266"/>
      <c r="F79" s="1">
        <v>65</v>
      </c>
      <c r="G79" s="1">
        <v>50</v>
      </c>
      <c r="H79" s="5">
        <v>13500</v>
      </c>
      <c r="I79" s="26">
        <f t="shared" si="4"/>
        <v>8370</v>
      </c>
      <c r="J79" s="26">
        <f t="shared" si="5"/>
        <v>8118.9</v>
      </c>
    </row>
    <row r="80" spans="1:10" ht="17.25" customHeight="1" x14ac:dyDescent="0.35">
      <c r="A80" s="6">
        <v>23</v>
      </c>
      <c r="B80" s="4" t="s">
        <v>153</v>
      </c>
      <c r="C80" s="18" t="s">
        <v>154</v>
      </c>
      <c r="D80" s="266"/>
      <c r="E80" s="266"/>
      <c r="F80" s="1">
        <v>65</v>
      </c>
      <c r="G80" s="1">
        <v>50</v>
      </c>
      <c r="H80" s="5">
        <v>13340</v>
      </c>
      <c r="I80" s="26">
        <f t="shared" si="4"/>
        <v>8270.7999999999993</v>
      </c>
      <c r="J80" s="26">
        <f t="shared" si="5"/>
        <v>8022.6759999999995</v>
      </c>
    </row>
    <row r="81" spans="1:10" ht="17.25" customHeight="1" x14ac:dyDescent="0.35">
      <c r="A81" s="4">
        <v>24</v>
      </c>
      <c r="B81" s="6"/>
      <c r="C81" s="14" t="s">
        <v>155</v>
      </c>
      <c r="D81" s="266"/>
      <c r="E81" s="266"/>
      <c r="F81" s="1">
        <v>65</v>
      </c>
      <c r="G81" s="1">
        <v>50</v>
      </c>
      <c r="H81" s="8">
        <v>13300</v>
      </c>
      <c r="I81" s="26">
        <f t="shared" si="4"/>
        <v>8246</v>
      </c>
      <c r="J81" s="26">
        <f t="shared" si="5"/>
        <v>7998.62</v>
      </c>
    </row>
    <row r="82" spans="1:10" ht="17.25" customHeight="1" x14ac:dyDescent="0.35">
      <c r="A82" s="6">
        <v>25</v>
      </c>
      <c r="B82" s="4" t="s">
        <v>156</v>
      </c>
      <c r="C82" s="18" t="s">
        <v>157</v>
      </c>
      <c r="D82" s="266"/>
      <c r="E82" s="266"/>
      <c r="F82" s="1">
        <v>75</v>
      </c>
      <c r="G82" s="1">
        <v>75</v>
      </c>
      <c r="H82" s="5">
        <v>13600</v>
      </c>
      <c r="I82" s="26">
        <f t="shared" si="4"/>
        <v>8432</v>
      </c>
      <c r="J82" s="26">
        <f t="shared" si="5"/>
        <v>8179.04</v>
      </c>
    </row>
    <row r="83" spans="1:10" ht="17.25" customHeight="1" x14ac:dyDescent="0.35">
      <c r="A83" s="6">
        <v>26</v>
      </c>
      <c r="B83" s="6" t="s">
        <v>158</v>
      </c>
      <c r="C83" s="14" t="s">
        <v>159</v>
      </c>
      <c r="D83" s="266"/>
      <c r="E83" s="266"/>
      <c r="F83" s="1">
        <v>75</v>
      </c>
      <c r="G83" s="1">
        <v>75</v>
      </c>
      <c r="H83" s="8">
        <v>13450</v>
      </c>
      <c r="I83" s="26">
        <f t="shared" si="4"/>
        <v>8339</v>
      </c>
      <c r="J83" s="26">
        <f t="shared" si="5"/>
        <v>8088.83</v>
      </c>
    </row>
    <row r="84" spans="1:10" ht="17.25" customHeight="1" x14ac:dyDescent="0.35">
      <c r="A84" s="4">
        <v>27</v>
      </c>
      <c r="B84" s="6" t="s">
        <v>160</v>
      </c>
      <c r="C84" s="14" t="s">
        <v>161</v>
      </c>
      <c r="D84" s="266"/>
      <c r="E84" s="266"/>
      <c r="F84" s="1">
        <v>75</v>
      </c>
      <c r="G84" s="1">
        <v>75</v>
      </c>
      <c r="H84" s="5">
        <v>13800</v>
      </c>
      <c r="I84" s="26">
        <f t="shared" si="4"/>
        <v>8556</v>
      </c>
      <c r="J84" s="26">
        <f t="shared" si="5"/>
        <v>8299.32</v>
      </c>
    </row>
    <row r="85" spans="1:10" ht="17.25" customHeight="1" x14ac:dyDescent="0.35">
      <c r="A85" s="6">
        <v>28</v>
      </c>
      <c r="B85" s="6" t="s">
        <v>162</v>
      </c>
      <c r="C85" s="14" t="s">
        <v>163</v>
      </c>
      <c r="D85" s="266"/>
      <c r="E85" s="266"/>
      <c r="F85" s="1">
        <v>75</v>
      </c>
      <c r="G85" s="1">
        <v>75</v>
      </c>
      <c r="H85" s="5">
        <v>14000</v>
      </c>
      <c r="I85" s="26">
        <f t="shared" si="4"/>
        <v>8680</v>
      </c>
      <c r="J85" s="26">
        <f t="shared" si="5"/>
        <v>8419.6</v>
      </c>
    </row>
    <row r="86" spans="1:10" ht="17.25" customHeight="1" x14ac:dyDescent="0.35">
      <c r="A86" s="6">
        <v>29</v>
      </c>
      <c r="B86" s="6" t="s">
        <v>164</v>
      </c>
      <c r="C86" s="14" t="s">
        <v>165</v>
      </c>
      <c r="D86" s="266"/>
      <c r="E86" s="266"/>
      <c r="F86" s="1">
        <v>75</v>
      </c>
      <c r="G86" s="1">
        <v>75</v>
      </c>
      <c r="H86" s="5">
        <v>14500</v>
      </c>
      <c r="I86" s="26">
        <f t="shared" si="4"/>
        <v>8990</v>
      </c>
      <c r="J86" s="26">
        <f t="shared" si="5"/>
        <v>8720.2999999999993</v>
      </c>
    </row>
    <row r="87" spans="1:10" ht="17.25" customHeight="1" x14ac:dyDescent="0.35">
      <c r="A87" s="4">
        <v>30</v>
      </c>
      <c r="B87" s="4" t="s">
        <v>166</v>
      </c>
      <c r="C87" s="18" t="s">
        <v>167</v>
      </c>
      <c r="D87" s="266"/>
      <c r="E87" s="266"/>
      <c r="F87" s="1">
        <v>75</v>
      </c>
      <c r="G87" s="1">
        <v>75</v>
      </c>
      <c r="H87" s="5">
        <v>13550</v>
      </c>
      <c r="I87" s="26">
        <f t="shared" si="4"/>
        <v>8401</v>
      </c>
      <c r="J87" s="26">
        <f t="shared" si="5"/>
        <v>8148.9699999999993</v>
      </c>
    </row>
    <row r="88" spans="1:10" ht="17.25" customHeight="1" x14ac:dyDescent="0.35">
      <c r="A88" s="6">
        <v>31</v>
      </c>
      <c r="B88" s="6" t="s">
        <v>168</v>
      </c>
      <c r="C88" s="14" t="s">
        <v>169</v>
      </c>
      <c r="D88" s="266"/>
      <c r="E88" s="266"/>
      <c r="F88" s="1">
        <v>75</v>
      </c>
      <c r="G88" s="1">
        <v>65</v>
      </c>
      <c r="H88" s="8">
        <v>13450</v>
      </c>
      <c r="I88" s="26">
        <f t="shared" si="4"/>
        <v>8339</v>
      </c>
      <c r="J88" s="26">
        <f t="shared" si="5"/>
        <v>8088.83</v>
      </c>
    </row>
    <row r="89" spans="1:10" ht="17.25" customHeight="1" x14ac:dyDescent="0.35">
      <c r="A89" s="6">
        <v>32</v>
      </c>
      <c r="B89" s="6" t="s">
        <v>170</v>
      </c>
      <c r="C89" s="14" t="s">
        <v>171</v>
      </c>
      <c r="D89" s="266"/>
      <c r="E89" s="266"/>
      <c r="F89" s="1">
        <v>75</v>
      </c>
      <c r="G89" s="1">
        <v>65</v>
      </c>
      <c r="H89" s="5">
        <v>13740</v>
      </c>
      <c r="I89" s="26">
        <f t="shared" si="4"/>
        <v>8518.7999999999993</v>
      </c>
      <c r="J89" s="26">
        <f t="shared" si="5"/>
        <v>8263.235999999999</v>
      </c>
    </row>
    <row r="90" spans="1:10" ht="17.25" customHeight="1" x14ac:dyDescent="0.35">
      <c r="A90" s="4">
        <v>33</v>
      </c>
      <c r="B90" s="4"/>
      <c r="C90" s="19" t="s">
        <v>172</v>
      </c>
      <c r="D90" s="266"/>
      <c r="E90" s="266"/>
      <c r="F90" s="1">
        <v>100</v>
      </c>
      <c r="G90" s="1">
        <v>100</v>
      </c>
      <c r="H90" s="8">
        <v>15000</v>
      </c>
      <c r="I90" s="26">
        <f t="shared" si="4"/>
        <v>9300</v>
      </c>
      <c r="J90" s="26">
        <f t="shared" si="5"/>
        <v>9021</v>
      </c>
    </row>
    <row r="91" spans="1:10" ht="17.25" customHeight="1" x14ac:dyDescent="0.35">
      <c r="A91" s="6">
        <v>34</v>
      </c>
      <c r="B91" s="4"/>
      <c r="C91" s="18" t="s">
        <v>173</v>
      </c>
      <c r="D91" s="263"/>
      <c r="E91" s="263"/>
      <c r="F91" s="1">
        <v>100</v>
      </c>
      <c r="G91" s="1">
        <v>100</v>
      </c>
      <c r="H91" s="5">
        <v>15200</v>
      </c>
      <c r="I91" s="26">
        <f t="shared" si="4"/>
        <v>9424</v>
      </c>
      <c r="J91" s="26">
        <f t="shared" si="5"/>
        <v>9141.2800000000007</v>
      </c>
    </row>
    <row r="92" spans="1:10" ht="17.25" customHeight="1" x14ac:dyDescent="0.35">
      <c r="A92" s="6">
        <v>35</v>
      </c>
      <c r="B92" s="4"/>
      <c r="C92" s="19" t="s">
        <v>174</v>
      </c>
      <c r="D92" s="262">
        <v>3</v>
      </c>
      <c r="E92" s="262">
        <v>2.25</v>
      </c>
      <c r="F92" s="1">
        <v>50</v>
      </c>
      <c r="G92" s="1">
        <v>40</v>
      </c>
      <c r="H92" s="8">
        <v>18000</v>
      </c>
      <c r="I92" s="26">
        <f t="shared" si="4"/>
        <v>11160</v>
      </c>
      <c r="J92" s="26">
        <f t="shared" si="5"/>
        <v>10825.199999999999</v>
      </c>
    </row>
    <row r="93" spans="1:10" ht="17.25" customHeight="1" x14ac:dyDescent="0.35">
      <c r="A93" s="4">
        <v>36</v>
      </c>
      <c r="B93" s="4" t="s">
        <v>175</v>
      </c>
      <c r="C93" s="18" t="s">
        <v>176</v>
      </c>
      <c r="D93" s="266"/>
      <c r="E93" s="266"/>
      <c r="F93" s="1">
        <v>50</v>
      </c>
      <c r="G93" s="1">
        <v>40</v>
      </c>
      <c r="H93" s="5">
        <v>18560</v>
      </c>
      <c r="I93" s="26">
        <f t="shared" si="4"/>
        <v>11507.2</v>
      </c>
      <c r="J93" s="26">
        <f t="shared" si="5"/>
        <v>11161.984</v>
      </c>
    </row>
    <row r="94" spans="1:10" ht="17.25" customHeight="1" x14ac:dyDescent="0.35">
      <c r="A94" s="6">
        <v>37</v>
      </c>
      <c r="B94" s="4" t="s">
        <v>177</v>
      </c>
      <c r="C94" s="19" t="s">
        <v>178</v>
      </c>
      <c r="D94" s="266"/>
      <c r="E94" s="266"/>
      <c r="F94" s="1">
        <v>50</v>
      </c>
      <c r="G94" s="1">
        <v>50</v>
      </c>
      <c r="H94" s="8">
        <v>18250</v>
      </c>
      <c r="I94" s="26">
        <f t="shared" si="4"/>
        <v>11315</v>
      </c>
      <c r="J94" s="26">
        <f t="shared" si="5"/>
        <v>10975.55</v>
      </c>
    </row>
    <row r="95" spans="1:10" ht="17.25" customHeight="1" x14ac:dyDescent="0.35">
      <c r="A95" s="6">
        <v>38</v>
      </c>
      <c r="B95" s="4" t="s">
        <v>179</v>
      </c>
      <c r="C95" s="18" t="s">
        <v>180</v>
      </c>
      <c r="D95" s="266"/>
      <c r="E95" s="266"/>
      <c r="F95" s="1">
        <v>50</v>
      </c>
      <c r="G95" s="1">
        <v>50</v>
      </c>
      <c r="H95" s="5">
        <v>18670</v>
      </c>
      <c r="I95" s="26">
        <f t="shared" si="4"/>
        <v>11575.4</v>
      </c>
      <c r="J95" s="26">
        <f t="shared" si="5"/>
        <v>11228.137999999999</v>
      </c>
    </row>
    <row r="96" spans="1:10" ht="17.25" customHeight="1" x14ac:dyDescent="0.35">
      <c r="A96" s="4">
        <v>39</v>
      </c>
      <c r="B96" s="6" t="s">
        <v>181</v>
      </c>
      <c r="C96" s="14" t="s">
        <v>182</v>
      </c>
      <c r="D96" s="266"/>
      <c r="E96" s="266"/>
      <c r="F96" s="1">
        <v>65</v>
      </c>
      <c r="G96" s="1">
        <v>50</v>
      </c>
      <c r="H96" s="8">
        <v>18100</v>
      </c>
      <c r="I96" s="26">
        <f t="shared" si="4"/>
        <v>11222</v>
      </c>
      <c r="J96" s="26">
        <f t="shared" si="5"/>
        <v>10885.34</v>
      </c>
    </row>
    <row r="97" spans="1:10" ht="17.25" customHeight="1" x14ac:dyDescent="0.35">
      <c r="A97" s="6">
        <v>40</v>
      </c>
      <c r="B97" s="6" t="s">
        <v>183</v>
      </c>
      <c r="C97" s="14" t="s">
        <v>184</v>
      </c>
      <c r="D97" s="266"/>
      <c r="E97" s="266"/>
      <c r="F97" s="1">
        <v>65</v>
      </c>
      <c r="G97" s="1">
        <v>50</v>
      </c>
      <c r="H97" s="5">
        <v>18770</v>
      </c>
      <c r="I97" s="26">
        <f t="shared" si="4"/>
        <v>11637.4</v>
      </c>
      <c r="J97" s="26">
        <f t="shared" si="5"/>
        <v>11288.277999999998</v>
      </c>
    </row>
    <row r="98" spans="1:10" ht="17.25" customHeight="1" x14ac:dyDescent="0.35">
      <c r="A98" s="6">
        <v>41</v>
      </c>
      <c r="B98" s="6" t="s">
        <v>185</v>
      </c>
      <c r="C98" s="14" t="s">
        <v>186</v>
      </c>
      <c r="D98" s="266"/>
      <c r="E98" s="266"/>
      <c r="F98" s="1">
        <v>75</v>
      </c>
      <c r="G98" s="1">
        <v>75</v>
      </c>
      <c r="H98" s="8">
        <v>18020</v>
      </c>
      <c r="I98" s="26">
        <f t="shared" si="4"/>
        <v>11172.4</v>
      </c>
      <c r="J98" s="26">
        <f t="shared" si="5"/>
        <v>10837.227999999999</v>
      </c>
    </row>
    <row r="99" spans="1:10" ht="17.25" customHeight="1" x14ac:dyDescent="0.35">
      <c r="A99" s="4">
        <v>42</v>
      </c>
      <c r="B99" s="6" t="s">
        <v>187</v>
      </c>
      <c r="C99" s="14" t="s">
        <v>188</v>
      </c>
      <c r="D99" s="266"/>
      <c r="E99" s="266"/>
      <c r="F99" s="1">
        <v>75</v>
      </c>
      <c r="G99" s="1">
        <v>75</v>
      </c>
      <c r="H99" s="5">
        <v>18680</v>
      </c>
      <c r="I99" s="26">
        <f t="shared" si="4"/>
        <v>11581.6</v>
      </c>
      <c r="J99" s="26">
        <f t="shared" si="5"/>
        <v>11234.152</v>
      </c>
    </row>
    <row r="100" spans="1:10" ht="17.25" customHeight="1" x14ac:dyDescent="0.35">
      <c r="A100" s="6">
        <v>43</v>
      </c>
      <c r="B100" s="6" t="s">
        <v>189</v>
      </c>
      <c r="C100" s="14" t="s">
        <v>190</v>
      </c>
      <c r="D100" s="266"/>
      <c r="E100" s="266"/>
      <c r="F100" s="1">
        <v>100</v>
      </c>
      <c r="G100" s="1">
        <v>100</v>
      </c>
      <c r="H100" s="8">
        <v>19100</v>
      </c>
      <c r="I100" s="26">
        <f t="shared" si="4"/>
        <v>11842</v>
      </c>
      <c r="J100" s="26">
        <f t="shared" si="5"/>
        <v>11486.74</v>
      </c>
    </row>
    <row r="101" spans="1:10" ht="17.25" customHeight="1" x14ac:dyDescent="0.35">
      <c r="A101" s="6">
        <v>44</v>
      </c>
      <c r="B101" s="6" t="s">
        <v>191</v>
      </c>
      <c r="C101" s="14" t="s">
        <v>192</v>
      </c>
      <c r="D101" s="266"/>
      <c r="E101" s="266"/>
      <c r="F101" s="1">
        <v>100</v>
      </c>
      <c r="G101" s="1">
        <v>100</v>
      </c>
      <c r="H101" s="5">
        <v>19500</v>
      </c>
      <c r="I101" s="26">
        <f t="shared" si="4"/>
        <v>12090</v>
      </c>
      <c r="J101" s="26">
        <f t="shared" si="5"/>
        <v>11727.3</v>
      </c>
    </row>
    <row r="102" spans="1:10" ht="17.25" customHeight="1" x14ac:dyDescent="0.35">
      <c r="A102" s="4">
        <v>45</v>
      </c>
      <c r="B102" s="6" t="s">
        <v>193</v>
      </c>
      <c r="C102" s="14" t="s">
        <v>194</v>
      </c>
      <c r="D102" s="266"/>
      <c r="E102" s="266"/>
      <c r="F102" s="1">
        <v>100</v>
      </c>
      <c r="G102" s="1">
        <v>100</v>
      </c>
      <c r="H102" s="5">
        <v>14800</v>
      </c>
      <c r="I102" s="26">
        <f t="shared" si="4"/>
        <v>9176</v>
      </c>
      <c r="J102" s="26">
        <f t="shared" si="5"/>
        <v>8900.7199999999993</v>
      </c>
    </row>
    <row r="103" spans="1:10" ht="17.25" customHeight="1" x14ac:dyDescent="0.35">
      <c r="A103" s="6">
        <v>46</v>
      </c>
      <c r="B103" s="4" t="s">
        <v>195</v>
      </c>
      <c r="C103" s="18" t="s">
        <v>196</v>
      </c>
      <c r="D103" s="263"/>
      <c r="E103" s="263"/>
      <c r="F103" s="1">
        <v>100</v>
      </c>
      <c r="G103" s="1">
        <v>100</v>
      </c>
      <c r="H103" s="5">
        <v>15000</v>
      </c>
      <c r="I103" s="26">
        <f t="shared" si="4"/>
        <v>9300</v>
      </c>
      <c r="J103" s="26">
        <f t="shared" si="5"/>
        <v>9021</v>
      </c>
    </row>
    <row r="104" spans="1:10" ht="17.25" customHeight="1" x14ac:dyDescent="0.35">
      <c r="A104" s="6">
        <v>47</v>
      </c>
      <c r="B104" s="6" t="s">
        <v>197</v>
      </c>
      <c r="C104" s="14" t="s">
        <v>198</v>
      </c>
      <c r="D104" s="262">
        <v>5</v>
      </c>
      <c r="E104" s="262">
        <v>3.75</v>
      </c>
      <c r="F104" s="1">
        <v>80</v>
      </c>
      <c r="G104" s="1">
        <v>65</v>
      </c>
      <c r="H104" s="5">
        <v>24600</v>
      </c>
      <c r="I104" s="26">
        <f t="shared" si="4"/>
        <v>15252</v>
      </c>
      <c r="J104" s="26">
        <f t="shared" si="5"/>
        <v>14794.439999999999</v>
      </c>
    </row>
    <row r="105" spans="1:10" ht="17.25" customHeight="1" x14ac:dyDescent="0.35">
      <c r="A105" s="4">
        <v>48</v>
      </c>
      <c r="B105" s="4"/>
      <c r="C105" s="20" t="s">
        <v>199</v>
      </c>
      <c r="D105" s="266"/>
      <c r="E105" s="266"/>
      <c r="F105" s="1">
        <v>80</v>
      </c>
      <c r="G105" s="1">
        <v>65</v>
      </c>
      <c r="H105" s="5">
        <v>26000</v>
      </c>
      <c r="I105" s="26">
        <f t="shared" si="4"/>
        <v>16120</v>
      </c>
      <c r="J105" s="26">
        <f t="shared" si="5"/>
        <v>15636.4</v>
      </c>
    </row>
    <row r="106" spans="1:10" ht="17.25" customHeight="1" x14ac:dyDescent="0.35">
      <c r="A106" s="6">
        <v>49</v>
      </c>
      <c r="B106" s="6" t="s">
        <v>200</v>
      </c>
      <c r="C106" s="20" t="s">
        <v>201</v>
      </c>
      <c r="D106" s="263"/>
      <c r="E106" s="263"/>
      <c r="F106" s="1">
        <v>80</v>
      </c>
      <c r="G106" s="1">
        <v>65</v>
      </c>
      <c r="H106" s="5">
        <v>23600</v>
      </c>
      <c r="I106" s="26">
        <f t="shared" si="4"/>
        <v>14632</v>
      </c>
      <c r="J106" s="26">
        <f t="shared" si="5"/>
        <v>14193.039999999999</v>
      </c>
    </row>
    <row r="107" spans="1:10" ht="17.25" customHeight="1" x14ac:dyDescent="0.35">
      <c r="A107" s="6">
        <v>50</v>
      </c>
      <c r="B107" s="4" t="s">
        <v>202</v>
      </c>
      <c r="C107" s="18" t="s">
        <v>203</v>
      </c>
      <c r="D107" s="7">
        <v>0.75</v>
      </c>
      <c r="E107" s="7">
        <v>0.56000000000000005</v>
      </c>
      <c r="F107" s="2">
        <v>25</v>
      </c>
      <c r="G107" s="2">
        <v>25</v>
      </c>
      <c r="H107" s="5">
        <v>5170</v>
      </c>
      <c r="I107" s="26">
        <f t="shared" si="4"/>
        <v>3205.4</v>
      </c>
      <c r="J107" s="26">
        <f t="shared" si="5"/>
        <v>3109.2379999999998</v>
      </c>
    </row>
    <row r="108" spans="1:10" ht="17.25" customHeight="1" x14ac:dyDescent="0.35">
      <c r="A108" s="4">
        <v>51</v>
      </c>
      <c r="B108" s="4" t="s">
        <v>204</v>
      </c>
      <c r="C108" s="18" t="s">
        <v>205</v>
      </c>
      <c r="D108" s="262">
        <v>1</v>
      </c>
      <c r="E108" s="262">
        <v>0.75</v>
      </c>
      <c r="F108" s="1">
        <v>40</v>
      </c>
      <c r="G108" s="1">
        <v>40</v>
      </c>
      <c r="H108" s="5">
        <v>9000</v>
      </c>
      <c r="I108" s="26">
        <f t="shared" si="4"/>
        <v>5580</v>
      </c>
      <c r="J108" s="26">
        <f t="shared" si="5"/>
        <v>5412.5999999999995</v>
      </c>
    </row>
    <row r="109" spans="1:10" ht="17.25" customHeight="1" x14ac:dyDescent="0.35">
      <c r="A109" s="6">
        <v>52</v>
      </c>
      <c r="B109" s="4"/>
      <c r="C109" s="18" t="s">
        <v>206</v>
      </c>
      <c r="D109" s="263"/>
      <c r="E109" s="263"/>
      <c r="F109" s="1">
        <v>40</v>
      </c>
      <c r="G109" s="1">
        <v>40</v>
      </c>
      <c r="H109" s="5">
        <v>9000</v>
      </c>
      <c r="I109" s="26">
        <f t="shared" si="4"/>
        <v>5580</v>
      </c>
      <c r="J109" s="26">
        <f t="shared" si="5"/>
        <v>5412.5999999999995</v>
      </c>
    </row>
    <row r="110" spans="1:10" ht="17.25" customHeight="1" x14ac:dyDescent="0.35">
      <c r="A110" s="6">
        <v>53</v>
      </c>
      <c r="B110" s="4"/>
      <c r="C110" s="20" t="s">
        <v>207</v>
      </c>
      <c r="D110" s="262">
        <v>2</v>
      </c>
      <c r="E110" s="262">
        <v>1.5</v>
      </c>
      <c r="F110" s="1">
        <v>75</v>
      </c>
      <c r="G110" s="1">
        <v>75</v>
      </c>
      <c r="H110" s="5">
        <v>12500</v>
      </c>
      <c r="I110" s="26">
        <f t="shared" si="4"/>
        <v>7750</v>
      </c>
      <c r="J110" s="26">
        <f t="shared" si="5"/>
        <v>7517.5</v>
      </c>
    </row>
    <row r="111" spans="1:10" ht="17.25" customHeight="1" x14ac:dyDescent="0.35">
      <c r="A111" s="4">
        <v>54</v>
      </c>
      <c r="B111" s="4" t="s">
        <v>208</v>
      </c>
      <c r="C111" s="20" t="s">
        <v>209</v>
      </c>
      <c r="D111" s="266"/>
      <c r="E111" s="266"/>
      <c r="F111" s="1">
        <v>75</v>
      </c>
      <c r="G111" s="1">
        <v>75</v>
      </c>
      <c r="H111" s="5">
        <v>12500</v>
      </c>
      <c r="I111" s="26">
        <f t="shared" si="4"/>
        <v>7750</v>
      </c>
      <c r="J111" s="26">
        <f t="shared" si="5"/>
        <v>7517.5</v>
      </c>
    </row>
    <row r="112" spans="1:10" ht="17.25" customHeight="1" x14ac:dyDescent="0.35">
      <c r="A112" s="6">
        <v>55</v>
      </c>
      <c r="B112" s="4" t="s">
        <v>210</v>
      </c>
      <c r="C112" s="20" t="s">
        <v>211</v>
      </c>
      <c r="D112" s="266"/>
      <c r="E112" s="266"/>
      <c r="F112" s="1">
        <v>65</v>
      </c>
      <c r="G112" s="1">
        <v>50</v>
      </c>
      <c r="H112" s="5">
        <v>12200</v>
      </c>
      <c r="I112" s="26">
        <f t="shared" si="4"/>
        <v>7564</v>
      </c>
      <c r="J112" s="26">
        <f t="shared" si="5"/>
        <v>7337.08</v>
      </c>
    </row>
    <row r="113" spans="1:10" ht="17.25" customHeight="1" x14ac:dyDescent="0.35">
      <c r="A113" s="6">
        <v>56</v>
      </c>
      <c r="B113" s="4" t="s">
        <v>212</v>
      </c>
      <c r="C113" s="20" t="s">
        <v>213</v>
      </c>
      <c r="D113" s="263"/>
      <c r="E113" s="263"/>
      <c r="F113" s="1">
        <v>50</v>
      </c>
      <c r="G113" s="1">
        <v>50</v>
      </c>
      <c r="H113" s="5">
        <v>12200</v>
      </c>
      <c r="I113" s="26">
        <f t="shared" si="4"/>
        <v>7564</v>
      </c>
      <c r="J113" s="26">
        <f t="shared" si="5"/>
        <v>7337.08</v>
      </c>
    </row>
    <row r="114" spans="1:10" ht="17.25" customHeight="1" x14ac:dyDescent="0.35">
      <c r="A114" s="300" t="s">
        <v>214</v>
      </c>
      <c r="B114" s="300"/>
      <c r="C114" s="300"/>
      <c r="D114" s="300"/>
      <c r="E114" s="300"/>
      <c r="F114" s="300"/>
      <c r="G114" s="300"/>
      <c r="H114" s="207" t="s">
        <v>109</v>
      </c>
      <c r="I114" s="315" t="s">
        <v>498</v>
      </c>
    </row>
    <row r="115" spans="1:10" ht="17.25" customHeight="1" x14ac:dyDescent="0.35">
      <c r="A115" s="207" t="s">
        <v>2</v>
      </c>
      <c r="B115" s="287" t="s">
        <v>3</v>
      </c>
      <c r="C115" s="298" t="s">
        <v>4</v>
      </c>
      <c r="D115" s="287" t="s">
        <v>5</v>
      </c>
      <c r="E115" s="287"/>
      <c r="F115" s="287" t="s">
        <v>6</v>
      </c>
      <c r="G115" s="287"/>
      <c r="H115" s="259"/>
      <c r="I115" s="315"/>
    </row>
    <row r="116" spans="1:10" ht="17.25" customHeight="1" x14ac:dyDescent="0.35">
      <c r="A116" s="208"/>
      <c r="B116" s="287"/>
      <c r="C116" s="298"/>
      <c r="D116" s="11" t="s">
        <v>9</v>
      </c>
      <c r="E116" s="11" t="s">
        <v>10</v>
      </c>
      <c r="F116" s="11" t="s">
        <v>11</v>
      </c>
      <c r="G116" s="11" t="s">
        <v>12</v>
      </c>
      <c r="H116" s="208"/>
      <c r="I116" s="315"/>
    </row>
    <row r="117" spans="1:10" ht="17.25" customHeight="1" x14ac:dyDescent="0.35">
      <c r="A117" s="4">
        <v>1</v>
      </c>
      <c r="B117" s="4" t="s">
        <v>215</v>
      </c>
      <c r="C117" s="12" t="s">
        <v>216</v>
      </c>
      <c r="D117" s="2">
        <v>0.5</v>
      </c>
      <c r="E117" s="2">
        <v>0.37</v>
      </c>
      <c r="F117" s="2">
        <v>25</v>
      </c>
      <c r="G117" s="2">
        <v>25</v>
      </c>
      <c r="H117" s="13">
        <v>5370</v>
      </c>
      <c r="I117" s="96">
        <f t="shared" ref="I117:I128" si="6">H117*0.63</f>
        <v>3383.1</v>
      </c>
    </row>
    <row r="118" spans="1:10" ht="17.25" customHeight="1" x14ac:dyDescent="0.35">
      <c r="A118" s="4">
        <v>2</v>
      </c>
      <c r="B118" s="4" t="s">
        <v>217</v>
      </c>
      <c r="C118" s="12" t="s">
        <v>218</v>
      </c>
      <c r="D118" s="2">
        <v>1</v>
      </c>
      <c r="E118" s="2">
        <v>0.75</v>
      </c>
      <c r="F118" s="2">
        <v>25</v>
      </c>
      <c r="G118" s="2">
        <v>25</v>
      </c>
      <c r="H118" s="13">
        <v>7070</v>
      </c>
      <c r="I118" s="149">
        <v>4793</v>
      </c>
    </row>
    <row r="119" spans="1:10" ht="17.25" customHeight="1" x14ac:dyDescent="0.35">
      <c r="A119" s="4">
        <v>3</v>
      </c>
      <c r="B119" s="21" t="s">
        <v>219</v>
      </c>
      <c r="C119" s="22" t="s">
        <v>220</v>
      </c>
      <c r="D119" s="23">
        <v>2</v>
      </c>
      <c r="E119" s="4">
        <v>1.5</v>
      </c>
      <c r="F119" s="4">
        <v>50</v>
      </c>
      <c r="G119" s="4">
        <v>50</v>
      </c>
      <c r="H119" s="4">
        <v>12200</v>
      </c>
      <c r="I119" s="96">
        <f t="shared" si="6"/>
        <v>7686</v>
      </c>
    </row>
    <row r="120" spans="1:10" ht="17.25" customHeight="1" x14ac:dyDescent="0.35">
      <c r="A120" s="4">
        <v>4</v>
      </c>
      <c r="B120" s="21" t="s">
        <v>221</v>
      </c>
      <c r="C120" s="22" t="s">
        <v>222</v>
      </c>
      <c r="D120" s="23">
        <v>2</v>
      </c>
      <c r="E120" s="4">
        <v>1.5</v>
      </c>
      <c r="F120" s="4">
        <v>50</v>
      </c>
      <c r="G120" s="4">
        <v>50</v>
      </c>
      <c r="H120" s="4">
        <v>12200</v>
      </c>
      <c r="I120" s="96">
        <f t="shared" si="6"/>
        <v>7686</v>
      </c>
    </row>
    <row r="121" spans="1:10" ht="17.25" customHeight="1" x14ac:dyDescent="0.35">
      <c r="A121" s="4">
        <v>5</v>
      </c>
      <c r="B121" s="21" t="s">
        <v>223</v>
      </c>
      <c r="C121" s="22" t="s">
        <v>224</v>
      </c>
      <c r="D121" s="23">
        <v>2</v>
      </c>
      <c r="E121" s="4">
        <v>1.5</v>
      </c>
      <c r="F121" s="4">
        <v>65</v>
      </c>
      <c r="G121" s="4">
        <v>50</v>
      </c>
      <c r="H121" s="4">
        <v>12300</v>
      </c>
      <c r="I121" s="96">
        <f t="shared" si="6"/>
        <v>7749</v>
      </c>
    </row>
    <row r="122" spans="1:10" ht="17.25" customHeight="1" x14ac:dyDescent="0.35">
      <c r="A122" s="4">
        <v>6</v>
      </c>
      <c r="B122" s="21" t="s">
        <v>225</v>
      </c>
      <c r="C122" s="22" t="s">
        <v>226</v>
      </c>
      <c r="D122" s="23">
        <v>2</v>
      </c>
      <c r="E122" s="4">
        <v>1.5</v>
      </c>
      <c r="F122" s="4">
        <v>65</v>
      </c>
      <c r="G122" s="4">
        <v>50</v>
      </c>
      <c r="H122" s="4">
        <v>12300</v>
      </c>
      <c r="I122" s="96">
        <f t="shared" si="6"/>
        <v>7749</v>
      </c>
    </row>
    <row r="123" spans="1:10" ht="17.25" customHeight="1" x14ac:dyDescent="0.35">
      <c r="A123" s="4">
        <v>7</v>
      </c>
      <c r="B123" s="21" t="s">
        <v>227</v>
      </c>
      <c r="C123" s="22" t="s">
        <v>228</v>
      </c>
      <c r="D123" s="21">
        <v>3</v>
      </c>
      <c r="E123" s="4">
        <v>2.25</v>
      </c>
      <c r="F123" s="4">
        <v>65</v>
      </c>
      <c r="G123" s="4">
        <v>50</v>
      </c>
      <c r="H123" s="4">
        <v>12900</v>
      </c>
      <c r="I123" s="96">
        <f t="shared" si="6"/>
        <v>8127</v>
      </c>
    </row>
    <row r="124" spans="1:10" ht="17.25" customHeight="1" x14ac:dyDescent="0.35">
      <c r="A124" s="4">
        <v>8</v>
      </c>
      <c r="B124" s="21" t="s">
        <v>229</v>
      </c>
      <c r="C124" s="24" t="s">
        <v>230</v>
      </c>
      <c r="D124" s="21">
        <v>3</v>
      </c>
      <c r="E124" s="4">
        <v>2.25</v>
      </c>
      <c r="F124" s="4">
        <v>65</v>
      </c>
      <c r="G124" s="4">
        <v>50</v>
      </c>
      <c r="H124" s="4">
        <v>13000</v>
      </c>
      <c r="I124" s="96">
        <f t="shared" si="6"/>
        <v>8190</v>
      </c>
    </row>
    <row r="125" spans="1:10" ht="17.25" customHeight="1" x14ac:dyDescent="0.35">
      <c r="A125" s="4">
        <v>9</v>
      </c>
      <c r="B125" s="21" t="s">
        <v>231</v>
      </c>
      <c r="C125" s="24" t="s">
        <v>232</v>
      </c>
      <c r="D125" s="21">
        <v>3</v>
      </c>
      <c r="E125" s="4">
        <v>2.25</v>
      </c>
      <c r="F125" s="4">
        <v>65</v>
      </c>
      <c r="G125" s="4">
        <v>50</v>
      </c>
      <c r="H125" s="4">
        <v>12900</v>
      </c>
      <c r="I125" s="96">
        <f t="shared" si="6"/>
        <v>8127</v>
      </c>
    </row>
    <row r="126" spans="1:10" ht="17.25" customHeight="1" x14ac:dyDescent="0.35">
      <c r="A126" s="4">
        <v>10</v>
      </c>
      <c r="B126" s="21" t="s">
        <v>233</v>
      </c>
      <c r="C126" s="24" t="s">
        <v>234</v>
      </c>
      <c r="D126" s="21">
        <v>3</v>
      </c>
      <c r="E126" s="4">
        <v>2.25</v>
      </c>
      <c r="F126" s="4">
        <v>65</v>
      </c>
      <c r="G126" s="4">
        <v>50</v>
      </c>
      <c r="H126" s="4">
        <v>19300</v>
      </c>
      <c r="I126" s="96">
        <f t="shared" si="6"/>
        <v>12159</v>
      </c>
    </row>
    <row r="127" spans="1:10" ht="17.25" customHeight="1" x14ac:dyDescent="0.35">
      <c r="A127" s="4">
        <v>11</v>
      </c>
      <c r="B127" s="21" t="s">
        <v>235</v>
      </c>
      <c r="C127" s="24" t="s">
        <v>236</v>
      </c>
      <c r="D127" s="21">
        <v>5</v>
      </c>
      <c r="E127" s="1">
        <v>3.75</v>
      </c>
      <c r="F127" s="4">
        <v>65</v>
      </c>
      <c r="G127" s="4">
        <v>50</v>
      </c>
      <c r="H127" s="4">
        <v>18700</v>
      </c>
      <c r="I127" s="96">
        <f t="shared" si="6"/>
        <v>11781</v>
      </c>
    </row>
    <row r="128" spans="1:10" ht="17.25" customHeight="1" x14ac:dyDescent="0.35">
      <c r="A128" s="4">
        <v>12</v>
      </c>
      <c r="B128" s="21" t="s">
        <v>237</v>
      </c>
      <c r="C128" s="24" t="s">
        <v>238</v>
      </c>
      <c r="D128" s="21">
        <v>5</v>
      </c>
      <c r="E128" s="1">
        <v>3.75</v>
      </c>
      <c r="F128" s="4">
        <v>65</v>
      </c>
      <c r="G128" s="4">
        <v>50</v>
      </c>
      <c r="H128" s="4">
        <v>22900</v>
      </c>
      <c r="I128" s="96">
        <f t="shared" si="6"/>
        <v>14427</v>
      </c>
    </row>
    <row r="129" spans="1:9" ht="17.25" customHeight="1" x14ac:dyDescent="0.35">
      <c r="A129" s="300" t="s">
        <v>239</v>
      </c>
      <c r="B129" s="300"/>
      <c r="C129" s="300"/>
      <c r="D129" s="300"/>
      <c r="E129" s="300"/>
      <c r="F129" s="300"/>
      <c r="G129" s="300"/>
      <c r="H129" s="207" t="s">
        <v>109</v>
      </c>
      <c r="I129" s="315" t="s">
        <v>498</v>
      </c>
    </row>
    <row r="130" spans="1:9" ht="17.25" customHeight="1" x14ac:dyDescent="0.35">
      <c r="A130" s="287" t="s">
        <v>2</v>
      </c>
      <c r="B130" s="287" t="s">
        <v>3</v>
      </c>
      <c r="C130" s="298" t="s">
        <v>4</v>
      </c>
      <c r="D130" s="287" t="s">
        <v>5</v>
      </c>
      <c r="E130" s="287"/>
      <c r="F130" s="272" t="s">
        <v>6</v>
      </c>
      <c r="G130" s="273"/>
      <c r="H130" s="259"/>
      <c r="I130" s="315"/>
    </row>
    <row r="131" spans="1:9" ht="17.25" customHeight="1" x14ac:dyDescent="0.35">
      <c r="A131" s="287"/>
      <c r="B131" s="287"/>
      <c r="C131" s="298"/>
      <c r="D131" s="11" t="s">
        <v>9</v>
      </c>
      <c r="E131" s="11" t="s">
        <v>10</v>
      </c>
      <c r="F131" s="274"/>
      <c r="G131" s="275"/>
      <c r="H131" s="208"/>
      <c r="I131" s="315"/>
    </row>
    <row r="132" spans="1:9" ht="17.25" customHeight="1" x14ac:dyDescent="0.35">
      <c r="A132" s="4">
        <v>1</v>
      </c>
      <c r="B132" s="4" t="s">
        <v>240</v>
      </c>
      <c r="C132" s="25" t="s">
        <v>241</v>
      </c>
      <c r="D132" s="4">
        <v>0.5</v>
      </c>
      <c r="E132" s="4"/>
      <c r="F132" s="292">
        <v>32</v>
      </c>
      <c r="G132" s="292"/>
      <c r="H132" s="4">
        <v>8240</v>
      </c>
      <c r="I132" s="96">
        <f t="shared" ref="I132:I154" si="7">H132*0.63</f>
        <v>5191.2</v>
      </c>
    </row>
    <row r="133" spans="1:9" ht="17.25" customHeight="1" x14ac:dyDescent="0.35">
      <c r="A133" s="4">
        <v>2</v>
      </c>
      <c r="B133" s="4" t="s">
        <v>242</v>
      </c>
      <c r="C133" s="25" t="s">
        <v>243</v>
      </c>
      <c r="D133" s="4">
        <v>0.5</v>
      </c>
      <c r="E133" s="4"/>
      <c r="F133" s="292">
        <v>32</v>
      </c>
      <c r="G133" s="292"/>
      <c r="H133" s="4">
        <v>8450</v>
      </c>
      <c r="I133" s="96">
        <f t="shared" si="7"/>
        <v>5323.5</v>
      </c>
    </row>
    <row r="134" spans="1:9" ht="17.25" customHeight="1" x14ac:dyDescent="0.35">
      <c r="A134" s="4">
        <v>3</v>
      </c>
      <c r="B134" s="4" t="s">
        <v>244</v>
      </c>
      <c r="C134" s="25" t="s">
        <v>245</v>
      </c>
      <c r="D134" s="4">
        <v>0.75</v>
      </c>
      <c r="E134" s="4"/>
      <c r="F134" s="292">
        <v>32</v>
      </c>
      <c r="G134" s="292"/>
      <c r="H134" s="4">
        <v>8550</v>
      </c>
      <c r="I134" s="96">
        <f t="shared" si="7"/>
        <v>5386.5</v>
      </c>
    </row>
    <row r="135" spans="1:9" ht="17.25" customHeight="1" x14ac:dyDescent="0.35">
      <c r="A135" s="4">
        <v>4</v>
      </c>
      <c r="B135" s="4" t="s">
        <v>246</v>
      </c>
      <c r="C135" s="25" t="s">
        <v>247</v>
      </c>
      <c r="D135" s="4">
        <v>0.75</v>
      </c>
      <c r="E135" s="4"/>
      <c r="F135" s="292">
        <v>32</v>
      </c>
      <c r="G135" s="292"/>
      <c r="H135" s="4">
        <v>8750</v>
      </c>
      <c r="I135" s="96">
        <f t="shared" si="7"/>
        <v>5512.5</v>
      </c>
    </row>
    <row r="136" spans="1:9" ht="17.25" customHeight="1" x14ac:dyDescent="0.35">
      <c r="A136" s="4">
        <v>5</v>
      </c>
      <c r="B136" s="4" t="s">
        <v>248</v>
      </c>
      <c r="C136" s="25" t="s">
        <v>249</v>
      </c>
      <c r="D136" s="4">
        <v>1</v>
      </c>
      <c r="E136" s="4"/>
      <c r="F136" s="292">
        <v>32</v>
      </c>
      <c r="G136" s="292"/>
      <c r="H136" s="26">
        <v>8800</v>
      </c>
      <c r="I136" s="96">
        <f t="shared" si="7"/>
        <v>5544</v>
      </c>
    </row>
    <row r="137" spans="1:9" ht="17.25" customHeight="1" x14ac:dyDescent="0.35">
      <c r="A137" s="4">
        <v>6</v>
      </c>
      <c r="B137" s="4" t="s">
        <v>250</v>
      </c>
      <c r="C137" s="25" t="s">
        <v>251</v>
      </c>
      <c r="D137" s="4">
        <v>1</v>
      </c>
      <c r="E137" s="4"/>
      <c r="F137" s="292">
        <v>32</v>
      </c>
      <c r="G137" s="292"/>
      <c r="H137" s="26">
        <v>9000</v>
      </c>
      <c r="I137" s="96">
        <f t="shared" si="7"/>
        <v>5670</v>
      </c>
    </row>
    <row r="138" spans="1:9" ht="17.25" customHeight="1" x14ac:dyDescent="0.35">
      <c r="A138" s="4">
        <v>7</v>
      </c>
      <c r="B138" s="4" t="s">
        <v>252</v>
      </c>
      <c r="C138" s="25" t="s">
        <v>253</v>
      </c>
      <c r="D138" s="4">
        <v>1</v>
      </c>
      <c r="E138" s="4"/>
      <c r="F138" s="292">
        <v>32</v>
      </c>
      <c r="G138" s="292"/>
      <c r="H138" s="4">
        <v>9480</v>
      </c>
      <c r="I138" s="96">
        <f t="shared" si="7"/>
        <v>5972.4</v>
      </c>
    </row>
    <row r="139" spans="1:9" ht="17.25" customHeight="1" x14ac:dyDescent="0.35">
      <c r="A139" s="4">
        <v>8</v>
      </c>
      <c r="B139" s="4" t="s">
        <v>254</v>
      </c>
      <c r="C139" s="25" t="s">
        <v>255</v>
      </c>
      <c r="D139" s="4">
        <v>1</v>
      </c>
      <c r="E139" s="4"/>
      <c r="F139" s="292">
        <v>32</v>
      </c>
      <c r="G139" s="292"/>
      <c r="H139" s="4">
        <v>9790</v>
      </c>
      <c r="I139" s="96">
        <f t="shared" si="7"/>
        <v>6167.7</v>
      </c>
    </row>
    <row r="140" spans="1:9" ht="17.25" customHeight="1" x14ac:dyDescent="0.35">
      <c r="A140" s="4">
        <v>9</v>
      </c>
      <c r="B140" s="4" t="s">
        <v>256</v>
      </c>
      <c r="C140" s="25" t="s">
        <v>257</v>
      </c>
      <c r="D140" s="4">
        <v>1.5</v>
      </c>
      <c r="E140" s="4"/>
      <c r="F140" s="292">
        <v>32</v>
      </c>
      <c r="G140" s="292"/>
      <c r="H140" s="4">
        <v>11330</v>
      </c>
      <c r="I140" s="96">
        <f t="shared" si="7"/>
        <v>7137.9</v>
      </c>
    </row>
    <row r="141" spans="1:9" ht="17.25" customHeight="1" x14ac:dyDescent="0.35">
      <c r="A141" s="4">
        <v>10</v>
      </c>
      <c r="B141" s="4" t="s">
        <v>258</v>
      </c>
      <c r="C141" s="25" t="s">
        <v>259</v>
      </c>
      <c r="D141" s="4">
        <v>1.5</v>
      </c>
      <c r="E141" s="4"/>
      <c r="F141" s="292">
        <v>32</v>
      </c>
      <c r="G141" s="292"/>
      <c r="H141" s="4">
        <v>11640</v>
      </c>
      <c r="I141" s="96">
        <f t="shared" si="7"/>
        <v>7333.2</v>
      </c>
    </row>
    <row r="142" spans="1:9" ht="17.25" customHeight="1" x14ac:dyDescent="0.35">
      <c r="A142" s="4">
        <v>11</v>
      </c>
      <c r="B142" s="4" t="s">
        <v>260</v>
      </c>
      <c r="C142" s="25" t="s">
        <v>261</v>
      </c>
      <c r="D142" s="4">
        <v>1.5</v>
      </c>
      <c r="E142" s="4"/>
      <c r="F142" s="292">
        <v>32</v>
      </c>
      <c r="G142" s="292"/>
      <c r="H142" s="4">
        <v>11800</v>
      </c>
      <c r="I142" s="96">
        <f t="shared" si="7"/>
        <v>7434</v>
      </c>
    </row>
    <row r="143" spans="1:9" ht="17.25" customHeight="1" x14ac:dyDescent="0.35">
      <c r="A143" s="4">
        <v>12</v>
      </c>
      <c r="B143" s="4" t="s">
        <v>262</v>
      </c>
      <c r="C143" s="25" t="s">
        <v>263</v>
      </c>
      <c r="D143" s="4">
        <v>1.5</v>
      </c>
      <c r="E143" s="4"/>
      <c r="F143" s="292">
        <v>32</v>
      </c>
      <c r="G143" s="292"/>
      <c r="H143" s="4">
        <v>12670</v>
      </c>
      <c r="I143" s="96">
        <f t="shared" si="7"/>
        <v>7982.1</v>
      </c>
    </row>
    <row r="144" spans="1:9" ht="17.25" customHeight="1" x14ac:dyDescent="0.35">
      <c r="A144" s="4">
        <v>13</v>
      </c>
      <c r="B144" s="4" t="s">
        <v>264</v>
      </c>
      <c r="C144" s="25" t="s">
        <v>265</v>
      </c>
      <c r="D144" s="4">
        <v>2</v>
      </c>
      <c r="E144" s="4"/>
      <c r="F144" s="292">
        <v>40</v>
      </c>
      <c r="G144" s="292"/>
      <c r="H144" s="4">
        <v>14730</v>
      </c>
      <c r="I144" s="96">
        <f t="shared" si="7"/>
        <v>9279.9</v>
      </c>
    </row>
    <row r="145" spans="1:9" ht="17.25" customHeight="1" x14ac:dyDescent="0.35">
      <c r="A145" s="4">
        <v>14</v>
      </c>
      <c r="B145" s="4" t="s">
        <v>266</v>
      </c>
      <c r="C145" s="25" t="s">
        <v>267</v>
      </c>
      <c r="D145" s="4">
        <v>2</v>
      </c>
      <c r="E145" s="4"/>
      <c r="F145" s="292">
        <v>32</v>
      </c>
      <c r="G145" s="292"/>
      <c r="H145" s="4">
        <v>15250</v>
      </c>
      <c r="I145" s="96">
        <f t="shared" si="7"/>
        <v>9607.5</v>
      </c>
    </row>
    <row r="146" spans="1:9" ht="17.25" customHeight="1" x14ac:dyDescent="0.35">
      <c r="A146" s="4">
        <v>15</v>
      </c>
      <c r="B146" s="4" t="s">
        <v>268</v>
      </c>
      <c r="C146" s="25" t="s">
        <v>269</v>
      </c>
      <c r="D146" s="4">
        <v>2</v>
      </c>
      <c r="E146" s="4"/>
      <c r="F146" s="292">
        <v>32</v>
      </c>
      <c r="G146" s="292"/>
      <c r="H146" s="4">
        <v>15860</v>
      </c>
      <c r="I146" s="96">
        <f t="shared" si="7"/>
        <v>9991.7999999999993</v>
      </c>
    </row>
    <row r="147" spans="1:9" ht="17.25" customHeight="1" x14ac:dyDescent="0.35">
      <c r="A147" s="4">
        <v>16</v>
      </c>
      <c r="B147" s="4" t="s">
        <v>270</v>
      </c>
      <c r="C147" s="25" t="s">
        <v>271</v>
      </c>
      <c r="D147" s="4">
        <v>2</v>
      </c>
      <c r="E147" s="4"/>
      <c r="F147" s="292">
        <v>32</v>
      </c>
      <c r="G147" s="292"/>
      <c r="H147" s="4">
        <v>15970</v>
      </c>
      <c r="I147" s="96">
        <f t="shared" si="7"/>
        <v>10061.1</v>
      </c>
    </row>
    <row r="148" spans="1:9" ht="17.25" customHeight="1" x14ac:dyDescent="0.35">
      <c r="A148" s="4">
        <v>17</v>
      </c>
      <c r="B148" s="4" t="s">
        <v>272</v>
      </c>
      <c r="C148" s="25" t="s">
        <v>273</v>
      </c>
      <c r="D148" s="4">
        <v>2</v>
      </c>
      <c r="E148" s="4"/>
      <c r="F148" s="292">
        <v>32</v>
      </c>
      <c r="G148" s="292"/>
      <c r="H148" s="4">
        <v>16480</v>
      </c>
      <c r="I148" s="96">
        <f t="shared" si="7"/>
        <v>10382.4</v>
      </c>
    </row>
    <row r="149" spans="1:9" ht="17.25" customHeight="1" x14ac:dyDescent="0.35">
      <c r="A149" s="4">
        <v>18</v>
      </c>
      <c r="B149" s="4" t="s">
        <v>274</v>
      </c>
      <c r="C149" s="25" t="s">
        <v>275</v>
      </c>
      <c r="D149" s="4">
        <v>2</v>
      </c>
      <c r="E149" s="4"/>
      <c r="F149" s="292">
        <v>65</v>
      </c>
      <c r="G149" s="292"/>
      <c r="H149" s="4">
        <v>14940</v>
      </c>
      <c r="I149" s="96">
        <f t="shared" si="7"/>
        <v>9412.2000000000007</v>
      </c>
    </row>
    <row r="150" spans="1:9" ht="17.25" customHeight="1" x14ac:dyDescent="0.35">
      <c r="A150" s="4">
        <v>19</v>
      </c>
      <c r="B150" s="4" t="s">
        <v>276</v>
      </c>
      <c r="C150" s="25" t="s">
        <v>277</v>
      </c>
      <c r="D150" s="4">
        <v>3</v>
      </c>
      <c r="E150" s="4"/>
      <c r="F150" s="292">
        <v>32</v>
      </c>
      <c r="G150" s="292"/>
      <c r="H150" s="4">
        <v>23500</v>
      </c>
      <c r="I150" s="96">
        <f t="shared" si="7"/>
        <v>14805</v>
      </c>
    </row>
    <row r="151" spans="1:9" ht="17.25" customHeight="1" x14ac:dyDescent="0.35">
      <c r="A151" s="4">
        <v>20</v>
      </c>
      <c r="B151" s="4" t="s">
        <v>278</v>
      </c>
      <c r="C151" s="25" t="s">
        <v>279</v>
      </c>
      <c r="D151" s="4">
        <v>3</v>
      </c>
      <c r="E151" s="4"/>
      <c r="F151" s="292">
        <v>32</v>
      </c>
      <c r="G151" s="292"/>
      <c r="H151" s="4">
        <v>24000</v>
      </c>
      <c r="I151" s="96">
        <f t="shared" si="7"/>
        <v>15120</v>
      </c>
    </row>
    <row r="152" spans="1:9" ht="17.25" customHeight="1" x14ac:dyDescent="0.35">
      <c r="A152" s="4">
        <v>21</v>
      </c>
      <c r="B152" s="4" t="s">
        <v>280</v>
      </c>
      <c r="C152" s="25" t="s">
        <v>281</v>
      </c>
      <c r="D152" s="4">
        <v>3</v>
      </c>
      <c r="E152" s="4"/>
      <c r="F152" s="292">
        <v>32</v>
      </c>
      <c r="G152" s="292"/>
      <c r="H152" s="4">
        <v>24500</v>
      </c>
      <c r="I152" s="96">
        <f t="shared" si="7"/>
        <v>15435</v>
      </c>
    </row>
    <row r="153" spans="1:9" ht="17.25" customHeight="1" x14ac:dyDescent="0.35">
      <c r="A153" s="4">
        <v>22</v>
      </c>
      <c r="B153" s="4" t="s">
        <v>282</v>
      </c>
      <c r="C153" s="25" t="s">
        <v>283</v>
      </c>
      <c r="D153" s="4">
        <v>3</v>
      </c>
      <c r="E153" s="4"/>
      <c r="F153" s="292">
        <v>65</v>
      </c>
      <c r="G153" s="292"/>
      <c r="H153" s="4">
        <v>23690</v>
      </c>
      <c r="I153" s="96">
        <f t="shared" si="7"/>
        <v>14924.7</v>
      </c>
    </row>
    <row r="154" spans="1:9" ht="17.25" customHeight="1" x14ac:dyDescent="0.35">
      <c r="A154" s="4">
        <v>23</v>
      </c>
      <c r="B154" s="4" t="s">
        <v>284</v>
      </c>
      <c r="C154" s="25" t="s">
        <v>283</v>
      </c>
      <c r="D154" s="4">
        <v>3</v>
      </c>
      <c r="E154" s="4"/>
      <c r="F154" s="292">
        <v>65</v>
      </c>
      <c r="G154" s="292"/>
      <c r="H154" s="4">
        <v>15450</v>
      </c>
      <c r="I154" s="96">
        <f t="shared" si="7"/>
        <v>9733.5</v>
      </c>
    </row>
    <row r="155" spans="1:9" ht="17.25" customHeight="1" x14ac:dyDescent="0.35">
      <c r="A155" s="300" t="s">
        <v>285</v>
      </c>
      <c r="B155" s="300"/>
      <c r="C155" s="300"/>
      <c r="D155" s="300"/>
      <c r="E155" s="300"/>
      <c r="F155" s="300"/>
      <c r="G155" s="300"/>
      <c r="H155" s="207" t="s">
        <v>109</v>
      </c>
      <c r="I155" s="315" t="s">
        <v>498</v>
      </c>
    </row>
    <row r="156" spans="1:9" ht="17.25" customHeight="1" x14ac:dyDescent="0.35">
      <c r="A156" s="287" t="s">
        <v>2</v>
      </c>
      <c r="B156" s="287" t="s">
        <v>3</v>
      </c>
      <c r="C156" s="298" t="s">
        <v>4</v>
      </c>
      <c r="D156" s="287" t="s">
        <v>5</v>
      </c>
      <c r="E156" s="287"/>
      <c r="F156" s="287" t="s">
        <v>6</v>
      </c>
      <c r="G156" s="287"/>
      <c r="H156" s="259"/>
      <c r="I156" s="315"/>
    </row>
    <row r="157" spans="1:9" ht="17.25" customHeight="1" x14ac:dyDescent="0.35">
      <c r="A157" s="287"/>
      <c r="B157" s="287"/>
      <c r="C157" s="298"/>
      <c r="D157" s="11" t="s">
        <v>9</v>
      </c>
      <c r="E157" s="11" t="s">
        <v>10</v>
      </c>
      <c r="F157" s="11" t="s">
        <v>11</v>
      </c>
      <c r="G157" s="11" t="s">
        <v>12</v>
      </c>
      <c r="H157" s="208"/>
      <c r="I157" s="315"/>
    </row>
    <row r="158" spans="1:9" ht="17.25" customHeight="1" x14ac:dyDescent="0.35">
      <c r="A158" s="4">
        <v>1</v>
      </c>
      <c r="B158" s="4" t="s">
        <v>286</v>
      </c>
      <c r="C158" s="25" t="s">
        <v>287</v>
      </c>
      <c r="D158" s="4">
        <v>0.5</v>
      </c>
      <c r="E158" s="4"/>
      <c r="F158" s="292">
        <v>32</v>
      </c>
      <c r="G158" s="292"/>
      <c r="H158" s="4">
        <v>6800</v>
      </c>
      <c r="I158" s="96">
        <f t="shared" ref="I158:I172" si="8">H158*0.63</f>
        <v>4284</v>
      </c>
    </row>
    <row r="159" spans="1:9" ht="17.25" customHeight="1" x14ac:dyDescent="0.35">
      <c r="A159" s="4">
        <v>2</v>
      </c>
      <c r="B159" s="4" t="s">
        <v>288</v>
      </c>
      <c r="C159" s="25" t="s">
        <v>289</v>
      </c>
      <c r="D159" s="4">
        <v>0.5</v>
      </c>
      <c r="E159" s="4"/>
      <c r="F159" s="292">
        <v>32</v>
      </c>
      <c r="G159" s="292"/>
      <c r="H159" s="4">
        <v>7600</v>
      </c>
      <c r="I159" s="96">
        <f t="shared" si="8"/>
        <v>4788</v>
      </c>
    </row>
    <row r="160" spans="1:9" ht="17.25" customHeight="1" x14ac:dyDescent="0.35">
      <c r="A160" s="4">
        <v>3</v>
      </c>
      <c r="B160" s="4" t="s">
        <v>290</v>
      </c>
      <c r="C160" s="25" t="s">
        <v>291</v>
      </c>
      <c r="D160" s="4">
        <v>0.75</v>
      </c>
      <c r="E160" s="4"/>
      <c r="F160" s="292">
        <v>32</v>
      </c>
      <c r="G160" s="292"/>
      <c r="H160" s="4">
        <v>7800</v>
      </c>
      <c r="I160" s="96">
        <f t="shared" si="8"/>
        <v>4914</v>
      </c>
    </row>
    <row r="161" spans="1:9" ht="17.25" customHeight="1" x14ac:dyDescent="0.35">
      <c r="A161" s="4">
        <v>4</v>
      </c>
      <c r="B161" s="4" t="s">
        <v>292</v>
      </c>
      <c r="C161" s="25" t="s">
        <v>293</v>
      </c>
      <c r="D161" s="4">
        <v>0.75</v>
      </c>
      <c r="E161" s="4"/>
      <c r="F161" s="292">
        <v>32</v>
      </c>
      <c r="G161" s="292"/>
      <c r="H161" s="4">
        <v>8000</v>
      </c>
      <c r="I161" s="96">
        <f t="shared" si="8"/>
        <v>5040</v>
      </c>
    </row>
    <row r="162" spans="1:9" ht="17.25" customHeight="1" x14ac:dyDescent="0.35">
      <c r="A162" s="4">
        <v>5</v>
      </c>
      <c r="B162" s="4" t="s">
        <v>294</v>
      </c>
      <c r="C162" s="25" t="s">
        <v>295</v>
      </c>
      <c r="D162" s="4">
        <v>1</v>
      </c>
      <c r="E162" s="4"/>
      <c r="F162" s="292">
        <v>32</v>
      </c>
      <c r="G162" s="292"/>
      <c r="H162" s="4">
        <v>8200</v>
      </c>
      <c r="I162" s="96">
        <f t="shared" si="8"/>
        <v>5166</v>
      </c>
    </row>
    <row r="163" spans="1:9" ht="17.25" customHeight="1" x14ac:dyDescent="0.35">
      <c r="A163" s="4">
        <v>6</v>
      </c>
      <c r="B163" s="4" t="s">
        <v>296</v>
      </c>
      <c r="C163" s="25" t="s">
        <v>297</v>
      </c>
      <c r="D163" s="4">
        <v>1</v>
      </c>
      <c r="E163" s="4"/>
      <c r="F163" s="292">
        <v>32</v>
      </c>
      <c r="G163" s="292"/>
      <c r="H163" s="4">
        <v>8400</v>
      </c>
      <c r="I163" s="96">
        <f t="shared" si="8"/>
        <v>5292</v>
      </c>
    </row>
    <row r="164" spans="1:9" ht="17.25" customHeight="1" x14ac:dyDescent="0.35">
      <c r="A164" s="4">
        <v>7</v>
      </c>
      <c r="B164" s="4" t="s">
        <v>298</v>
      </c>
      <c r="C164" s="25" t="s">
        <v>299</v>
      </c>
      <c r="D164" s="4">
        <v>1</v>
      </c>
      <c r="E164" s="4"/>
      <c r="F164" s="292">
        <v>32</v>
      </c>
      <c r="G164" s="292"/>
      <c r="H164" s="4">
        <v>8600</v>
      </c>
      <c r="I164" s="96">
        <f t="shared" si="8"/>
        <v>5418</v>
      </c>
    </row>
    <row r="165" spans="1:9" ht="17.25" customHeight="1" x14ac:dyDescent="0.35">
      <c r="A165" s="4">
        <v>8</v>
      </c>
      <c r="B165" s="4" t="s">
        <v>300</v>
      </c>
      <c r="C165" s="25" t="s">
        <v>301</v>
      </c>
      <c r="D165" s="4">
        <v>1.5</v>
      </c>
      <c r="E165" s="4"/>
      <c r="F165" s="292">
        <v>32</v>
      </c>
      <c r="G165" s="292"/>
      <c r="H165" s="4">
        <v>9000</v>
      </c>
      <c r="I165" s="96">
        <f t="shared" si="8"/>
        <v>5670</v>
      </c>
    </row>
    <row r="166" spans="1:9" ht="17.25" customHeight="1" x14ac:dyDescent="0.35">
      <c r="A166" s="4">
        <v>9</v>
      </c>
      <c r="B166" s="4" t="s">
        <v>302</v>
      </c>
      <c r="C166" s="25" t="s">
        <v>303</v>
      </c>
      <c r="D166" s="4">
        <v>1.5</v>
      </c>
      <c r="E166" s="4"/>
      <c r="F166" s="292">
        <v>32</v>
      </c>
      <c r="G166" s="292"/>
      <c r="H166" s="4">
        <v>10600</v>
      </c>
      <c r="I166" s="96">
        <f t="shared" si="8"/>
        <v>6678</v>
      </c>
    </row>
    <row r="167" spans="1:9" ht="17.25" customHeight="1" x14ac:dyDescent="0.35">
      <c r="A167" s="4">
        <v>10</v>
      </c>
      <c r="B167" s="4" t="s">
        <v>304</v>
      </c>
      <c r="C167" s="25" t="s">
        <v>305</v>
      </c>
      <c r="D167" s="4">
        <v>1.5</v>
      </c>
      <c r="E167" s="4"/>
      <c r="F167" s="292">
        <v>32</v>
      </c>
      <c r="G167" s="292"/>
      <c r="H167" s="4">
        <v>11000</v>
      </c>
      <c r="I167" s="96">
        <f t="shared" si="8"/>
        <v>6930</v>
      </c>
    </row>
    <row r="168" spans="1:9" ht="17.25" customHeight="1" x14ac:dyDescent="0.35">
      <c r="A168" s="4">
        <v>11</v>
      </c>
      <c r="B168" s="4" t="s">
        <v>306</v>
      </c>
      <c r="C168" s="25" t="s">
        <v>307</v>
      </c>
      <c r="D168" s="4">
        <v>2</v>
      </c>
      <c r="E168" s="4"/>
      <c r="F168" s="292">
        <v>32</v>
      </c>
      <c r="G168" s="292"/>
      <c r="H168" s="4">
        <v>13000</v>
      </c>
      <c r="I168" s="96">
        <f t="shared" si="8"/>
        <v>8190</v>
      </c>
    </row>
    <row r="169" spans="1:9" ht="17.25" customHeight="1" x14ac:dyDescent="0.35">
      <c r="A169" s="4">
        <v>12</v>
      </c>
      <c r="B169" s="4" t="s">
        <v>308</v>
      </c>
      <c r="C169" s="25" t="s">
        <v>309</v>
      </c>
      <c r="D169" s="4">
        <v>2</v>
      </c>
      <c r="E169" s="4"/>
      <c r="F169" s="292">
        <v>32</v>
      </c>
      <c r="G169" s="292"/>
      <c r="H169" s="4">
        <v>15500</v>
      </c>
      <c r="I169" s="96">
        <f t="shared" si="8"/>
        <v>9765</v>
      </c>
    </row>
    <row r="170" spans="1:9" ht="17.25" customHeight="1" x14ac:dyDescent="0.35">
      <c r="A170" s="4">
        <v>13</v>
      </c>
      <c r="B170" s="4" t="s">
        <v>310</v>
      </c>
      <c r="C170" s="25" t="s">
        <v>311</v>
      </c>
      <c r="D170" s="4">
        <v>3</v>
      </c>
      <c r="E170" s="4"/>
      <c r="F170" s="292">
        <v>32</v>
      </c>
      <c r="G170" s="292"/>
      <c r="H170" s="4">
        <v>19000</v>
      </c>
      <c r="I170" s="96">
        <f t="shared" si="8"/>
        <v>11970</v>
      </c>
    </row>
    <row r="171" spans="1:9" ht="17.25" customHeight="1" x14ac:dyDescent="0.35">
      <c r="A171" s="4">
        <v>14</v>
      </c>
      <c r="B171" s="4" t="s">
        <v>312</v>
      </c>
      <c r="C171" s="25" t="s">
        <v>313</v>
      </c>
      <c r="D171" s="4">
        <v>3</v>
      </c>
      <c r="E171" s="4"/>
      <c r="F171" s="292">
        <v>32</v>
      </c>
      <c r="G171" s="292"/>
      <c r="H171" s="4">
        <v>20000</v>
      </c>
      <c r="I171" s="96">
        <f t="shared" si="8"/>
        <v>12600</v>
      </c>
    </row>
    <row r="172" spans="1:9" ht="17.25" customHeight="1" x14ac:dyDescent="0.35">
      <c r="A172" s="4">
        <v>15</v>
      </c>
      <c r="B172" s="4" t="s">
        <v>314</v>
      </c>
      <c r="C172" s="25" t="s">
        <v>315</v>
      </c>
      <c r="D172" s="4">
        <v>3</v>
      </c>
      <c r="E172" s="4"/>
      <c r="F172" s="292">
        <v>32</v>
      </c>
      <c r="G172" s="292"/>
      <c r="H172" s="4">
        <v>20500</v>
      </c>
      <c r="I172" s="96">
        <f t="shared" si="8"/>
        <v>12915</v>
      </c>
    </row>
  </sheetData>
  <mergeCells count="104">
    <mergeCell ref="I7:J7"/>
    <mergeCell ref="I8:J8"/>
    <mergeCell ref="I9:J9"/>
    <mergeCell ref="I10:J10"/>
    <mergeCell ref="I26:J26"/>
    <mergeCell ref="I27:J27"/>
    <mergeCell ref="A1:J3"/>
    <mergeCell ref="A4:J4"/>
    <mergeCell ref="A5:A6"/>
    <mergeCell ref="B5:B6"/>
    <mergeCell ref="C5:C6"/>
    <mergeCell ref="D5:E5"/>
    <mergeCell ref="F5:G5"/>
    <mergeCell ref="H5:H6"/>
    <mergeCell ref="I5:J5"/>
    <mergeCell ref="F56:G56"/>
    <mergeCell ref="D58:D59"/>
    <mergeCell ref="E58:E59"/>
    <mergeCell ref="D61:D66"/>
    <mergeCell ref="E61:E66"/>
    <mergeCell ref="D67:D73"/>
    <mergeCell ref="E67:E73"/>
    <mergeCell ref="I31:J31"/>
    <mergeCell ref="I32:J32"/>
    <mergeCell ref="I47:J47"/>
    <mergeCell ref="A55:G55"/>
    <mergeCell ref="H55:H57"/>
    <mergeCell ref="I55:J56"/>
    <mergeCell ref="A56:A57"/>
    <mergeCell ref="B56:B57"/>
    <mergeCell ref="C56:C57"/>
    <mergeCell ref="D56:E56"/>
    <mergeCell ref="D108:D109"/>
    <mergeCell ref="E108:E109"/>
    <mergeCell ref="D110:D113"/>
    <mergeCell ref="E110:E113"/>
    <mergeCell ref="A114:G114"/>
    <mergeCell ref="H114:H116"/>
    <mergeCell ref="D74:D91"/>
    <mergeCell ref="E74:E91"/>
    <mergeCell ref="D92:D103"/>
    <mergeCell ref="E92:E103"/>
    <mergeCell ref="D104:D106"/>
    <mergeCell ref="E104:E106"/>
    <mergeCell ref="A129:G129"/>
    <mergeCell ref="H129:H131"/>
    <mergeCell ref="I129:I131"/>
    <mergeCell ref="A130:A131"/>
    <mergeCell ref="B130:B131"/>
    <mergeCell ref="C130:C131"/>
    <mergeCell ref="D130:E130"/>
    <mergeCell ref="F130:G131"/>
    <mergeCell ref="I114:I116"/>
    <mergeCell ref="A115:A116"/>
    <mergeCell ref="B115:B116"/>
    <mergeCell ref="C115:C116"/>
    <mergeCell ref="D115:E115"/>
    <mergeCell ref="F115:G115"/>
    <mergeCell ref="F138:G138"/>
    <mergeCell ref="F139:G139"/>
    <mergeCell ref="F140:G140"/>
    <mergeCell ref="F141:G141"/>
    <mergeCell ref="F142:G142"/>
    <mergeCell ref="F143:G143"/>
    <mergeCell ref="F132:G132"/>
    <mergeCell ref="F133:G133"/>
    <mergeCell ref="F134:G134"/>
    <mergeCell ref="F135:G135"/>
    <mergeCell ref="F136:G136"/>
    <mergeCell ref="F137:G137"/>
    <mergeCell ref="F150:G150"/>
    <mergeCell ref="F151:G151"/>
    <mergeCell ref="F152:G152"/>
    <mergeCell ref="F153:G153"/>
    <mergeCell ref="F154:G154"/>
    <mergeCell ref="A155:G155"/>
    <mergeCell ref="F144:G144"/>
    <mergeCell ref="F145:G145"/>
    <mergeCell ref="F146:G146"/>
    <mergeCell ref="F147:G147"/>
    <mergeCell ref="F148:G148"/>
    <mergeCell ref="F149:G149"/>
    <mergeCell ref="F158:G158"/>
    <mergeCell ref="F159:G159"/>
    <mergeCell ref="F160:G160"/>
    <mergeCell ref="F161:G161"/>
    <mergeCell ref="F162:G162"/>
    <mergeCell ref="F163:G163"/>
    <mergeCell ref="H155:H157"/>
    <mergeCell ref="I155:I157"/>
    <mergeCell ref="A156:A157"/>
    <mergeCell ref="B156:B157"/>
    <mergeCell ref="C156:C157"/>
    <mergeCell ref="D156:E156"/>
    <mergeCell ref="F156:G156"/>
    <mergeCell ref="F170:G170"/>
    <mergeCell ref="F171:G171"/>
    <mergeCell ref="F172:G172"/>
    <mergeCell ref="F164:G164"/>
    <mergeCell ref="F165:G165"/>
    <mergeCell ref="F166:G166"/>
    <mergeCell ref="F167:G167"/>
    <mergeCell ref="F168:G168"/>
    <mergeCell ref="F169:G169"/>
  </mergeCells>
  <conditionalFormatting sqref="B1:B172">
    <cfRule type="duplicateValues" dxfId="34" priority="1"/>
    <cfRule type="duplicateValues" dxfId="33" priority="2"/>
  </conditionalFormatting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172"/>
  <sheetViews>
    <sheetView topLeftCell="A107" workbookViewId="0">
      <selection activeCell="K124" sqref="K123:K124"/>
    </sheetView>
  </sheetViews>
  <sheetFormatPr defaultRowHeight="20.25" customHeight="1" x14ac:dyDescent="0.35"/>
  <cols>
    <col min="2" max="2" width="14" customWidth="1"/>
    <col min="3" max="3" width="16.26953125" customWidth="1"/>
  </cols>
  <sheetData>
    <row r="1" spans="1:9" ht="20.25" customHeight="1" x14ac:dyDescent="0.35">
      <c r="A1" s="203" t="s">
        <v>0</v>
      </c>
      <c r="B1" s="204"/>
      <c r="C1" s="204"/>
      <c r="D1" s="204"/>
      <c r="E1" s="204"/>
      <c r="F1" s="204"/>
      <c r="G1" s="204"/>
      <c r="H1" s="204"/>
      <c r="I1" s="204"/>
    </row>
    <row r="2" spans="1:9" ht="20.25" customHeight="1" x14ac:dyDescent="0.35">
      <c r="A2" s="203"/>
      <c r="B2" s="204"/>
      <c r="C2" s="204"/>
      <c r="D2" s="204"/>
      <c r="E2" s="204"/>
      <c r="F2" s="204"/>
      <c r="G2" s="204"/>
      <c r="H2" s="204"/>
      <c r="I2" s="204"/>
    </row>
    <row r="3" spans="1:9" ht="6" customHeight="1" x14ac:dyDescent="0.35">
      <c r="A3" s="203"/>
      <c r="B3" s="204"/>
      <c r="C3" s="204"/>
      <c r="D3" s="204"/>
      <c r="E3" s="204"/>
      <c r="F3" s="204"/>
      <c r="G3" s="204"/>
      <c r="H3" s="204"/>
      <c r="I3" s="204"/>
    </row>
    <row r="4" spans="1:9" ht="24.75" customHeight="1" x14ac:dyDescent="0.35">
      <c r="A4" s="205" t="s">
        <v>508</v>
      </c>
      <c r="B4" s="206"/>
      <c r="C4" s="206"/>
      <c r="D4" s="206"/>
      <c r="E4" s="206"/>
      <c r="F4" s="206"/>
      <c r="G4" s="206"/>
      <c r="H4" s="206"/>
      <c r="I4" s="206"/>
    </row>
    <row r="5" spans="1:9" ht="20.25" customHeight="1" x14ac:dyDescent="0.35">
      <c r="A5" s="287" t="s">
        <v>2</v>
      </c>
      <c r="B5" s="287" t="s">
        <v>3</v>
      </c>
      <c r="C5" s="287" t="s">
        <v>4</v>
      </c>
      <c r="D5" s="287" t="s">
        <v>5</v>
      </c>
      <c r="E5" s="287"/>
      <c r="F5" s="287" t="s">
        <v>6</v>
      </c>
      <c r="G5" s="287"/>
      <c r="H5" s="305" t="s">
        <v>7</v>
      </c>
      <c r="I5" s="316" t="s">
        <v>502</v>
      </c>
    </row>
    <row r="6" spans="1:9" ht="20.25" customHeight="1" x14ac:dyDescent="0.35">
      <c r="A6" s="287"/>
      <c r="B6" s="287"/>
      <c r="C6" s="287"/>
      <c r="D6" s="11" t="s">
        <v>9</v>
      </c>
      <c r="E6" s="11" t="s">
        <v>10</v>
      </c>
      <c r="F6" s="11" t="s">
        <v>11</v>
      </c>
      <c r="G6" s="11" t="s">
        <v>12</v>
      </c>
      <c r="H6" s="305"/>
      <c r="I6" s="293"/>
    </row>
    <row r="7" spans="1:9" ht="20.25" customHeight="1" x14ac:dyDescent="0.35">
      <c r="A7" s="6">
        <v>1</v>
      </c>
      <c r="B7" s="4" t="s">
        <v>13</v>
      </c>
      <c r="C7" s="12" t="s">
        <v>14</v>
      </c>
      <c r="D7" s="2">
        <v>0.5</v>
      </c>
      <c r="E7" s="2">
        <v>0.37</v>
      </c>
      <c r="F7" s="2">
        <v>25</v>
      </c>
      <c r="G7" s="2">
        <v>25</v>
      </c>
      <c r="H7" s="97">
        <v>2640</v>
      </c>
      <c r="I7" s="96">
        <f>H7*0.63</f>
        <v>1663.2</v>
      </c>
    </row>
    <row r="8" spans="1:9" ht="20.25" customHeight="1" x14ac:dyDescent="0.35">
      <c r="A8" s="6">
        <v>2</v>
      </c>
      <c r="B8" s="4" t="s">
        <v>15</v>
      </c>
      <c r="C8" s="12" t="s">
        <v>16</v>
      </c>
      <c r="D8" s="2">
        <v>1</v>
      </c>
      <c r="E8" s="2">
        <v>0.75</v>
      </c>
      <c r="F8" s="2">
        <v>25</v>
      </c>
      <c r="G8" s="2">
        <v>25</v>
      </c>
      <c r="H8" s="97">
        <v>3420</v>
      </c>
      <c r="I8" s="96">
        <f>H8*0.63</f>
        <v>2154.6</v>
      </c>
    </row>
    <row r="9" spans="1:9" ht="20.25" customHeight="1" x14ac:dyDescent="0.35">
      <c r="A9" s="4">
        <v>3</v>
      </c>
      <c r="B9" s="4" t="s">
        <v>17</v>
      </c>
      <c r="C9" s="12" t="s">
        <v>18</v>
      </c>
      <c r="D9" s="2">
        <v>0.5</v>
      </c>
      <c r="E9" s="2">
        <v>0.37</v>
      </c>
      <c r="F9" s="2">
        <v>25</v>
      </c>
      <c r="G9" s="2">
        <v>25</v>
      </c>
      <c r="H9" s="97">
        <v>2840</v>
      </c>
      <c r="I9" s="96">
        <f>H9*0.63</f>
        <v>1789.2</v>
      </c>
    </row>
    <row r="10" spans="1:9" ht="20.25" customHeight="1" x14ac:dyDescent="0.35">
      <c r="A10" s="6">
        <v>4</v>
      </c>
      <c r="B10" s="4" t="s">
        <v>19</v>
      </c>
      <c r="C10" s="12" t="s">
        <v>20</v>
      </c>
      <c r="D10" s="2">
        <v>1</v>
      </c>
      <c r="E10" s="2">
        <v>0.75</v>
      </c>
      <c r="F10" s="2">
        <v>25</v>
      </c>
      <c r="G10" s="2">
        <v>25</v>
      </c>
      <c r="H10" s="97">
        <v>3660</v>
      </c>
      <c r="I10" s="96">
        <f>H10*0.63</f>
        <v>2305.8000000000002</v>
      </c>
    </row>
    <row r="11" spans="1:9" ht="20.25" customHeight="1" x14ac:dyDescent="0.35">
      <c r="A11" s="6">
        <v>5</v>
      </c>
      <c r="B11" s="6" t="s">
        <v>21</v>
      </c>
      <c r="C11" s="14" t="s">
        <v>22</v>
      </c>
      <c r="D11" s="2">
        <v>0.5</v>
      </c>
      <c r="E11" s="2">
        <v>0.37</v>
      </c>
      <c r="F11" s="2">
        <v>25</v>
      </c>
      <c r="G11" s="2">
        <v>25</v>
      </c>
      <c r="H11" s="98">
        <v>3160</v>
      </c>
      <c r="I11" s="95">
        <f>H11*0.6</f>
        <v>1896</v>
      </c>
    </row>
    <row r="12" spans="1:9" ht="20.25" customHeight="1" x14ac:dyDescent="0.35">
      <c r="A12" s="6">
        <v>6</v>
      </c>
      <c r="B12" s="6" t="s">
        <v>23</v>
      </c>
      <c r="C12" s="14" t="s">
        <v>24</v>
      </c>
      <c r="D12" s="2">
        <v>1</v>
      </c>
      <c r="E12" s="2">
        <v>0.75</v>
      </c>
      <c r="F12" s="2">
        <v>25</v>
      </c>
      <c r="G12" s="2">
        <v>25</v>
      </c>
      <c r="H12" s="98">
        <v>4120</v>
      </c>
      <c r="I12" s="95">
        <f t="shared" ref="I12:I25" si="0">H12*0.6</f>
        <v>2472</v>
      </c>
    </row>
    <row r="13" spans="1:9" ht="20.25" customHeight="1" x14ac:dyDescent="0.35">
      <c r="A13" s="4">
        <v>7</v>
      </c>
      <c r="B13" s="4" t="s">
        <v>25</v>
      </c>
      <c r="C13" s="12" t="s">
        <v>26</v>
      </c>
      <c r="D13" s="2">
        <v>1.5</v>
      </c>
      <c r="E13" s="2">
        <v>1</v>
      </c>
      <c r="F13" s="2">
        <v>25</v>
      </c>
      <c r="G13" s="2">
        <v>25</v>
      </c>
      <c r="H13" s="98">
        <v>5750</v>
      </c>
      <c r="I13" s="95">
        <f t="shared" si="0"/>
        <v>3450</v>
      </c>
    </row>
    <row r="14" spans="1:9" ht="20.25" customHeight="1" x14ac:dyDescent="0.35">
      <c r="A14" s="6">
        <v>8</v>
      </c>
      <c r="B14" s="6" t="s">
        <v>27</v>
      </c>
      <c r="C14" s="14" t="s">
        <v>28</v>
      </c>
      <c r="D14" s="2">
        <v>0.5</v>
      </c>
      <c r="E14" s="2">
        <v>0.37</v>
      </c>
      <c r="F14" s="2">
        <v>25</v>
      </c>
      <c r="G14" s="2">
        <v>25</v>
      </c>
      <c r="H14" s="98">
        <v>3520</v>
      </c>
      <c r="I14" s="95">
        <f t="shared" si="0"/>
        <v>2112</v>
      </c>
    </row>
    <row r="15" spans="1:9" ht="20.25" customHeight="1" x14ac:dyDescent="0.35">
      <c r="A15" s="6">
        <v>9</v>
      </c>
      <c r="B15" s="4" t="s">
        <v>29</v>
      </c>
      <c r="C15" s="15" t="s">
        <v>30</v>
      </c>
      <c r="D15" s="2">
        <v>1</v>
      </c>
      <c r="E15" s="2">
        <v>0.75</v>
      </c>
      <c r="F15" s="2">
        <v>25</v>
      </c>
      <c r="G15" s="2">
        <v>25</v>
      </c>
      <c r="H15" s="98">
        <v>3660</v>
      </c>
      <c r="I15" s="95">
        <f t="shared" si="0"/>
        <v>2196</v>
      </c>
    </row>
    <row r="16" spans="1:9" ht="20.25" customHeight="1" x14ac:dyDescent="0.35">
      <c r="A16" s="6">
        <v>10</v>
      </c>
      <c r="B16" s="4" t="s">
        <v>31</v>
      </c>
      <c r="C16" s="12" t="s">
        <v>32</v>
      </c>
      <c r="D16" s="2">
        <v>1</v>
      </c>
      <c r="E16" s="2">
        <v>0.75</v>
      </c>
      <c r="F16" s="2">
        <v>25</v>
      </c>
      <c r="G16" s="2">
        <v>25</v>
      </c>
      <c r="H16" s="98">
        <v>4220</v>
      </c>
      <c r="I16" s="95">
        <f t="shared" si="0"/>
        <v>2532</v>
      </c>
    </row>
    <row r="17" spans="1:9" ht="20.25" customHeight="1" x14ac:dyDescent="0.35">
      <c r="A17" s="4">
        <v>11</v>
      </c>
      <c r="B17" s="6" t="s">
        <v>33</v>
      </c>
      <c r="C17" s="14" t="s">
        <v>34</v>
      </c>
      <c r="D17" s="2">
        <v>0.75</v>
      </c>
      <c r="E17" s="2">
        <v>0.56000000000000005</v>
      </c>
      <c r="F17" s="2">
        <v>25</v>
      </c>
      <c r="G17" s="2">
        <v>25</v>
      </c>
      <c r="H17" s="98">
        <v>4080</v>
      </c>
      <c r="I17" s="95">
        <f t="shared" si="0"/>
        <v>2448</v>
      </c>
    </row>
    <row r="18" spans="1:9" ht="20.25" customHeight="1" x14ac:dyDescent="0.35">
      <c r="A18" s="6">
        <v>12</v>
      </c>
      <c r="B18" s="4" t="s">
        <v>35</v>
      </c>
      <c r="C18" s="16" t="s">
        <v>36</v>
      </c>
      <c r="D18" s="2">
        <v>1</v>
      </c>
      <c r="E18" s="2">
        <v>0.75</v>
      </c>
      <c r="F18" s="2">
        <v>25</v>
      </c>
      <c r="G18" s="2">
        <v>25</v>
      </c>
      <c r="H18" s="98">
        <v>4730</v>
      </c>
      <c r="I18" s="95">
        <f t="shared" si="0"/>
        <v>2838</v>
      </c>
    </row>
    <row r="19" spans="1:9" ht="20.25" customHeight="1" x14ac:dyDescent="0.35">
      <c r="A19" s="6">
        <v>13</v>
      </c>
      <c r="B19" s="4" t="s">
        <v>37</v>
      </c>
      <c r="C19" s="16" t="s">
        <v>38</v>
      </c>
      <c r="D19" s="2">
        <v>1</v>
      </c>
      <c r="E19" s="2">
        <v>0.75</v>
      </c>
      <c r="F19" s="2">
        <v>25</v>
      </c>
      <c r="G19" s="2">
        <v>25</v>
      </c>
      <c r="H19" s="98">
        <v>4730</v>
      </c>
      <c r="I19" s="95">
        <f t="shared" si="0"/>
        <v>2838</v>
      </c>
    </row>
    <row r="20" spans="1:9" ht="20.25" customHeight="1" x14ac:dyDescent="0.35">
      <c r="A20" s="6">
        <v>14</v>
      </c>
      <c r="B20" s="6" t="s">
        <v>39</v>
      </c>
      <c r="C20" s="14" t="s">
        <v>40</v>
      </c>
      <c r="D20" s="2">
        <v>1</v>
      </c>
      <c r="E20" s="2">
        <v>0.75</v>
      </c>
      <c r="F20" s="2">
        <v>25</v>
      </c>
      <c r="G20" s="2">
        <v>25</v>
      </c>
      <c r="H20" s="98">
        <v>5170</v>
      </c>
      <c r="I20" s="95">
        <f t="shared" si="0"/>
        <v>3102</v>
      </c>
    </row>
    <row r="21" spans="1:9" ht="20.25" customHeight="1" x14ac:dyDescent="0.35">
      <c r="A21" s="4">
        <v>15</v>
      </c>
      <c r="B21" s="6" t="s">
        <v>41</v>
      </c>
      <c r="C21" s="14" t="s">
        <v>42</v>
      </c>
      <c r="D21" s="2">
        <v>1</v>
      </c>
      <c r="E21" s="2">
        <v>0.75</v>
      </c>
      <c r="F21" s="2">
        <v>25</v>
      </c>
      <c r="G21" s="2">
        <v>25</v>
      </c>
      <c r="H21" s="98">
        <v>4670</v>
      </c>
      <c r="I21" s="95">
        <f t="shared" si="0"/>
        <v>2802</v>
      </c>
    </row>
    <row r="22" spans="1:9" ht="20.25" customHeight="1" x14ac:dyDescent="0.35">
      <c r="A22" s="6">
        <v>16</v>
      </c>
      <c r="B22" s="4" t="s">
        <v>43</v>
      </c>
      <c r="C22" s="12" t="s">
        <v>44</v>
      </c>
      <c r="D22" s="2">
        <v>1.2</v>
      </c>
      <c r="E22" s="2">
        <v>0.9</v>
      </c>
      <c r="F22" s="2">
        <v>25</v>
      </c>
      <c r="G22" s="2">
        <v>25</v>
      </c>
      <c r="H22" s="98">
        <v>6650</v>
      </c>
      <c r="I22" s="95">
        <f t="shared" si="0"/>
        <v>3990</v>
      </c>
    </row>
    <row r="23" spans="1:9" ht="20.25" customHeight="1" x14ac:dyDescent="0.35">
      <c r="A23" s="6">
        <v>17</v>
      </c>
      <c r="B23" s="6" t="s">
        <v>45</v>
      </c>
      <c r="C23" s="14" t="s">
        <v>46</v>
      </c>
      <c r="D23" s="2">
        <v>1.5</v>
      </c>
      <c r="E23" s="2">
        <v>1.1000000000000001</v>
      </c>
      <c r="F23" s="2">
        <v>25</v>
      </c>
      <c r="G23" s="2">
        <v>25</v>
      </c>
      <c r="H23" s="98">
        <v>8150</v>
      </c>
      <c r="I23" s="95">
        <f t="shared" si="0"/>
        <v>4890</v>
      </c>
    </row>
    <row r="24" spans="1:9" ht="20.25" customHeight="1" x14ac:dyDescent="0.35">
      <c r="A24" s="6">
        <v>18</v>
      </c>
      <c r="B24" s="6" t="s">
        <v>47</v>
      </c>
      <c r="C24" s="14" t="s">
        <v>48</v>
      </c>
      <c r="D24" s="2">
        <v>2</v>
      </c>
      <c r="E24" s="2">
        <v>1.5</v>
      </c>
      <c r="F24" s="2">
        <v>25</v>
      </c>
      <c r="G24" s="2">
        <v>25</v>
      </c>
      <c r="H24" s="98">
        <v>9190</v>
      </c>
      <c r="I24" s="95">
        <f t="shared" si="0"/>
        <v>5514</v>
      </c>
    </row>
    <row r="25" spans="1:9" ht="20.25" customHeight="1" x14ac:dyDescent="0.35">
      <c r="A25" s="4">
        <v>19</v>
      </c>
      <c r="B25" s="6" t="s">
        <v>49</v>
      </c>
      <c r="C25" s="14" t="s">
        <v>50</v>
      </c>
      <c r="D25" s="2">
        <v>0.5</v>
      </c>
      <c r="E25" s="2">
        <v>0.37</v>
      </c>
      <c r="F25" s="2">
        <v>25</v>
      </c>
      <c r="G25" s="2">
        <v>25</v>
      </c>
      <c r="H25" s="98">
        <v>3310</v>
      </c>
      <c r="I25" s="95">
        <f t="shared" si="0"/>
        <v>1986</v>
      </c>
    </row>
    <row r="26" spans="1:9" ht="20.25" customHeight="1" x14ac:dyDescent="0.35">
      <c r="A26" s="6">
        <v>20</v>
      </c>
      <c r="B26" s="4" t="s">
        <v>51</v>
      </c>
      <c r="C26" s="12" t="s">
        <v>52</v>
      </c>
      <c r="D26" s="2">
        <v>0.5</v>
      </c>
      <c r="E26" s="2">
        <v>0.37</v>
      </c>
      <c r="F26" s="2">
        <v>25</v>
      </c>
      <c r="G26" s="2">
        <v>25</v>
      </c>
      <c r="H26" s="99">
        <v>4380</v>
      </c>
      <c r="I26" s="96">
        <f>H26*0.63</f>
        <v>2759.4</v>
      </c>
    </row>
    <row r="27" spans="1:9" ht="20.25" customHeight="1" x14ac:dyDescent="0.35">
      <c r="A27" s="6">
        <v>21</v>
      </c>
      <c r="B27" s="4" t="s">
        <v>53</v>
      </c>
      <c r="C27" s="12" t="s">
        <v>54</v>
      </c>
      <c r="D27" s="2">
        <v>1</v>
      </c>
      <c r="E27" s="2">
        <v>0.75</v>
      </c>
      <c r="F27" s="2">
        <v>25</v>
      </c>
      <c r="G27" s="2">
        <v>25</v>
      </c>
      <c r="H27" s="99">
        <v>5300</v>
      </c>
      <c r="I27" s="96">
        <f>H27*0.63</f>
        <v>3339</v>
      </c>
    </row>
    <row r="28" spans="1:9" ht="20.25" customHeight="1" x14ac:dyDescent="0.35">
      <c r="A28" s="6">
        <v>22</v>
      </c>
      <c r="B28" s="6" t="s">
        <v>55</v>
      </c>
      <c r="C28" s="14" t="s">
        <v>56</v>
      </c>
      <c r="D28" s="2">
        <v>1.1000000000000001</v>
      </c>
      <c r="E28" s="2">
        <v>0.8</v>
      </c>
      <c r="F28" s="2">
        <v>25</v>
      </c>
      <c r="G28" s="2">
        <v>25</v>
      </c>
      <c r="H28" s="98">
        <v>5040</v>
      </c>
      <c r="I28" s="95">
        <f>H28*0.6</f>
        <v>3024</v>
      </c>
    </row>
    <row r="29" spans="1:9" ht="20.25" customHeight="1" x14ac:dyDescent="0.35">
      <c r="A29" s="4">
        <v>23</v>
      </c>
      <c r="B29" s="6" t="s">
        <v>57</v>
      </c>
      <c r="C29" s="14" t="s">
        <v>58</v>
      </c>
      <c r="D29" s="2">
        <v>1.1000000000000001</v>
      </c>
      <c r="E29" s="2">
        <v>0.8</v>
      </c>
      <c r="F29" s="2">
        <v>25</v>
      </c>
      <c r="G29" s="2">
        <v>25</v>
      </c>
      <c r="H29" s="98">
        <v>5150</v>
      </c>
      <c r="I29" s="95">
        <f>H29*0.6</f>
        <v>3090</v>
      </c>
    </row>
    <row r="30" spans="1:9" ht="20.25" customHeight="1" x14ac:dyDescent="0.35">
      <c r="A30" s="6">
        <v>24</v>
      </c>
      <c r="B30" s="4" t="s">
        <v>59</v>
      </c>
      <c r="C30" s="16" t="s">
        <v>60</v>
      </c>
      <c r="D30" s="2">
        <v>1.25</v>
      </c>
      <c r="E30" s="2">
        <v>0.94</v>
      </c>
      <c r="F30" s="2">
        <v>25</v>
      </c>
      <c r="G30" s="2">
        <v>25</v>
      </c>
      <c r="H30" s="98">
        <v>6630</v>
      </c>
      <c r="I30" s="95">
        <f>H30*0.6</f>
        <v>3978</v>
      </c>
    </row>
    <row r="31" spans="1:9" ht="20.25" customHeight="1" x14ac:dyDescent="0.35">
      <c r="A31" s="6">
        <v>25</v>
      </c>
      <c r="B31" s="6" t="s">
        <v>61</v>
      </c>
      <c r="C31" s="14" t="s">
        <v>62</v>
      </c>
      <c r="D31" s="17">
        <v>0.5</v>
      </c>
      <c r="E31" s="17">
        <v>0.37</v>
      </c>
      <c r="F31" s="17">
        <v>25</v>
      </c>
      <c r="G31" s="17">
        <v>25</v>
      </c>
      <c r="H31" s="100">
        <v>4950</v>
      </c>
      <c r="I31" s="96">
        <f>H31*0.63</f>
        <v>3118.5</v>
      </c>
    </row>
    <row r="32" spans="1:9" ht="20.25" customHeight="1" x14ac:dyDescent="0.35">
      <c r="A32" s="6">
        <v>26</v>
      </c>
      <c r="B32" s="6" t="s">
        <v>63</v>
      </c>
      <c r="C32" s="14" t="s">
        <v>64</v>
      </c>
      <c r="D32" s="17">
        <v>0.5</v>
      </c>
      <c r="E32" s="17">
        <v>0.37</v>
      </c>
      <c r="F32" s="17">
        <v>25</v>
      </c>
      <c r="G32" s="17">
        <v>25</v>
      </c>
      <c r="H32" s="100">
        <v>5000</v>
      </c>
      <c r="I32" s="96">
        <f>H32*0.63</f>
        <v>3150</v>
      </c>
    </row>
    <row r="33" spans="1:9" ht="20.25" customHeight="1" x14ac:dyDescent="0.35">
      <c r="A33" s="4">
        <v>27</v>
      </c>
      <c r="B33" s="6" t="s">
        <v>65</v>
      </c>
      <c r="C33" s="14" t="s">
        <v>66</v>
      </c>
      <c r="D33" s="2">
        <v>1</v>
      </c>
      <c r="E33" s="2">
        <v>0.75</v>
      </c>
      <c r="F33" s="2">
        <v>25</v>
      </c>
      <c r="G33" s="2">
        <v>25</v>
      </c>
      <c r="H33" s="98">
        <v>5560</v>
      </c>
      <c r="I33" s="95">
        <f t="shared" ref="I33:I54" si="1">H33*0.6</f>
        <v>3336</v>
      </c>
    </row>
    <row r="34" spans="1:9" ht="20.25" customHeight="1" x14ac:dyDescent="0.35">
      <c r="A34" s="6">
        <v>28</v>
      </c>
      <c r="B34" s="6" t="s">
        <v>67</v>
      </c>
      <c r="C34" s="14" t="s">
        <v>68</v>
      </c>
      <c r="D34" s="2">
        <v>1</v>
      </c>
      <c r="E34" s="2">
        <v>0.75</v>
      </c>
      <c r="F34" s="2">
        <v>25</v>
      </c>
      <c r="G34" s="2">
        <v>25</v>
      </c>
      <c r="H34" s="98">
        <v>5650</v>
      </c>
      <c r="I34" s="95">
        <f t="shared" si="1"/>
        <v>3390</v>
      </c>
    </row>
    <row r="35" spans="1:9" ht="20.25" customHeight="1" x14ac:dyDescent="0.35">
      <c r="A35" s="6">
        <v>29</v>
      </c>
      <c r="B35" s="6" t="s">
        <v>69</v>
      </c>
      <c r="C35" s="14" t="s">
        <v>70</v>
      </c>
      <c r="D35" s="2">
        <v>1.5</v>
      </c>
      <c r="E35" s="2">
        <v>1.1000000000000001</v>
      </c>
      <c r="F35" s="2">
        <v>25</v>
      </c>
      <c r="G35" s="2">
        <v>25</v>
      </c>
      <c r="H35" s="98">
        <v>7840</v>
      </c>
      <c r="I35" s="95">
        <f t="shared" si="1"/>
        <v>4704</v>
      </c>
    </row>
    <row r="36" spans="1:9" ht="20.25" customHeight="1" x14ac:dyDescent="0.35">
      <c r="A36" s="6">
        <v>30</v>
      </c>
      <c r="B36" s="6" t="s">
        <v>71</v>
      </c>
      <c r="C36" s="14" t="s">
        <v>72</v>
      </c>
      <c r="D36" s="2">
        <v>1.5</v>
      </c>
      <c r="E36" s="2">
        <v>1.1000000000000001</v>
      </c>
      <c r="F36" s="2">
        <v>25</v>
      </c>
      <c r="G36" s="2">
        <v>25</v>
      </c>
      <c r="H36" s="98">
        <v>8170</v>
      </c>
      <c r="I36" s="95">
        <f t="shared" si="1"/>
        <v>4902</v>
      </c>
    </row>
    <row r="37" spans="1:9" ht="20.25" customHeight="1" x14ac:dyDescent="0.35">
      <c r="A37" s="4">
        <v>31</v>
      </c>
      <c r="B37" s="4" t="s">
        <v>73</v>
      </c>
      <c r="C37" s="12" t="s">
        <v>74</v>
      </c>
      <c r="D37" s="2">
        <v>0.5</v>
      </c>
      <c r="E37" s="2">
        <v>0.37</v>
      </c>
      <c r="F37" s="2">
        <v>25</v>
      </c>
      <c r="G37" s="2">
        <v>25</v>
      </c>
      <c r="H37" s="98">
        <v>6450</v>
      </c>
      <c r="I37" s="95">
        <f t="shared" si="1"/>
        <v>3870</v>
      </c>
    </row>
    <row r="38" spans="1:9" ht="20.25" customHeight="1" x14ac:dyDescent="0.35">
      <c r="A38" s="6">
        <v>32</v>
      </c>
      <c r="B38" s="6" t="s">
        <v>75</v>
      </c>
      <c r="C38" s="14" t="s">
        <v>76</v>
      </c>
      <c r="D38" s="3">
        <v>0.9</v>
      </c>
      <c r="E38" s="3">
        <v>0.7</v>
      </c>
      <c r="F38" s="3">
        <v>25</v>
      </c>
      <c r="G38" s="3">
        <v>25</v>
      </c>
      <c r="H38" s="98">
        <v>6640</v>
      </c>
      <c r="I38" s="95">
        <f t="shared" si="1"/>
        <v>3984</v>
      </c>
    </row>
    <row r="39" spans="1:9" ht="20.25" customHeight="1" x14ac:dyDescent="0.35">
      <c r="A39" s="6">
        <v>33</v>
      </c>
      <c r="B39" s="6" t="s">
        <v>77</v>
      </c>
      <c r="C39" s="14" t="s">
        <v>78</v>
      </c>
      <c r="D39" s="3">
        <v>1</v>
      </c>
      <c r="E39" s="3">
        <v>0.75</v>
      </c>
      <c r="F39" s="3">
        <v>25</v>
      </c>
      <c r="G39" s="3">
        <v>25</v>
      </c>
      <c r="H39" s="98">
        <v>7100</v>
      </c>
      <c r="I39" s="95">
        <f t="shared" si="1"/>
        <v>4260</v>
      </c>
    </row>
    <row r="40" spans="1:9" ht="20.25" customHeight="1" x14ac:dyDescent="0.35">
      <c r="A40" s="6">
        <v>34</v>
      </c>
      <c r="B40" s="4" t="s">
        <v>79</v>
      </c>
      <c r="C40" s="15" t="s">
        <v>80</v>
      </c>
      <c r="D40" s="3">
        <v>0.5</v>
      </c>
      <c r="E40" s="3">
        <v>0.37</v>
      </c>
      <c r="F40" s="3">
        <v>25</v>
      </c>
      <c r="G40" s="3">
        <v>25</v>
      </c>
      <c r="H40" s="98">
        <v>5500</v>
      </c>
      <c r="I40" s="95">
        <f t="shared" si="1"/>
        <v>3300</v>
      </c>
    </row>
    <row r="41" spans="1:9" ht="20.25" customHeight="1" x14ac:dyDescent="0.35">
      <c r="A41" s="4">
        <v>35</v>
      </c>
      <c r="B41" s="4"/>
      <c r="C41" s="15" t="s">
        <v>81</v>
      </c>
      <c r="D41" s="3">
        <v>1</v>
      </c>
      <c r="E41" s="3">
        <v>0.75</v>
      </c>
      <c r="F41" s="3">
        <v>25</v>
      </c>
      <c r="G41" s="3">
        <v>25</v>
      </c>
      <c r="H41" s="98">
        <v>6200</v>
      </c>
      <c r="I41" s="95">
        <f t="shared" si="1"/>
        <v>3720</v>
      </c>
    </row>
    <row r="42" spans="1:9" ht="20.25" customHeight="1" x14ac:dyDescent="0.35">
      <c r="A42" s="6">
        <v>36</v>
      </c>
      <c r="B42" s="4" t="s">
        <v>82</v>
      </c>
      <c r="C42" s="12" t="s">
        <v>83</v>
      </c>
      <c r="D42" s="1">
        <v>0.5</v>
      </c>
      <c r="E42" s="1">
        <v>0.37</v>
      </c>
      <c r="F42" s="1">
        <v>25</v>
      </c>
      <c r="G42" s="1">
        <v>25</v>
      </c>
      <c r="H42" s="98">
        <v>7140</v>
      </c>
      <c r="I42" s="95">
        <f t="shared" si="1"/>
        <v>4284</v>
      </c>
    </row>
    <row r="43" spans="1:9" ht="20.25" customHeight="1" x14ac:dyDescent="0.35">
      <c r="A43" s="6">
        <v>37</v>
      </c>
      <c r="B43" s="6" t="s">
        <v>84</v>
      </c>
      <c r="C43" s="14" t="s">
        <v>85</v>
      </c>
      <c r="D43" s="1">
        <v>1.1000000000000001</v>
      </c>
      <c r="E43" s="1">
        <v>0.8</v>
      </c>
      <c r="F43" s="1">
        <v>25</v>
      </c>
      <c r="G43" s="1">
        <v>25</v>
      </c>
      <c r="H43" s="98">
        <v>7700</v>
      </c>
      <c r="I43" s="95">
        <f t="shared" si="1"/>
        <v>4620</v>
      </c>
    </row>
    <row r="44" spans="1:9" ht="20.25" customHeight="1" x14ac:dyDescent="0.35">
      <c r="A44" s="6">
        <v>38</v>
      </c>
      <c r="B44" s="6" t="s">
        <v>86</v>
      </c>
      <c r="C44" s="14" t="s">
        <v>87</v>
      </c>
      <c r="D44" s="1">
        <v>1.5</v>
      </c>
      <c r="E44" s="1">
        <v>1.1000000000000001</v>
      </c>
      <c r="F44" s="1">
        <v>25</v>
      </c>
      <c r="G44" s="1">
        <v>25</v>
      </c>
      <c r="H44" s="98">
        <v>8690</v>
      </c>
      <c r="I44" s="95">
        <f t="shared" si="1"/>
        <v>5214</v>
      </c>
    </row>
    <row r="45" spans="1:9" ht="20.25" customHeight="1" x14ac:dyDescent="0.35">
      <c r="A45" s="4">
        <v>39</v>
      </c>
      <c r="B45" s="4" t="s">
        <v>88</v>
      </c>
      <c r="C45" s="12" t="s">
        <v>89</v>
      </c>
      <c r="D45" s="2">
        <v>0.5</v>
      </c>
      <c r="E45" s="2">
        <v>0.37</v>
      </c>
      <c r="F45" s="2">
        <v>25</v>
      </c>
      <c r="G45" s="2">
        <v>12</v>
      </c>
      <c r="H45" s="98">
        <v>4860</v>
      </c>
      <c r="I45" s="95">
        <f t="shared" si="1"/>
        <v>2916</v>
      </c>
    </row>
    <row r="46" spans="1:9" ht="20.25" customHeight="1" x14ac:dyDescent="0.35">
      <c r="A46" s="6">
        <v>40</v>
      </c>
      <c r="B46" s="4" t="s">
        <v>90</v>
      </c>
      <c r="C46" s="12" t="s">
        <v>91</v>
      </c>
      <c r="D46" s="2">
        <v>1</v>
      </c>
      <c r="E46" s="2">
        <v>0.75</v>
      </c>
      <c r="F46" s="2">
        <v>25</v>
      </c>
      <c r="G46" s="2">
        <v>25</v>
      </c>
      <c r="H46" s="98">
        <v>5600</v>
      </c>
      <c r="I46" s="95">
        <f t="shared" si="1"/>
        <v>3360</v>
      </c>
    </row>
    <row r="47" spans="1:9" ht="20.25" customHeight="1" x14ac:dyDescent="0.35">
      <c r="A47" s="6">
        <v>41</v>
      </c>
      <c r="B47" s="6" t="s">
        <v>92</v>
      </c>
      <c r="C47" s="14" t="s">
        <v>93</v>
      </c>
      <c r="D47" s="17">
        <v>1</v>
      </c>
      <c r="E47" s="17">
        <v>0.75</v>
      </c>
      <c r="F47" s="17">
        <v>25</v>
      </c>
      <c r="G47" s="17">
        <v>25</v>
      </c>
      <c r="H47" s="100">
        <v>8420</v>
      </c>
      <c r="I47" s="96">
        <f>H47*0.63</f>
        <v>5304.6</v>
      </c>
    </row>
    <row r="48" spans="1:9" ht="20.25" customHeight="1" x14ac:dyDescent="0.35">
      <c r="A48" s="6">
        <v>42</v>
      </c>
      <c r="B48" s="6" t="s">
        <v>94</v>
      </c>
      <c r="C48" s="14" t="s">
        <v>95</v>
      </c>
      <c r="D48" s="2">
        <v>1.1000000000000001</v>
      </c>
      <c r="E48" s="2">
        <v>0.8</v>
      </c>
      <c r="F48" s="2">
        <v>25</v>
      </c>
      <c r="G48" s="2">
        <v>25</v>
      </c>
      <c r="H48" s="98">
        <v>12020</v>
      </c>
      <c r="I48" s="95">
        <f t="shared" si="1"/>
        <v>7212</v>
      </c>
    </row>
    <row r="49" spans="1:9" ht="20.25" customHeight="1" x14ac:dyDescent="0.35">
      <c r="A49" s="4">
        <v>43</v>
      </c>
      <c r="B49" s="4" t="s">
        <v>96</v>
      </c>
      <c r="C49" s="12" t="s">
        <v>97</v>
      </c>
      <c r="D49" s="2">
        <v>0.5</v>
      </c>
      <c r="E49" s="2">
        <v>0.37</v>
      </c>
      <c r="F49" s="2">
        <v>25</v>
      </c>
      <c r="G49" s="2">
        <v>25</v>
      </c>
      <c r="H49" s="98">
        <v>7530</v>
      </c>
      <c r="I49" s="95">
        <f t="shared" si="1"/>
        <v>4518</v>
      </c>
    </row>
    <row r="50" spans="1:9" ht="20.25" customHeight="1" x14ac:dyDescent="0.35">
      <c r="A50" s="6">
        <v>44</v>
      </c>
      <c r="B50" s="4" t="s">
        <v>98</v>
      </c>
      <c r="C50" s="12" t="s">
        <v>99</v>
      </c>
      <c r="D50" s="2">
        <v>1</v>
      </c>
      <c r="E50" s="2">
        <v>0.75</v>
      </c>
      <c r="F50" s="2">
        <v>25</v>
      </c>
      <c r="G50" s="2">
        <v>25</v>
      </c>
      <c r="H50" s="98">
        <v>9150</v>
      </c>
      <c r="I50" s="95">
        <f t="shared" si="1"/>
        <v>5490</v>
      </c>
    </row>
    <row r="51" spans="1:9" ht="20.25" customHeight="1" x14ac:dyDescent="0.35">
      <c r="A51" s="6">
        <v>45</v>
      </c>
      <c r="B51" s="4" t="s">
        <v>100</v>
      </c>
      <c r="C51" s="12" t="s">
        <v>101</v>
      </c>
      <c r="D51" s="2">
        <v>1</v>
      </c>
      <c r="E51" s="2">
        <v>0.75</v>
      </c>
      <c r="F51" s="2">
        <v>25</v>
      </c>
      <c r="G51" s="2">
        <v>25</v>
      </c>
      <c r="H51" s="101">
        <v>16800</v>
      </c>
      <c r="I51" s="95">
        <f t="shared" si="1"/>
        <v>10080</v>
      </c>
    </row>
    <row r="52" spans="1:9" ht="20.25" customHeight="1" x14ac:dyDescent="0.35">
      <c r="A52" s="6">
        <v>46</v>
      </c>
      <c r="B52" s="6" t="s">
        <v>102</v>
      </c>
      <c r="C52" s="14" t="s">
        <v>103</v>
      </c>
      <c r="D52" s="2">
        <v>0.5</v>
      </c>
      <c r="E52" s="2">
        <v>0.37</v>
      </c>
      <c r="F52" s="2">
        <v>25</v>
      </c>
      <c r="G52" s="2">
        <v>25</v>
      </c>
      <c r="H52" s="98">
        <v>17760</v>
      </c>
      <c r="I52" s="95">
        <f t="shared" si="1"/>
        <v>10656</v>
      </c>
    </row>
    <row r="53" spans="1:9" ht="20.25" customHeight="1" x14ac:dyDescent="0.35">
      <c r="A53" s="4">
        <v>47</v>
      </c>
      <c r="B53" s="6" t="s">
        <v>104</v>
      </c>
      <c r="C53" s="14" t="s">
        <v>105</v>
      </c>
      <c r="D53" s="2">
        <v>1</v>
      </c>
      <c r="E53" s="2">
        <v>0.75</v>
      </c>
      <c r="F53" s="2">
        <v>25</v>
      </c>
      <c r="G53" s="2">
        <v>25</v>
      </c>
      <c r="H53" s="98">
        <v>19120</v>
      </c>
      <c r="I53" s="95">
        <f t="shared" si="1"/>
        <v>11472</v>
      </c>
    </row>
    <row r="54" spans="1:9" ht="20.25" customHeight="1" x14ac:dyDescent="0.35">
      <c r="A54" s="6">
        <v>48</v>
      </c>
      <c r="B54" s="6" t="s">
        <v>106</v>
      </c>
      <c r="C54" s="14" t="s">
        <v>107</v>
      </c>
      <c r="D54" s="2">
        <v>1.1000000000000001</v>
      </c>
      <c r="E54" s="2">
        <v>0.8</v>
      </c>
      <c r="F54" s="2">
        <v>25</v>
      </c>
      <c r="G54" s="2">
        <v>25</v>
      </c>
      <c r="H54" s="98">
        <v>20900</v>
      </c>
      <c r="I54" s="95">
        <f t="shared" si="1"/>
        <v>12540</v>
      </c>
    </row>
    <row r="55" spans="1:9" ht="20.25" customHeight="1" x14ac:dyDescent="0.35">
      <c r="A55" s="267" t="s">
        <v>108</v>
      </c>
      <c r="B55" s="268"/>
      <c r="C55" s="268"/>
      <c r="D55" s="268"/>
      <c r="E55" s="268"/>
      <c r="F55" s="268"/>
      <c r="G55" s="269"/>
      <c r="H55" s="272" t="s">
        <v>109</v>
      </c>
      <c r="I55" s="315" t="s">
        <v>502</v>
      </c>
    </row>
    <row r="56" spans="1:9" ht="20.25" customHeight="1" x14ac:dyDescent="0.35">
      <c r="A56" s="207" t="s">
        <v>2</v>
      </c>
      <c r="B56" s="287" t="s">
        <v>3</v>
      </c>
      <c r="C56" s="260" t="s">
        <v>4</v>
      </c>
      <c r="D56" s="209" t="s">
        <v>5</v>
      </c>
      <c r="E56" s="210"/>
      <c r="F56" s="209" t="s">
        <v>6</v>
      </c>
      <c r="G56" s="210"/>
      <c r="H56" s="317"/>
      <c r="I56" s="315"/>
    </row>
    <row r="57" spans="1:9" ht="20.25" customHeight="1" x14ac:dyDescent="0.35">
      <c r="A57" s="208"/>
      <c r="B57" s="287"/>
      <c r="C57" s="261"/>
      <c r="D57" s="11" t="s">
        <v>9</v>
      </c>
      <c r="E57" s="11" t="s">
        <v>10</v>
      </c>
      <c r="F57" s="11" t="s">
        <v>11</v>
      </c>
      <c r="G57" s="11" t="s">
        <v>12</v>
      </c>
      <c r="H57" s="274"/>
      <c r="I57" s="315"/>
    </row>
    <row r="58" spans="1:9" ht="20.25" customHeight="1" x14ac:dyDescent="0.35">
      <c r="A58" s="6">
        <v>1</v>
      </c>
      <c r="B58" s="6" t="s">
        <v>110</v>
      </c>
      <c r="C58" s="14" t="s">
        <v>111</v>
      </c>
      <c r="D58" s="303">
        <v>0.5</v>
      </c>
      <c r="E58" s="303">
        <v>0.37</v>
      </c>
      <c r="F58" s="2">
        <v>25</v>
      </c>
      <c r="G58" s="2">
        <v>25</v>
      </c>
      <c r="H58" s="98">
        <v>4680</v>
      </c>
      <c r="I58" s="95">
        <f>H58*0.6</f>
        <v>2808</v>
      </c>
    </row>
    <row r="59" spans="1:9" ht="20.25" customHeight="1" x14ac:dyDescent="0.35">
      <c r="A59" s="6">
        <v>2</v>
      </c>
      <c r="B59" s="6" t="s">
        <v>112</v>
      </c>
      <c r="C59" s="14" t="s">
        <v>113</v>
      </c>
      <c r="D59" s="303"/>
      <c r="E59" s="303"/>
      <c r="F59" s="2">
        <v>40</v>
      </c>
      <c r="G59" s="2">
        <v>40</v>
      </c>
      <c r="H59" s="98">
        <v>6430</v>
      </c>
      <c r="I59" s="95">
        <f t="shared" ref="I59:I113" si="2">H59*0.6</f>
        <v>3858</v>
      </c>
    </row>
    <row r="60" spans="1:9" ht="20.25" customHeight="1" x14ac:dyDescent="0.35">
      <c r="A60" s="4">
        <v>3</v>
      </c>
      <c r="B60" s="4" t="s">
        <v>114</v>
      </c>
      <c r="C60" s="18" t="s">
        <v>115</v>
      </c>
      <c r="D60" s="2">
        <v>0.75</v>
      </c>
      <c r="E60" s="2">
        <v>0.56000000000000005</v>
      </c>
      <c r="F60" s="2">
        <v>40</v>
      </c>
      <c r="G60" s="2">
        <v>40</v>
      </c>
      <c r="H60" s="101">
        <v>6240</v>
      </c>
      <c r="I60" s="95">
        <f t="shared" si="2"/>
        <v>3744</v>
      </c>
    </row>
    <row r="61" spans="1:9" ht="20.25" customHeight="1" x14ac:dyDescent="0.35">
      <c r="A61" s="6">
        <v>4</v>
      </c>
      <c r="B61" s="6" t="s">
        <v>116</v>
      </c>
      <c r="C61" s="14" t="s">
        <v>117</v>
      </c>
      <c r="D61" s="262">
        <v>1</v>
      </c>
      <c r="E61" s="262">
        <v>0.75</v>
      </c>
      <c r="F61" s="1">
        <v>25</v>
      </c>
      <c r="G61" s="1">
        <v>25</v>
      </c>
      <c r="H61" s="98">
        <v>7572</v>
      </c>
      <c r="I61" s="95">
        <f t="shared" si="2"/>
        <v>4543.2</v>
      </c>
    </row>
    <row r="62" spans="1:9" ht="20.25" customHeight="1" x14ac:dyDescent="0.35">
      <c r="A62" s="6">
        <v>5</v>
      </c>
      <c r="B62" s="6" t="s">
        <v>118</v>
      </c>
      <c r="C62" s="14" t="s">
        <v>119</v>
      </c>
      <c r="D62" s="266"/>
      <c r="E62" s="266"/>
      <c r="F62" s="1">
        <v>50</v>
      </c>
      <c r="G62" s="1">
        <v>50</v>
      </c>
      <c r="H62" s="98">
        <v>8900</v>
      </c>
      <c r="I62" s="95">
        <f t="shared" si="2"/>
        <v>5340</v>
      </c>
    </row>
    <row r="63" spans="1:9" ht="20.25" customHeight="1" x14ac:dyDescent="0.35">
      <c r="A63" s="4">
        <v>6</v>
      </c>
      <c r="B63" s="6" t="s">
        <v>120</v>
      </c>
      <c r="C63" s="14" t="s">
        <v>121</v>
      </c>
      <c r="D63" s="266"/>
      <c r="E63" s="266"/>
      <c r="F63" s="1">
        <v>50</v>
      </c>
      <c r="G63" s="1">
        <v>50</v>
      </c>
      <c r="H63" s="101">
        <v>9100</v>
      </c>
      <c r="I63" s="95">
        <f t="shared" si="2"/>
        <v>5460</v>
      </c>
    </row>
    <row r="64" spans="1:9" ht="20.25" customHeight="1" x14ac:dyDescent="0.35">
      <c r="A64" s="6">
        <v>7</v>
      </c>
      <c r="B64" s="4" t="s">
        <v>122</v>
      </c>
      <c r="C64" s="18" t="s">
        <v>123</v>
      </c>
      <c r="D64" s="266"/>
      <c r="E64" s="266"/>
      <c r="F64" s="1">
        <v>50</v>
      </c>
      <c r="G64" s="1">
        <v>50</v>
      </c>
      <c r="H64" s="101">
        <v>9000</v>
      </c>
      <c r="I64" s="95">
        <f t="shared" si="2"/>
        <v>5400</v>
      </c>
    </row>
    <row r="65" spans="1:9" ht="20.25" customHeight="1" x14ac:dyDescent="0.35">
      <c r="A65" s="6">
        <v>8</v>
      </c>
      <c r="B65" s="4" t="s">
        <v>124</v>
      </c>
      <c r="C65" s="19" t="s">
        <v>125</v>
      </c>
      <c r="D65" s="266"/>
      <c r="E65" s="266"/>
      <c r="F65" s="1">
        <v>75</v>
      </c>
      <c r="G65" s="1">
        <v>75</v>
      </c>
      <c r="H65" s="98">
        <v>10000</v>
      </c>
      <c r="I65" s="95">
        <f t="shared" si="2"/>
        <v>6000</v>
      </c>
    </row>
    <row r="66" spans="1:9" ht="20.25" customHeight="1" x14ac:dyDescent="0.35">
      <c r="A66" s="4">
        <v>9</v>
      </c>
      <c r="B66" s="4"/>
      <c r="C66" s="18" t="s">
        <v>126</v>
      </c>
      <c r="D66" s="263"/>
      <c r="E66" s="263"/>
      <c r="F66" s="1">
        <v>75</v>
      </c>
      <c r="G66" s="1">
        <v>75</v>
      </c>
      <c r="H66" s="101">
        <v>10200</v>
      </c>
      <c r="I66" s="95">
        <f t="shared" si="2"/>
        <v>6120</v>
      </c>
    </row>
    <row r="67" spans="1:9" ht="20.25" customHeight="1" x14ac:dyDescent="0.35">
      <c r="A67" s="6">
        <v>10</v>
      </c>
      <c r="B67" s="4" t="s">
        <v>127</v>
      </c>
      <c r="C67" s="19" t="s">
        <v>128</v>
      </c>
      <c r="D67" s="262">
        <v>1.5</v>
      </c>
      <c r="E67" s="262">
        <v>1.1000000000000001</v>
      </c>
      <c r="F67" s="1">
        <v>50</v>
      </c>
      <c r="G67" s="1">
        <v>50</v>
      </c>
      <c r="H67" s="101">
        <v>10420</v>
      </c>
      <c r="I67" s="95">
        <f t="shared" si="2"/>
        <v>6252</v>
      </c>
    </row>
    <row r="68" spans="1:9" ht="20.25" customHeight="1" x14ac:dyDescent="0.35">
      <c r="A68" s="6">
        <v>11</v>
      </c>
      <c r="B68" s="4" t="s">
        <v>129</v>
      </c>
      <c r="C68" s="18" t="s">
        <v>130</v>
      </c>
      <c r="D68" s="266"/>
      <c r="E68" s="266"/>
      <c r="F68" s="1">
        <v>50</v>
      </c>
      <c r="G68" s="1">
        <v>50</v>
      </c>
      <c r="H68" s="101">
        <v>10600</v>
      </c>
      <c r="I68" s="95">
        <f t="shared" si="2"/>
        <v>6360</v>
      </c>
    </row>
    <row r="69" spans="1:9" ht="20.25" customHeight="1" x14ac:dyDescent="0.35">
      <c r="A69" s="4">
        <v>12</v>
      </c>
      <c r="B69" s="4" t="s">
        <v>131</v>
      </c>
      <c r="C69" s="19" t="s">
        <v>132</v>
      </c>
      <c r="D69" s="266"/>
      <c r="E69" s="266"/>
      <c r="F69" s="1">
        <v>65</v>
      </c>
      <c r="G69" s="1">
        <v>50</v>
      </c>
      <c r="H69" s="101">
        <v>10600</v>
      </c>
      <c r="I69" s="95">
        <f t="shared" si="2"/>
        <v>6360</v>
      </c>
    </row>
    <row r="70" spans="1:9" ht="20.25" customHeight="1" x14ac:dyDescent="0.35">
      <c r="A70" s="6">
        <v>13</v>
      </c>
      <c r="B70" s="4" t="s">
        <v>133</v>
      </c>
      <c r="C70" s="18" t="s">
        <v>134</v>
      </c>
      <c r="D70" s="266"/>
      <c r="E70" s="266"/>
      <c r="F70" s="1">
        <v>65</v>
      </c>
      <c r="G70" s="1">
        <v>50</v>
      </c>
      <c r="H70" s="101">
        <v>10800</v>
      </c>
      <c r="I70" s="95">
        <f t="shared" si="2"/>
        <v>6480</v>
      </c>
    </row>
    <row r="71" spans="1:9" ht="20.25" customHeight="1" x14ac:dyDescent="0.35">
      <c r="A71" s="6">
        <v>14</v>
      </c>
      <c r="B71" s="4" t="s">
        <v>135</v>
      </c>
      <c r="C71" s="19" t="s">
        <v>136</v>
      </c>
      <c r="D71" s="266"/>
      <c r="E71" s="266"/>
      <c r="F71" s="1">
        <v>75</v>
      </c>
      <c r="G71" s="1">
        <v>75</v>
      </c>
      <c r="H71" s="98">
        <v>11000</v>
      </c>
      <c r="I71" s="95">
        <f t="shared" si="2"/>
        <v>6600</v>
      </c>
    </row>
    <row r="72" spans="1:9" ht="20.25" customHeight="1" x14ac:dyDescent="0.35">
      <c r="A72" s="4">
        <v>15</v>
      </c>
      <c r="B72" s="4" t="s">
        <v>137</v>
      </c>
      <c r="C72" s="18" t="s">
        <v>138</v>
      </c>
      <c r="D72" s="266"/>
      <c r="E72" s="266"/>
      <c r="F72" s="1">
        <v>75</v>
      </c>
      <c r="G72" s="1">
        <v>75</v>
      </c>
      <c r="H72" s="101">
        <v>11200</v>
      </c>
      <c r="I72" s="95">
        <f t="shared" si="2"/>
        <v>6720</v>
      </c>
    </row>
    <row r="73" spans="1:9" ht="20.25" customHeight="1" x14ac:dyDescent="0.35">
      <c r="A73" s="6">
        <v>16</v>
      </c>
      <c r="B73" s="4" t="s">
        <v>139</v>
      </c>
      <c r="C73" s="18" t="s">
        <v>140</v>
      </c>
      <c r="D73" s="263"/>
      <c r="E73" s="263"/>
      <c r="F73" s="1">
        <v>75</v>
      </c>
      <c r="G73" s="1">
        <v>75</v>
      </c>
      <c r="H73" s="101">
        <v>11200</v>
      </c>
      <c r="I73" s="95">
        <f t="shared" si="2"/>
        <v>6720</v>
      </c>
    </row>
    <row r="74" spans="1:9" ht="20.25" customHeight="1" x14ac:dyDescent="0.35">
      <c r="A74" s="6">
        <v>17</v>
      </c>
      <c r="B74" s="4" t="s">
        <v>141</v>
      </c>
      <c r="C74" s="19" t="s">
        <v>142</v>
      </c>
      <c r="D74" s="262">
        <v>2</v>
      </c>
      <c r="E74" s="262">
        <v>1.5</v>
      </c>
      <c r="F74" s="1">
        <v>50</v>
      </c>
      <c r="G74" s="1">
        <v>40</v>
      </c>
      <c r="H74" s="98">
        <v>15000</v>
      </c>
      <c r="I74" s="95">
        <f t="shared" si="2"/>
        <v>9000</v>
      </c>
    </row>
    <row r="75" spans="1:9" ht="20.25" customHeight="1" x14ac:dyDescent="0.35">
      <c r="A75" s="4">
        <v>18</v>
      </c>
      <c r="B75" s="4" t="s">
        <v>143</v>
      </c>
      <c r="C75" s="18" t="s">
        <v>144</v>
      </c>
      <c r="D75" s="266"/>
      <c r="E75" s="266"/>
      <c r="F75" s="1">
        <v>50</v>
      </c>
      <c r="G75" s="1">
        <v>40</v>
      </c>
      <c r="H75" s="101">
        <v>15200</v>
      </c>
      <c r="I75" s="95">
        <f t="shared" si="2"/>
        <v>9120</v>
      </c>
    </row>
    <row r="76" spans="1:9" ht="20.25" customHeight="1" x14ac:dyDescent="0.35">
      <c r="A76" s="6">
        <v>19</v>
      </c>
      <c r="B76" s="6" t="s">
        <v>145</v>
      </c>
      <c r="C76" s="14" t="s">
        <v>146</v>
      </c>
      <c r="D76" s="266"/>
      <c r="E76" s="266"/>
      <c r="F76" s="1">
        <v>50</v>
      </c>
      <c r="G76" s="1">
        <v>50</v>
      </c>
      <c r="H76" s="98">
        <v>13000</v>
      </c>
      <c r="I76" s="95">
        <f t="shared" si="2"/>
        <v>7800</v>
      </c>
    </row>
    <row r="77" spans="1:9" ht="20.25" customHeight="1" x14ac:dyDescent="0.35">
      <c r="A77" s="6">
        <v>20</v>
      </c>
      <c r="B77" s="4" t="s">
        <v>147</v>
      </c>
      <c r="C77" s="18" t="s">
        <v>148</v>
      </c>
      <c r="D77" s="266"/>
      <c r="E77" s="266"/>
      <c r="F77" s="1">
        <v>50</v>
      </c>
      <c r="G77" s="1">
        <v>50</v>
      </c>
      <c r="H77" s="101">
        <v>13200</v>
      </c>
      <c r="I77" s="95">
        <f t="shared" si="2"/>
        <v>7920</v>
      </c>
    </row>
    <row r="78" spans="1:9" ht="20.25" customHeight="1" x14ac:dyDescent="0.35">
      <c r="A78" s="4">
        <v>21</v>
      </c>
      <c r="B78" s="6" t="s">
        <v>149</v>
      </c>
      <c r="C78" s="14" t="s">
        <v>150</v>
      </c>
      <c r="D78" s="266"/>
      <c r="E78" s="266"/>
      <c r="F78" s="1">
        <v>65</v>
      </c>
      <c r="G78" s="1">
        <v>50</v>
      </c>
      <c r="H78" s="98">
        <v>13300</v>
      </c>
      <c r="I78" s="95">
        <f t="shared" si="2"/>
        <v>7980</v>
      </c>
    </row>
    <row r="79" spans="1:9" ht="20.25" customHeight="1" x14ac:dyDescent="0.35">
      <c r="A79" s="6">
        <v>22</v>
      </c>
      <c r="B79" s="6" t="s">
        <v>151</v>
      </c>
      <c r="C79" s="14" t="s">
        <v>152</v>
      </c>
      <c r="D79" s="266"/>
      <c r="E79" s="266"/>
      <c r="F79" s="1">
        <v>65</v>
      </c>
      <c r="G79" s="1">
        <v>50</v>
      </c>
      <c r="H79" s="101">
        <v>13500</v>
      </c>
      <c r="I79" s="95">
        <f t="shared" si="2"/>
        <v>8100</v>
      </c>
    </row>
    <row r="80" spans="1:9" ht="20.25" customHeight="1" x14ac:dyDescent="0.35">
      <c r="A80" s="6">
        <v>23</v>
      </c>
      <c r="B80" s="4" t="s">
        <v>153</v>
      </c>
      <c r="C80" s="18" t="s">
        <v>154</v>
      </c>
      <c r="D80" s="266"/>
      <c r="E80" s="266"/>
      <c r="F80" s="1">
        <v>65</v>
      </c>
      <c r="G80" s="1">
        <v>50</v>
      </c>
      <c r="H80" s="101">
        <v>13340</v>
      </c>
      <c r="I80" s="95">
        <f t="shared" si="2"/>
        <v>8004</v>
      </c>
    </row>
    <row r="81" spans="1:9" ht="20.25" customHeight="1" x14ac:dyDescent="0.35">
      <c r="A81" s="4">
        <v>24</v>
      </c>
      <c r="B81" s="6"/>
      <c r="C81" s="14" t="s">
        <v>155</v>
      </c>
      <c r="D81" s="266"/>
      <c r="E81" s="266"/>
      <c r="F81" s="1">
        <v>65</v>
      </c>
      <c r="G81" s="1">
        <v>50</v>
      </c>
      <c r="H81" s="98">
        <v>13300</v>
      </c>
      <c r="I81" s="95">
        <f t="shared" si="2"/>
        <v>7980</v>
      </c>
    </row>
    <row r="82" spans="1:9" ht="20.25" customHeight="1" x14ac:dyDescent="0.35">
      <c r="A82" s="6">
        <v>25</v>
      </c>
      <c r="B82" s="4" t="s">
        <v>156</v>
      </c>
      <c r="C82" s="18" t="s">
        <v>157</v>
      </c>
      <c r="D82" s="266"/>
      <c r="E82" s="266"/>
      <c r="F82" s="1">
        <v>75</v>
      </c>
      <c r="G82" s="1">
        <v>75</v>
      </c>
      <c r="H82" s="101">
        <v>13600</v>
      </c>
      <c r="I82" s="95">
        <f t="shared" si="2"/>
        <v>8160</v>
      </c>
    </row>
    <row r="83" spans="1:9" ht="20.25" customHeight="1" x14ac:dyDescent="0.35">
      <c r="A83" s="6">
        <v>26</v>
      </c>
      <c r="B83" s="6" t="s">
        <v>158</v>
      </c>
      <c r="C83" s="14" t="s">
        <v>159</v>
      </c>
      <c r="D83" s="266"/>
      <c r="E83" s="266"/>
      <c r="F83" s="1">
        <v>75</v>
      </c>
      <c r="G83" s="1">
        <v>75</v>
      </c>
      <c r="H83" s="98">
        <v>13450</v>
      </c>
      <c r="I83" s="95">
        <f t="shared" si="2"/>
        <v>8070</v>
      </c>
    </row>
    <row r="84" spans="1:9" ht="20.25" customHeight="1" x14ac:dyDescent="0.35">
      <c r="A84" s="4">
        <v>27</v>
      </c>
      <c r="B84" s="6" t="s">
        <v>160</v>
      </c>
      <c r="C84" s="14" t="s">
        <v>161</v>
      </c>
      <c r="D84" s="266"/>
      <c r="E84" s="266"/>
      <c r="F84" s="1">
        <v>75</v>
      </c>
      <c r="G84" s="1">
        <v>75</v>
      </c>
      <c r="H84" s="101">
        <v>13800</v>
      </c>
      <c r="I84" s="95">
        <f t="shared" si="2"/>
        <v>8280</v>
      </c>
    </row>
    <row r="85" spans="1:9" ht="20.25" customHeight="1" x14ac:dyDescent="0.35">
      <c r="A85" s="6">
        <v>28</v>
      </c>
      <c r="B85" s="6" t="s">
        <v>162</v>
      </c>
      <c r="C85" s="14" t="s">
        <v>163</v>
      </c>
      <c r="D85" s="266"/>
      <c r="E85" s="266"/>
      <c r="F85" s="1">
        <v>75</v>
      </c>
      <c r="G85" s="1">
        <v>75</v>
      </c>
      <c r="H85" s="101">
        <v>14000</v>
      </c>
      <c r="I85" s="95">
        <f t="shared" si="2"/>
        <v>8400</v>
      </c>
    </row>
    <row r="86" spans="1:9" ht="20.25" customHeight="1" x14ac:dyDescent="0.35">
      <c r="A86" s="6">
        <v>29</v>
      </c>
      <c r="B86" s="6" t="s">
        <v>164</v>
      </c>
      <c r="C86" s="14" t="s">
        <v>165</v>
      </c>
      <c r="D86" s="266"/>
      <c r="E86" s="266"/>
      <c r="F86" s="1">
        <v>75</v>
      </c>
      <c r="G86" s="1">
        <v>75</v>
      </c>
      <c r="H86" s="101">
        <v>14500</v>
      </c>
      <c r="I86" s="95">
        <f t="shared" si="2"/>
        <v>8700</v>
      </c>
    </row>
    <row r="87" spans="1:9" ht="20.25" customHeight="1" x14ac:dyDescent="0.35">
      <c r="A87" s="4">
        <v>30</v>
      </c>
      <c r="B87" s="4" t="s">
        <v>166</v>
      </c>
      <c r="C87" s="18" t="s">
        <v>167</v>
      </c>
      <c r="D87" s="266"/>
      <c r="E87" s="266"/>
      <c r="F87" s="1">
        <v>75</v>
      </c>
      <c r="G87" s="1">
        <v>75</v>
      </c>
      <c r="H87" s="101">
        <v>13550</v>
      </c>
      <c r="I87" s="95">
        <f t="shared" si="2"/>
        <v>8130</v>
      </c>
    </row>
    <row r="88" spans="1:9" ht="20.25" customHeight="1" x14ac:dyDescent="0.35">
      <c r="A88" s="6">
        <v>31</v>
      </c>
      <c r="B88" s="6" t="s">
        <v>168</v>
      </c>
      <c r="C88" s="14" t="s">
        <v>169</v>
      </c>
      <c r="D88" s="266"/>
      <c r="E88" s="266"/>
      <c r="F88" s="1">
        <v>75</v>
      </c>
      <c r="G88" s="1">
        <v>65</v>
      </c>
      <c r="H88" s="98">
        <v>13450</v>
      </c>
      <c r="I88" s="95">
        <f t="shared" si="2"/>
        <v>8070</v>
      </c>
    </row>
    <row r="89" spans="1:9" ht="20.25" customHeight="1" x14ac:dyDescent="0.35">
      <c r="A89" s="6">
        <v>32</v>
      </c>
      <c r="B89" s="6" t="s">
        <v>170</v>
      </c>
      <c r="C89" s="14" t="s">
        <v>171</v>
      </c>
      <c r="D89" s="266"/>
      <c r="E89" s="266"/>
      <c r="F89" s="1">
        <v>75</v>
      </c>
      <c r="G89" s="1">
        <v>65</v>
      </c>
      <c r="H89" s="101">
        <v>13740</v>
      </c>
      <c r="I89" s="95">
        <f t="shared" si="2"/>
        <v>8244</v>
      </c>
    </row>
    <row r="90" spans="1:9" ht="20.25" customHeight="1" x14ac:dyDescent="0.35">
      <c r="A90" s="4">
        <v>33</v>
      </c>
      <c r="B90" s="4"/>
      <c r="C90" s="19" t="s">
        <v>172</v>
      </c>
      <c r="D90" s="266"/>
      <c r="E90" s="266"/>
      <c r="F90" s="1">
        <v>100</v>
      </c>
      <c r="G90" s="1">
        <v>100</v>
      </c>
      <c r="H90" s="98">
        <v>15000</v>
      </c>
      <c r="I90" s="95">
        <f t="shared" si="2"/>
        <v>9000</v>
      </c>
    </row>
    <row r="91" spans="1:9" ht="20.25" customHeight="1" x14ac:dyDescent="0.35">
      <c r="A91" s="6">
        <v>34</v>
      </c>
      <c r="B91" s="4"/>
      <c r="C91" s="18" t="s">
        <v>173</v>
      </c>
      <c r="D91" s="263"/>
      <c r="E91" s="263"/>
      <c r="F91" s="1">
        <v>100</v>
      </c>
      <c r="G91" s="1">
        <v>100</v>
      </c>
      <c r="H91" s="101">
        <v>15200</v>
      </c>
      <c r="I91" s="95">
        <f t="shared" si="2"/>
        <v>9120</v>
      </c>
    </row>
    <row r="92" spans="1:9" ht="20.25" customHeight="1" x14ac:dyDescent="0.35">
      <c r="A92" s="6">
        <v>35</v>
      </c>
      <c r="B92" s="4"/>
      <c r="C92" s="19" t="s">
        <v>174</v>
      </c>
      <c r="D92" s="262">
        <v>3</v>
      </c>
      <c r="E92" s="262">
        <v>2.25</v>
      </c>
      <c r="F92" s="1">
        <v>50</v>
      </c>
      <c r="G92" s="1">
        <v>40</v>
      </c>
      <c r="H92" s="98">
        <v>18000</v>
      </c>
      <c r="I92" s="95">
        <f t="shared" si="2"/>
        <v>10800</v>
      </c>
    </row>
    <row r="93" spans="1:9" ht="20.25" customHeight="1" x14ac:dyDescent="0.35">
      <c r="A93" s="4">
        <v>36</v>
      </c>
      <c r="B93" s="4" t="s">
        <v>175</v>
      </c>
      <c r="C93" s="18" t="s">
        <v>176</v>
      </c>
      <c r="D93" s="266"/>
      <c r="E93" s="266"/>
      <c r="F93" s="1">
        <v>50</v>
      </c>
      <c r="G93" s="1">
        <v>40</v>
      </c>
      <c r="H93" s="101">
        <v>18560</v>
      </c>
      <c r="I93" s="95">
        <f t="shared" si="2"/>
        <v>11136</v>
      </c>
    </row>
    <row r="94" spans="1:9" ht="20.25" customHeight="1" x14ac:dyDescent="0.35">
      <c r="A94" s="6">
        <v>37</v>
      </c>
      <c r="B94" s="4" t="s">
        <v>177</v>
      </c>
      <c r="C94" s="19" t="s">
        <v>178</v>
      </c>
      <c r="D94" s="266"/>
      <c r="E94" s="266"/>
      <c r="F94" s="1">
        <v>50</v>
      </c>
      <c r="G94" s="1">
        <v>50</v>
      </c>
      <c r="H94" s="98">
        <v>18250</v>
      </c>
      <c r="I94" s="95">
        <f t="shared" si="2"/>
        <v>10950</v>
      </c>
    </row>
    <row r="95" spans="1:9" ht="20.25" customHeight="1" x14ac:dyDescent="0.35">
      <c r="A95" s="6">
        <v>38</v>
      </c>
      <c r="B95" s="4" t="s">
        <v>179</v>
      </c>
      <c r="C95" s="18" t="s">
        <v>180</v>
      </c>
      <c r="D95" s="266"/>
      <c r="E95" s="266"/>
      <c r="F95" s="1">
        <v>50</v>
      </c>
      <c r="G95" s="1">
        <v>50</v>
      </c>
      <c r="H95" s="101">
        <v>18670</v>
      </c>
      <c r="I95" s="95">
        <f t="shared" si="2"/>
        <v>11202</v>
      </c>
    </row>
    <row r="96" spans="1:9" ht="20.25" customHeight="1" x14ac:dyDescent="0.35">
      <c r="A96" s="4">
        <v>39</v>
      </c>
      <c r="B96" s="6" t="s">
        <v>181</v>
      </c>
      <c r="C96" s="14" t="s">
        <v>182</v>
      </c>
      <c r="D96" s="266"/>
      <c r="E96" s="266"/>
      <c r="F96" s="1">
        <v>65</v>
      </c>
      <c r="G96" s="1">
        <v>50</v>
      </c>
      <c r="H96" s="98">
        <v>18100</v>
      </c>
      <c r="I96" s="95">
        <f t="shared" si="2"/>
        <v>10860</v>
      </c>
    </row>
    <row r="97" spans="1:9" ht="20.25" customHeight="1" x14ac:dyDescent="0.35">
      <c r="A97" s="6">
        <v>40</v>
      </c>
      <c r="B97" s="6" t="s">
        <v>183</v>
      </c>
      <c r="C97" s="14" t="s">
        <v>184</v>
      </c>
      <c r="D97" s="266"/>
      <c r="E97" s="266"/>
      <c r="F97" s="1">
        <v>65</v>
      </c>
      <c r="G97" s="1">
        <v>50</v>
      </c>
      <c r="H97" s="101">
        <v>18770</v>
      </c>
      <c r="I97" s="95">
        <f t="shared" si="2"/>
        <v>11262</v>
      </c>
    </row>
    <row r="98" spans="1:9" ht="20.25" customHeight="1" x14ac:dyDescent="0.35">
      <c r="A98" s="6">
        <v>41</v>
      </c>
      <c r="B98" s="6" t="s">
        <v>185</v>
      </c>
      <c r="C98" s="14" t="s">
        <v>186</v>
      </c>
      <c r="D98" s="266"/>
      <c r="E98" s="266"/>
      <c r="F98" s="1">
        <v>75</v>
      </c>
      <c r="G98" s="1">
        <v>75</v>
      </c>
      <c r="H98" s="98">
        <v>18020</v>
      </c>
      <c r="I98" s="95">
        <f t="shared" si="2"/>
        <v>10812</v>
      </c>
    </row>
    <row r="99" spans="1:9" ht="20.25" customHeight="1" x14ac:dyDescent="0.35">
      <c r="A99" s="4">
        <v>42</v>
      </c>
      <c r="B99" s="6" t="s">
        <v>187</v>
      </c>
      <c r="C99" s="14" t="s">
        <v>188</v>
      </c>
      <c r="D99" s="266"/>
      <c r="E99" s="266"/>
      <c r="F99" s="1">
        <v>75</v>
      </c>
      <c r="G99" s="1">
        <v>75</v>
      </c>
      <c r="H99" s="101">
        <v>18680</v>
      </c>
      <c r="I99" s="95">
        <f t="shared" si="2"/>
        <v>11208</v>
      </c>
    </row>
    <row r="100" spans="1:9" ht="20.25" customHeight="1" x14ac:dyDescent="0.35">
      <c r="A100" s="6">
        <v>43</v>
      </c>
      <c r="B100" s="6" t="s">
        <v>189</v>
      </c>
      <c r="C100" s="14" t="s">
        <v>190</v>
      </c>
      <c r="D100" s="266"/>
      <c r="E100" s="266"/>
      <c r="F100" s="1">
        <v>100</v>
      </c>
      <c r="G100" s="1">
        <v>100</v>
      </c>
      <c r="H100" s="98">
        <v>19100</v>
      </c>
      <c r="I100" s="95">
        <f t="shared" si="2"/>
        <v>11460</v>
      </c>
    </row>
    <row r="101" spans="1:9" ht="20.25" customHeight="1" x14ac:dyDescent="0.35">
      <c r="A101" s="6">
        <v>44</v>
      </c>
      <c r="B101" s="6" t="s">
        <v>191</v>
      </c>
      <c r="C101" s="14" t="s">
        <v>192</v>
      </c>
      <c r="D101" s="266"/>
      <c r="E101" s="266"/>
      <c r="F101" s="1">
        <v>100</v>
      </c>
      <c r="G101" s="1">
        <v>100</v>
      </c>
      <c r="H101" s="101">
        <v>19500</v>
      </c>
      <c r="I101" s="95">
        <f t="shared" si="2"/>
        <v>11700</v>
      </c>
    </row>
    <row r="102" spans="1:9" ht="20.25" customHeight="1" x14ac:dyDescent="0.35">
      <c r="A102" s="4">
        <v>45</v>
      </c>
      <c r="B102" s="6" t="s">
        <v>193</v>
      </c>
      <c r="C102" s="14" t="s">
        <v>194</v>
      </c>
      <c r="D102" s="266"/>
      <c r="E102" s="266"/>
      <c r="F102" s="1">
        <v>100</v>
      </c>
      <c r="G102" s="1">
        <v>100</v>
      </c>
      <c r="H102" s="101">
        <v>14800</v>
      </c>
      <c r="I102" s="95">
        <f t="shared" si="2"/>
        <v>8880</v>
      </c>
    </row>
    <row r="103" spans="1:9" ht="20.25" customHeight="1" x14ac:dyDescent="0.35">
      <c r="A103" s="6">
        <v>46</v>
      </c>
      <c r="B103" s="4" t="s">
        <v>195</v>
      </c>
      <c r="C103" s="18" t="s">
        <v>196</v>
      </c>
      <c r="D103" s="263"/>
      <c r="E103" s="263"/>
      <c r="F103" s="1">
        <v>100</v>
      </c>
      <c r="G103" s="1">
        <v>100</v>
      </c>
      <c r="H103" s="101">
        <v>15000</v>
      </c>
      <c r="I103" s="95">
        <f t="shared" si="2"/>
        <v>9000</v>
      </c>
    </row>
    <row r="104" spans="1:9" ht="20.25" customHeight="1" x14ac:dyDescent="0.35">
      <c r="A104" s="6">
        <v>47</v>
      </c>
      <c r="B104" s="6" t="s">
        <v>197</v>
      </c>
      <c r="C104" s="14" t="s">
        <v>198</v>
      </c>
      <c r="D104" s="262">
        <v>5</v>
      </c>
      <c r="E104" s="262">
        <v>3.75</v>
      </c>
      <c r="F104" s="1">
        <v>80</v>
      </c>
      <c r="G104" s="1">
        <v>65</v>
      </c>
      <c r="H104" s="101">
        <v>24600</v>
      </c>
      <c r="I104" s="95">
        <f t="shared" si="2"/>
        <v>14760</v>
      </c>
    </row>
    <row r="105" spans="1:9" ht="20.25" customHeight="1" x14ac:dyDescent="0.35">
      <c r="A105" s="4">
        <v>48</v>
      </c>
      <c r="B105" s="4"/>
      <c r="C105" s="20" t="s">
        <v>199</v>
      </c>
      <c r="D105" s="266"/>
      <c r="E105" s="266"/>
      <c r="F105" s="1">
        <v>80</v>
      </c>
      <c r="G105" s="1">
        <v>65</v>
      </c>
      <c r="H105" s="101">
        <v>26000</v>
      </c>
      <c r="I105" s="95">
        <f t="shared" si="2"/>
        <v>15600</v>
      </c>
    </row>
    <row r="106" spans="1:9" ht="20.25" customHeight="1" x14ac:dyDescent="0.35">
      <c r="A106" s="6">
        <v>49</v>
      </c>
      <c r="B106" s="6" t="s">
        <v>200</v>
      </c>
      <c r="C106" s="20" t="s">
        <v>201</v>
      </c>
      <c r="D106" s="263"/>
      <c r="E106" s="263"/>
      <c r="F106" s="1">
        <v>80</v>
      </c>
      <c r="G106" s="1">
        <v>65</v>
      </c>
      <c r="H106" s="101">
        <v>23600</v>
      </c>
      <c r="I106" s="95">
        <f t="shared" si="2"/>
        <v>14160</v>
      </c>
    </row>
    <row r="107" spans="1:9" ht="20.25" customHeight="1" x14ac:dyDescent="0.35">
      <c r="A107" s="6">
        <v>50</v>
      </c>
      <c r="B107" s="4" t="s">
        <v>202</v>
      </c>
      <c r="C107" s="18" t="s">
        <v>203</v>
      </c>
      <c r="D107" s="7">
        <v>0.75</v>
      </c>
      <c r="E107" s="7">
        <v>0.56000000000000005</v>
      </c>
      <c r="F107" s="2">
        <v>25</v>
      </c>
      <c r="G107" s="2">
        <v>25</v>
      </c>
      <c r="H107" s="101">
        <v>5170</v>
      </c>
      <c r="I107" s="95">
        <f t="shared" si="2"/>
        <v>3102</v>
      </c>
    </row>
    <row r="108" spans="1:9" ht="20.25" customHeight="1" x14ac:dyDescent="0.35">
      <c r="A108" s="4">
        <v>51</v>
      </c>
      <c r="B108" s="4" t="s">
        <v>204</v>
      </c>
      <c r="C108" s="18" t="s">
        <v>205</v>
      </c>
      <c r="D108" s="262">
        <v>1</v>
      </c>
      <c r="E108" s="262">
        <v>0.75</v>
      </c>
      <c r="F108" s="1">
        <v>40</v>
      </c>
      <c r="G108" s="1">
        <v>40</v>
      </c>
      <c r="H108" s="101">
        <v>9000</v>
      </c>
      <c r="I108" s="95">
        <f t="shared" si="2"/>
        <v>5400</v>
      </c>
    </row>
    <row r="109" spans="1:9" ht="20.25" customHeight="1" x14ac:dyDescent="0.35">
      <c r="A109" s="6">
        <v>52</v>
      </c>
      <c r="B109" s="4"/>
      <c r="C109" s="18" t="s">
        <v>206</v>
      </c>
      <c r="D109" s="263"/>
      <c r="E109" s="263"/>
      <c r="F109" s="1">
        <v>40</v>
      </c>
      <c r="G109" s="1">
        <v>40</v>
      </c>
      <c r="H109" s="101">
        <v>9000</v>
      </c>
      <c r="I109" s="95">
        <f t="shared" si="2"/>
        <v>5400</v>
      </c>
    </row>
    <row r="110" spans="1:9" ht="20.25" customHeight="1" x14ac:dyDescent="0.35">
      <c r="A110" s="6">
        <v>53</v>
      </c>
      <c r="B110" s="4"/>
      <c r="C110" s="20" t="s">
        <v>207</v>
      </c>
      <c r="D110" s="262">
        <v>2</v>
      </c>
      <c r="E110" s="262">
        <v>1.5</v>
      </c>
      <c r="F110" s="1">
        <v>75</v>
      </c>
      <c r="G110" s="1">
        <v>75</v>
      </c>
      <c r="H110" s="101">
        <v>12500</v>
      </c>
      <c r="I110" s="95">
        <f t="shared" si="2"/>
        <v>7500</v>
      </c>
    </row>
    <row r="111" spans="1:9" ht="20.25" customHeight="1" x14ac:dyDescent="0.35">
      <c r="A111" s="4">
        <v>54</v>
      </c>
      <c r="B111" s="4" t="s">
        <v>208</v>
      </c>
      <c r="C111" s="20" t="s">
        <v>209</v>
      </c>
      <c r="D111" s="266"/>
      <c r="E111" s="266"/>
      <c r="F111" s="1">
        <v>75</v>
      </c>
      <c r="G111" s="1">
        <v>75</v>
      </c>
      <c r="H111" s="101">
        <v>12500</v>
      </c>
      <c r="I111" s="95">
        <f t="shared" si="2"/>
        <v>7500</v>
      </c>
    </row>
    <row r="112" spans="1:9" ht="20.25" customHeight="1" x14ac:dyDescent="0.35">
      <c r="A112" s="6">
        <v>55</v>
      </c>
      <c r="B112" s="4" t="s">
        <v>210</v>
      </c>
      <c r="C112" s="20" t="s">
        <v>211</v>
      </c>
      <c r="D112" s="266"/>
      <c r="E112" s="266"/>
      <c r="F112" s="1">
        <v>65</v>
      </c>
      <c r="G112" s="1">
        <v>50</v>
      </c>
      <c r="H112" s="101">
        <v>12200</v>
      </c>
      <c r="I112" s="95">
        <f t="shared" si="2"/>
        <v>7320</v>
      </c>
    </row>
    <row r="113" spans="1:9" ht="20.25" customHeight="1" x14ac:dyDescent="0.35">
      <c r="A113" s="6">
        <v>56</v>
      </c>
      <c r="B113" s="4" t="s">
        <v>212</v>
      </c>
      <c r="C113" s="20" t="s">
        <v>213</v>
      </c>
      <c r="D113" s="263"/>
      <c r="E113" s="263"/>
      <c r="F113" s="1">
        <v>50</v>
      </c>
      <c r="G113" s="1">
        <v>50</v>
      </c>
      <c r="H113" s="101">
        <v>12200</v>
      </c>
      <c r="I113" s="95">
        <f t="shared" si="2"/>
        <v>7320</v>
      </c>
    </row>
    <row r="114" spans="1:9" ht="20.25" customHeight="1" x14ac:dyDescent="0.35">
      <c r="A114" s="300" t="s">
        <v>214</v>
      </c>
      <c r="B114" s="300"/>
      <c r="C114" s="300"/>
      <c r="D114" s="300"/>
      <c r="E114" s="300"/>
      <c r="F114" s="300"/>
      <c r="G114" s="300"/>
      <c r="H114" s="272" t="s">
        <v>109</v>
      </c>
      <c r="I114" s="315" t="s">
        <v>503</v>
      </c>
    </row>
    <row r="115" spans="1:9" ht="20.25" customHeight="1" x14ac:dyDescent="0.35">
      <c r="A115" s="207" t="s">
        <v>2</v>
      </c>
      <c r="B115" s="287" t="s">
        <v>3</v>
      </c>
      <c r="C115" s="298" t="s">
        <v>4</v>
      </c>
      <c r="D115" s="287" t="s">
        <v>5</v>
      </c>
      <c r="E115" s="287"/>
      <c r="F115" s="287" t="s">
        <v>6</v>
      </c>
      <c r="G115" s="287"/>
      <c r="H115" s="317"/>
      <c r="I115" s="315"/>
    </row>
    <row r="116" spans="1:9" ht="20.25" customHeight="1" x14ac:dyDescent="0.35">
      <c r="A116" s="208"/>
      <c r="B116" s="287"/>
      <c r="C116" s="298"/>
      <c r="D116" s="11" t="s">
        <v>9</v>
      </c>
      <c r="E116" s="11" t="s">
        <v>10</v>
      </c>
      <c r="F116" s="11" t="s">
        <v>11</v>
      </c>
      <c r="G116" s="11" t="s">
        <v>12</v>
      </c>
      <c r="H116" s="274"/>
      <c r="I116" s="315"/>
    </row>
    <row r="117" spans="1:9" ht="20.25" customHeight="1" x14ac:dyDescent="0.35">
      <c r="A117" s="4">
        <v>1</v>
      </c>
      <c r="B117" s="4" t="s">
        <v>215</v>
      </c>
      <c r="C117" s="12" t="s">
        <v>216</v>
      </c>
      <c r="D117" s="2">
        <v>0.5</v>
      </c>
      <c r="E117" s="2">
        <v>0.37</v>
      </c>
      <c r="F117" s="2">
        <v>25</v>
      </c>
      <c r="G117" s="2">
        <v>25</v>
      </c>
      <c r="H117" s="97">
        <v>5370</v>
      </c>
      <c r="I117" s="96">
        <f t="shared" ref="I117:I128" si="3">H117*0.63</f>
        <v>3383.1</v>
      </c>
    </row>
    <row r="118" spans="1:9" ht="20.25" customHeight="1" x14ac:dyDescent="0.35">
      <c r="A118" s="4">
        <v>2</v>
      </c>
      <c r="B118" s="4" t="s">
        <v>217</v>
      </c>
      <c r="C118" s="12" t="s">
        <v>218</v>
      </c>
      <c r="D118" s="2">
        <v>1</v>
      </c>
      <c r="E118" s="2">
        <v>0.75</v>
      </c>
      <c r="F118" s="2">
        <v>25</v>
      </c>
      <c r="G118" s="2">
        <v>25</v>
      </c>
      <c r="H118" s="97">
        <v>7070</v>
      </c>
      <c r="I118" s="149">
        <v>4793</v>
      </c>
    </row>
    <row r="119" spans="1:9" ht="20.25" customHeight="1" x14ac:dyDescent="0.35">
      <c r="A119" s="4">
        <v>3</v>
      </c>
      <c r="B119" s="21" t="s">
        <v>219</v>
      </c>
      <c r="C119" s="22" t="s">
        <v>220</v>
      </c>
      <c r="D119" s="23">
        <v>2</v>
      </c>
      <c r="E119" s="4">
        <v>1.5</v>
      </c>
      <c r="F119" s="4">
        <v>50</v>
      </c>
      <c r="G119" s="4">
        <v>50</v>
      </c>
      <c r="H119" s="30">
        <v>12200</v>
      </c>
      <c r="I119" s="96">
        <f t="shared" si="3"/>
        <v>7686</v>
      </c>
    </row>
    <row r="120" spans="1:9" ht="20.25" customHeight="1" x14ac:dyDescent="0.35">
      <c r="A120" s="4">
        <v>4</v>
      </c>
      <c r="B120" s="21" t="s">
        <v>221</v>
      </c>
      <c r="C120" s="22" t="s">
        <v>222</v>
      </c>
      <c r="D120" s="23">
        <v>2</v>
      </c>
      <c r="E120" s="4">
        <v>1.5</v>
      </c>
      <c r="F120" s="4">
        <v>50</v>
      </c>
      <c r="G120" s="4">
        <v>50</v>
      </c>
      <c r="H120" s="30">
        <v>12200</v>
      </c>
      <c r="I120" s="96">
        <f t="shared" si="3"/>
        <v>7686</v>
      </c>
    </row>
    <row r="121" spans="1:9" ht="20.25" customHeight="1" x14ac:dyDescent="0.35">
      <c r="A121" s="4">
        <v>5</v>
      </c>
      <c r="B121" s="21" t="s">
        <v>223</v>
      </c>
      <c r="C121" s="22" t="s">
        <v>224</v>
      </c>
      <c r="D121" s="23">
        <v>2</v>
      </c>
      <c r="E121" s="4">
        <v>1.5</v>
      </c>
      <c r="F121" s="4">
        <v>65</v>
      </c>
      <c r="G121" s="4">
        <v>50</v>
      </c>
      <c r="H121" s="30">
        <v>12300</v>
      </c>
      <c r="I121" s="96">
        <f t="shared" si="3"/>
        <v>7749</v>
      </c>
    </row>
    <row r="122" spans="1:9" ht="20.25" customHeight="1" x14ac:dyDescent="0.35">
      <c r="A122" s="4">
        <v>6</v>
      </c>
      <c r="B122" s="21" t="s">
        <v>225</v>
      </c>
      <c r="C122" s="22" t="s">
        <v>226</v>
      </c>
      <c r="D122" s="23">
        <v>2</v>
      </c>
      <c r="E122" s="4">
        <v>1.5</v>
      </c>
      <c r="F122" s="4">
        <v>65</v>
      </c>
      <c r="G122" s="4">
        <v>50</v>
      </c>
      <c r="H122" s="30">
        <v>12300</v>
      </c>
      <c r="I122" s="96">
        <f t="shared" si="3"/>
        <v>7749</v>
      </c>
    </row>
    <row r="123" spans="1:9" ht="20.25" customHeight="1" x14ac:dyDescent="0.35">
      <c r="A123" s="4">
        <v>7</v>
      </c>
      <c r="B123" s="21" t="s">
        <v>227</v>
      </c>
      <c r="C123" s="22" t="s">
        <v>228</v>
      </c>
      <c r="D123" s="21">
        <v>3</v>
      </c>
      <c r="E123" s="4">
        <v>2.25</v>
      </c>
      <c r="F123" s="4">
        <v>65</v>
      </c>
      <c r="G123" s="4">
        <v>50</v>
      </c>
      <c r="H123" s="30">
        <v>12900</v>
      </c>
      <c r="I123" s="96">
        <f t="shared" si="3"/>
        <v>8127</v>
      </c>
    </row>
    <row r="124" spans="1:9" ht="20.25" customHeight="1" x14ac:dyDescent="0.35">
      <c r="A124" s="4">
        <v>8</v>
      </c>
      <c r="B124" s="21" t="s">
        <v>229</v>
      </c>
      <c r="C124" s="24" t="s">
        <v>230</v>
      </c>
      <c r="D124" s="21">
        <v>3</v>
      </c>
      <c r="E124" s="4">
        <v>2.25</v>
      </c>
      <c r="F124" s="4">
        <v>65</v>
      </c>
      <c r="G124" s="4">
        <v>50</v>
      </c>
      <c r="H124" s="30">
        <v>13000</v>
      </c>
      <c r="I124" s="96">
        <f t="shared" si="3"/>
        <v>8190</v>
      </c>
    </row>
    <row r="125" spans="1:9" ht="20.25" customHeight="1" x14ac:dyDescent="0.35">
      <c r="A125" s="4">
        <v>9</v>
      </c>
      <c r="B125" s="21" t="s">
        <v>231</v>
      </c>
      <c r="C125" s="24" t="s">
        <v>232</v>
      </c>
      <c r="D125" s="21">
        <v>3</v>
      </c>
      <c r="E125" s="4">
        <v>2.25</v>
      </c>
      <c r="F125" s="4">
        <v>65</v>
      </c>
      <c r="G125" s="4">
        <v>50</v>
      </c>
      <c r="H125" s="30">
        <v>12900</v>
      </c>
      <c r="I125" s="96">
        <f t="shared" si="3"/>
        <v>8127</v>
      </c>
    </row>
    <row r="126" spans="1:9" ht="20.25" customHeight="1" x14ac:dyDescent="0.35">
      <c r="A126" s="4">
        <v>10</v>
      </c>
      <c r="B126" s="21" t="s">
        <v>233</v>
      </c>
      <c r="C126" s="24" t="s">
        <v>234</v>
      </c>
      <c r="D126" s="21">
        <v>3</v>
      </c>
      <c r="E126" s="4">
        <v>2.25</v>
      </c>
      <c r="F126" s="4">
        <v>65</v>
      </c>
      <c r="G126" s="4">
        <v>50</v>
      </c>
      <c r="H126" s="30">
        <v>19300</v>
      </c>
      <c r="I126" s="96">
        <f t="shared" si="3"/>
        <v>12159</v>
      </c>
    </row>
    <row r="127" spans="1:9" ht="20.25" customHeight="1" x14ac:dyDescent="0.35">
      <c r="A127" s="4">
        <v>11</v>
      </c>
      <c r="B127" s="21" t="s">
        <v>235</v>
      </c>
      <c r="C127" s="24" t="s">
        <v>236</v>
      </c>
      <c r="D127" s="21">
        <v>5</v>
      </c>
      <c r="E127" s="1">
        <v>3.75</v>
      </c>
      <c r="F127" s="4">
        <v>65</v>
      </c>
      <c r="G127" s="4">
        <v>50</v>
      </c>
      <c r="H127" s="30">
        <v>18700</v>
      </c>
      <c r="I127" s="96">
        <f t="shared" si="3"/>
        <v>11781</v>
      </c>
    </row>
    <row r="128" spans="1:9" ht="20.25" customHeight="1" x14ac:dyDescent="0.35">
      <c r="A128" s="4">
        <v>12</v>
      </c>
      <c r="B128" s="21" t="s">
        <v>237</v>
      </c>
      <c r="C128" s="24" t="s">
        <v>238</v>
      </c>
      <c r="D128" s="21">
        <v>5</v>
      </c>
      <c r="E128" s="1">
        <v>3.75</v>
      </c>
      <c r="F128" s="4">
        <v>65</v>
      </c>
      <c r="G128" s="4">
        <v>50</v>
      </c>
      <c r="H128" s="30">
        <v>22900</v>
      </c>
      <c r="I128" s="96">
        <f t="shared" si="3"/>
        <v>14427</v>
      </c>
    </row>
    <row r="129" spans="1:9" ht="20.25" customHeight="1" x14ac:dyDescent="0.35">
      <c r="A129" s="300" t="s">
        <v>239</v>
      </c>
      <c r="B129" s="300"/>
      <c r="C129" s="300"/>
      <c r="D129" s="300"/>
      <c r="E129" s="300"/>
      <c r="F129" s="300"/>
      <c r="G129" s="300"/>
      <c r="H129" s="272" t="s">
        <v>109</v>
      </c>
      <c r="I129" s="315" t="s">
        <v>503</v>
      </c>
    </row>
    <row r="130" spans="1:9" ht="20.25" customHeight="1" x14ac:dyDescent="0.35">
      <c r="A130" s="287" t="s">
        <v>2</v>
      </c>
      <c r="B130" s="287" t="s">
        <v>3</v>
      </c>
      <c r="C130" s="298" t="s">
        <v>4</v>
      </c>
      <c r="D130" s="287" t="s">
        <v>5</v>
      </c>
      <c r="E130" s="287"/>
      <c r="F130" s="272" t="s">
        <v>6</v>
      </c>
      <c r="G130" s="273"/>
      <c r="H130" s="317"/>
      <c r="I130" s="315"/>
    </row>
    <row r="131" spans="1:9" ht="20.25" customHeight="1" x14ac:dyDescent="0.35">
      <c r="A131" s="287"/>
      <c r="B131" s="287"/>
      <c r="C131" s="298"/>
      <c r="D131" s="11" t="s">
        <v>9</v>
      </c>
      <c r="E131" s="11" t="s">
        <v>10</v>
      </c>
      <c r="F131" s="274"/>
      <c r="G131" s="275"/>
      <c r="H131" s="274"/>
      <c r="I131" s="315"/>
    </row>
    <row r="132" spans="1:9" ht="20.25" customHeight="1" x14ac:dyDescent="0.35">
      <c r="A132" s="4">
        <v>1</v>
      </c>
      <c r="B132" s="4" t="s">
        <v>240</v>
      </c>
      <c r="C132" s="25" t="s">
        <v>241</v>
      </c>
      <c r="D132" s="4">
        <v>0.5</v>
      </c>
      <c r="E132" s="4"/>
      <c r="F132" s="292">
        <v>32</v>
      </c>
      <c r="G132" s="292"/>
      <c r="H132" s="30">
        <v>8240</v>
      </c>
      <c r="I132" s="96">
        <f t="shared" ref="I132:I154" si="4">H132*0.63</f>
        <v>5191.2</v>
      </c>
    </row>
    <row r="133" spans="1:9" ht="20.25" customHeight="1" x14ac:dyDescent="0.35">
      <c r="A133" s="4">
        <v>2</v>
      </c>
      <c r="B133" s="4" t="s">
        <v>242</v>
      </c>
      <c r="C133" s="25" t="s">
        <v>243</v>
      </c>
      <c r="D133" s="4">
        <v>0.5</v>
      </c>
      <c r="E133" s="4"/>
      <c r="F133" s="292">
        <v>32</v>
      </c>
      <c r="G133" s="292"/>
      <c r="H133" s="30">
        <v>8450</v>
      </c>
      <c r="I133" s="96">
        <f t="shared" si="4"/>
        <v>5323.5</v>
      </c>
    </row>
    <row r="134" spans="1:9" ht="20.25" customHeight="1" x14ac:dyDescent="0.35">
      <c r="A134" s="4">
        <v>3</v>
      </c>
      <c r="B134" s="4" t="s">
        <v>244</v>
      </c>
      <c r="C134" s="25" t="s">
        <v>245</v>
      </c>
      <c r="D134" s="4">
        <v>0.75</v>
      </c>
      <c r="E134" s="4"/>
      <c r="F134" s="292">
        <v>32</v>
      </c>
      <c r="G134" s="292"/>
      <c r="H134" s="30">
        <v>8550</v>
      </c>
      <c r="I134" s="96">
        <f t="shared" si="4"/>
        <v>5386.5</v>
      </c>
    </row>
    <row r="135" spans="1:9" ht="20.25" customHeight="1" x14ac:dyDescent="0.35">
      <c r="A135" s="4">
        <v>4</v>
      </c>
      <c r="B135" s="4" t="s">
        <v>246</v>
      </c>
      <c r="C135" s="25" t="s">
        <v>247</v>
      </c>
      <c r="D135" s="4">
        <v>0.75</v>
      </c>
      <c r="E135" s="4"/>
      <c r="F135" s="292">
        <v>32</v>
      </c>
      <c r="G135" s="292"/>
      <c r="H135" s="30">
        <v>8750</v>
      </c>
      <c r="I135" s="96">
        <f t="shared" si="4"/>
        <v>5512.5</v>
      </c>
    </row>
    <row r="136" spans="1:9" ht="20.25" customHeight="1" x14ac:dyDescent="0.35">
      <c r="A136" s="4">
        <v>5</v>
      </c>
      <c r="B136" s="4" t="s">
        <v>248</v>
      </c>
      <c r="C136" s="25" t="s">
        <v>249</v>
      </c>
      <c r="D136" s="4">
        <v>1</v>
      </c>
      <c r="E136" s="4"/>
      <c r="F136" s="292">
        <v>32</v>
      </c>
      <c r="G136" s="292"/>
      <c r="H136" s="102">
        <v>8800</v>
      </c>
      <c r="I136" s="96">
        <f t="shared" si="4"/>
        <v>5544</v>
      </c>
    </row>
    <row r="137" spans="1:9" ht="20.25" customHeight="1" x14ac:dyDescent="0.35">
      <c r="A137" s="4">
        <v>6</v>
      </c>
      <c r="B137" s="4" t="s">
        <v>250</v>
      </c>
      <c r="C137" s="25" t="s">
        <v>251</v>
      </c>
      <c r="D137" s="4">
        <v>1</v>
      </c>
      <c r="E137" s="4"/>
      <c r="F137" s="292">
        <v>32</v>
      </c>
      <c r="G137" s="292"/>
      <c r="H137" s="102">
        <v>9000</v>
      </c>
      <c r="I137" s="96">
        <f t="shared" si="4"/>
        <v>5670</v>
      </c>
    </row>
    <row r="138" spans="1:9" ht="20.25" customHeight="1" x14ac:dyDescent="0.35">
      <c r="A138" s="4">
        <v>7</v>
      </c>
      <c r="B138" s="4" t="s">
        <v>252</v>
      </c>
      <c r="C138" s="25" t="s">
        <v>253</v>
      </c>
      <c r="D138" s="4">
        <v>1</v>
      </c>
      <c r="E138" s="4"/>
      <c r="F138" s="292">
        <v>32</v>
      </c>
      <c r="G138" s="292"/>
      <c r="H138" s="30">
        <v>9480</v>
      </c>
      <c r="I138" s="96">
        <f t="shared" si="4"/>
        <v>5972.4</v>
      </c>
    </row>
    <row r="139" spans="1:9" ht="20.25" customHeight="1" x14ac:dyDescent="0.35">
      <c r="A139" s="4">
        <v>8</v>
      </c>
      <c r="B139" s="4" t="s">
        <v>254</v>
      </c>
      <c r="C139" s="25" t="s">
        <v>255</v>
      </c>
      <c r="D139" s="4">
        <v>1</v>
      </c>
      <c r="E139" s="4"/>
      <c r="F139" s="292">
        <v>32</v>
      </c>
      <c r="G139" s="292"/>
      <c r="H139" s="30">
        <v>9790</v>
      </c>
      <c r="I139" s="96">
        <f t="shared" si="4"/>
        <v>6167.7</v>
      </c>
    </row>
    <row r="140" spans="1:9" ht="20.25" customHeight="1" x14ac:dyDescent="0.35">
      <c r="A140" s="4">
        <v>9</v>
      </c>
      <c r="B140" s="4" t="s">
        <v>256</v>
      </c>
      <c r="C140" s="25" t="s">
        <v>257</v>
      </c>
      <c r="D140" s="4">
        <v>1.5</v>
      </c>
      <c r="E140" s="4"/>
      <c r="F140" s="292">
        <v>32</v>
      </c>
      <c r="G140" s="292"/>
      <c r="H140" s="30">
        <v>11330</v>
      </c>
      <c r="I140" s="96">
        <f t="shared" si="4"/>
        <v>7137.9</v>
      </c>
    </row>
    <row r="141" spans="1:9" ht="20.25" customHeight="1" x14ac:dyDescent="0.35">
      <c r="A141" s="4">
        <v>10</v>
      </c>
      <c r="B141" s="4" t="s">
        <v>258</v>
      </c>
      <c r="C141" s="25" t="s">
        <v>259</v>
      </c>
      <c r="D141" s="4">
        <v>1.5</v>
      </c>
      <c r="E141" s="4"/>
      <c r="F141" s="292">
        <v>32</v>
      </c>
      <c r="G141" s="292"/>
      <c r="H141" s="30">
        <v>11640</v>
      </c>
      <c r="I141" s="96">
        <f t="shared" si="4"/>
        <v>7333.2</v>
      </c>
    </row>
    <row r="142" spans="1:9" ht="20.25" customHeight="1" x14ac:dyDescent="0.35">
      <c r="A142" s="4">
        <v>11</v>
      </c>
      <c r="B142" s="4" t="s">
        <v>260</v>
      </c>
      <c r="C142" s="25" t="s">
        <v>261</v>
      </c>
      <c r="D142" s="4">
        <v>1.5</v>
      </c>
      <c r="E142" s="4"/>
      <c r="F142" s="292">
        <v>32</v>
      </c>
      <c r="G142" s="292"/>
      <c r="H142" s="30">
        <v>11800</v>
      </c>
      <c r="I142" s="96">
        <f t="shared" si="4"/>
        <v>7434</v>
      </c>
    </row>
    <row r="143" spans="1:9" ht="20.25" customHeight="1" x14ac:dyDescent="0.35">
      <c r="A143" s="4">
        <v>12</v>
      </c>
      <c r="B143" s="4" t="s">
        <v>262</v>
      </c>
      <c r="C143" s="25" t="s">
        <v>263</v>
      </c>
      <c r="D143" s="4">
        <v>1.5</v>
      </c>
      <c r="E143" s="4"/>
      <c r="F143" s="292">
        <v>32</v>
      </c>
      <c r="G143" s="292"/>
      <c r="H143" s="30">
        <v>12670</v>
      </c>
      <c r="I143" s="96">
        <f t="shared" si="4"/>
        <v>7982.1</v>
      </c>
    </row>
    <row r="144" spans="1:9" ht="20.25" customHeight="1" x14ac:dyDescent="0.35">
      <c r="A144" s="4">
        <v>13</v>
      </c>
      <c r="B144" s="4" t="s">
        <v>264</v>
      </c>
      <c r="C144" s="25" t="s">
        <v>265</v>
      </c>
      <c r="D144" s="4">
        <v>2</v>
      </c>
      <c r="E144" s="4"/>
      <c r="F144" s="292">
        <v>40</v>
      </c>
      <c r="G144" s="292"/>
      <c r="H144" s="30">
        <v>14730</v>
      </c>
      <c r="I144" s="96">
        <f t="shared" si="4"/>
        <v>9279.9</v>
      </c>
    </row>
    <row r="145" spans="1:9" ht="20.25" customHeight="1" x14ac:dyDescent="0.35">
      <c r="A145" s="4">
        <v>14</v>
      </c>
      <c r="B145" s="4" t="s">
        <v>266</v>
      </c>
      <c r="C145" s="25" t="s">
        <v>267</v>
      </c>
      <c r="D145" s="4">
        <v>2</v>
      </c>
      <c r="E145" s="4"/>
      <c r="F145" s="292">
        <v>32</v>
      </c>
      <c r="G145" s="292"/>
      <c r="H145" s="30">
        <v>15250</v>
      </c>
      <c r="I145" s="96">
        <f t="shared" si="4"/>
        <v>9607.5</v>
      </c>
    </row>
    <row r="146" spans="1:9" ht="20.25" customHeight="1" x14ac:dyDescent="0.35">
      <c r="A146" s="4">
        <v>15</v>
      </c>
      <c r="B146" s="4" t="s">
        <v>268</v>
      </c>
      <c r="C146" s="25" t="s">
        <v>269</v>
      </c>
      <c r="D146" s="4">
        <v>2</v>
      </c>
      <c r="E146" s="4"/>
      <c r="F146" s="292">
        <v>32</v>
      </c>
      <c r="G146" s="292"/>
      <c r="H146" s="30">
        <v>15860</v>
      </c>
      <c r="I146" s="96">
        <f t="shared" si="4"/>
        <v>9991.7999999999993</v>
      </c>
    </row>
    <row r="147" spans="1:9" ht="20.25" customHeight="1" x14ac:dyDescent="0.35">
      <c r="A147" s="4">
        <v>16</v>
      </c>
      <c r="B147" s="4" t="s">
        <v>270</v>
      </c>
      <c r="C147" s="25" t="s">
        <v>271</v>
      </c>
      <c r="D147" s="4">
        <v>2</v>
      </c>
      <c r="E147" s="4"/>
      <c r="F147" s="292">
        <v>32</v>
      </c>
      <c r="G147" s="292"/>
      <c r="H147" s="30">
        <v>15970</v>
      </c>
      <c r="I147" s="96">
        <f t="shared" si="4"/>
        <v>10061.1</v>
      </c>
    </row>
    <row r="148" spans="1:9" ht="20.25" customHeight="1" x14ac:dyDescent="0.35">
      <c r="A148" s="4">
        <v>17</v>
      </c>
      <c r="B148" s="4" t="s">
        <v>272</v>
      </c>
      <c r="C148" s="25" t="s">
        <v>273</v>
      </c>
      <c r="D148" s="4">
        <v>2</v>
      </c>
      <c r="E148" s="4"/>
      <c r="F148" s="292">
        <v>32</v>
      </c>
      <c r="G148" s="292"/>
      <c r="H148" s="30">
        <v>16480</v>
      </c>
      <c r="I148" s="96">
        <f t="shared" si="4"/>
        <v>10382.4</v>
      </c>
    </row>
    <row r="149" spans="1:9" ht="20.25" customHeight="1" x14ac:dyDescent="0.35">
      <c r="A149" s="4">
        <v>18</v>
      </c>
      <c r="B149" s="4" t="s">
        <v>274</v>
      </c>
      <c r="C149" s="25" t="s">
        <v>275</v>
      </c>
      <c r="D149" s="4">
        <v>2</v>
      </c>
      <c r="E149" s="4"/>
      <c r="F149" s="292">
        <v>65</v>
      </c>
      <c r="G149" s="292"/>
      <c r="H149" s="30">
        <v>14940</v>
      </c>
      <c r="I149" s="96">
        <f t="shared" si="4"/>
        <v>9412.2000000000007</v>
      </c>
    </row>
    <row r="150" spans="1:9" ht="20.25" customHeight="1" x14ac:dyDescent="0.35">
      <c r="A150" s="4">
        <v>19</v>
      </c>
      <c r="B150" s="4" t="s">
        <v>276</v>
      </c>
      <c r="C150" s="25" t="s">
        <v>277</v>
      </c>
      <c r="D150" s="4">
        <v>3</v>
      </c>
      <c r="E150" s="4"/>
      <c r="F150" s="292">
        <v>32</v>
      </c>
      <c r="G150" s="292"/>
      <c r="H150" s="30">
        <v>23500</v>
      </c>
      <c r="I150" s="96">
        <f t="shared" si="4"/>
        <v>14805</v>
      </c>
    </row>
    <row r="151" spans="1:9" ht="20.25" customHeight="1" x14ac:dyDescent="0.35">
      <c r="A151" s="4">
        <v>20</v>
      </c>
      <c r="B151" s="4" t="s">
        <v>278</v>
      </c>
      <c r="C151" s="25" t="s">
        <v>279</v>
      </c>
      <c r="D151" s="4">
        <v>3</v>
      </c>
      <c r="E151" s="4"/>
      <c r="F151" s="292">
        <v>32</v>
      </c>
      <c r="G151" s="292"/>
      <c r="H151" s="30">
        <v>24000</v>
      </c>
      <c r="I151" s="96">
        <f t="shared" si="4"/>
        <v>15120</v>
      </c>
    </row>
    <row r="152" spans="1:9" ht="20.25" customHeight="1" x14ac:dyDescent="0.35">
      <c r="A152" s="4">
        <v>21</v>
      </c>
      <c r="B152" s="4" t="s">
        <v>280</v>
      </c>
      <c r="C152" s="25" t="s">
        <v>281</v>
      </c>
      <c r="D152" s="4">
        <v>3</v>
      </c>
      <c r="E152" s="4"/>
      <c r="F152" s="292">
        <v>32</v>
      </c>
      <c r="G152" s="292"/>
      <c r="H152" s="30">
        <v>24500</v>
      </c>
      <c r="I152" s="96">
        <f t="shared" si="4"/>
        <v>15435</v>
      </c>
    </row>
    <row r="153" spans="1:9" ht="20.25" customHeight="1" x14ac:dyDescent="0.35">
      <c r="A153" s="4">
        <v>22</v>
      </c>
      <c r="B153" s="4" t="s">
        <v>282</v>
      </c>
      <c r="C153" s="25" t="s">
        <v>283</v>
      </c>
      <c r="D153" s="4">
        <v>3</v>
      </c>
      <c r="E153" s="4"/>
      <c r="F153" s="292">
        <v>65</v>
      </c>
      <c r="G153" s="292"/>
      <c r="H153" s="30">
        <v>23690</v>
      </c>
      <c r="I153" s="96">
        <f t="shared" si="4"/>
        <v>14924.7</v>
      </c>
    </row>
    <row r="154" spans="1:9" ht="20.25" customHeight="1" x14ac:dyDescent="0.35">
      <c r="A154" s="4">
        <v>23</v>
      </c>
      <c r="B154" s="4" t="s">
        <v>284</v>
      </c>
      <c r="C154" s="25" t="s">
        <v>283</v>
      </c>
      <c r="D154" s="4">
        <v>3</v>
      </c>
      <c r="E154" s="4"/>
      <c r="F154" s="292">
        <v>65</v>
      </c>
      <c r="G154" s="292"/>
      <c r="H154" s="30">
        <v>15450</v>
      </c>
      <c r="I154" s="96">
        <f t="shared" si="4"/>
        <v>9733.5</v>
      </c>
    </row>
    <row r="155" spans="1:9" ht="20.25" customHeight="1" x14ac:dyDescent="0.35">
      <c r="A155" s="300" t="s">
        <v>285</v>
      </c>
      <c r="B155" s="300"/>
      <c r="C155" s="300"/>
      <c r="D155" s="300"/>
      <c r="E155" s="300"/>
      <c r="F155" s="300"/>
      <c r="G155" s="300"/>
      <c r="H155" s="272" t="s">
        <v>109</v>
      </c>
      <c r="I155" s="315" t="s">
        <v>503</v>
      </c>
    </row>
    <row r="156" spans="1:9" ht="20.25" customHeight="1" x14ac:dyDescent="0.35">
      <c r="A156" s="287" t="s">
        <v>2</v>
      </c>
      <c r="B156" s="287" t="s">
        <v>3</v>
      </c>
      <c r="C156" s="298" t="s">
        <v>4</v>
      </c>
      <c r="D156" s="287" t="s">
        <v>5</v>
      </c>
      <c r="E156" s="287"/>
      <c r="F156" s="287" t="s">
        <v>6</v>
      </c>
      <c r="G156" s="287"/>
      <c r="H156" s="317"/>
      <c r="I156" s="315"/>
    </row>
    <row r="157" spans="1:9" ht="20.25" customHeight="1" x14ac:dyDescent="0.35">
      <c r="A157" s="287"/>
      <c r="B157" s="287"/>
      <c r="C157" s="298"/>
      <c r="D157" s="11" t="s">
        <v>9</v>
      </c>
      <c r="E157" s="11" t="s">
        <v>10</v>
      </c>
      <c r="F157" s="11" t="s">
        <v>11</v>
      </c>
      <c r="G157" s="11" t="s">
        <v>12</v>
      </c>
      <c r="H157" s="274"/>
      <c r="I157" s="315"/>
    </row>
    <row r="158" spans="1:9" ht="20.25" customHeight="1" x14ac:dyDescent="0.35">
      <c r="A158" s="4">
        <v>1</v>
      </c>
      <c r="B158" s="4" t="s">
        <v>286</v>
      </c>
      <c r="C158" s="25" t="s">
        <v>287</v>
      </c>
      <c r="D158" s="4">
        <v>0.5</v>
      </c>
      <c r="E158" s="4"/>
      <c r="F158" s="292">
        <v>32</v>
      </c>
      <c r="G158" s="292"/>
      <c r="H158" s="30">
        <v>6800</v>
      </c>
      <c r="I158" s="96">
        <f t="shared" ref="I158:I172" si="5">H158*0.63</f>
        <v>4284</v>
      </c>
    </row>
    <row r="159" spans="1:9" ht="20.25" customHeight="1" x14ac:dyDescent="0.35">
      <c r="A159" s="4">
        <v>2</v>
      </c>
      <c r="B159" s="4" t="s">
        <v>288</v>
      </c>
      <c r="C159" s="25" t="s">
        <v>289</v>
      </c>
      <c r="D159" s="4">
        <v>0.5</v>
      </c>
      <c r="E159" s="4"/>
      <c r="F159" s="292">
        <v>32</v>
      </c>
      <c r="G159" s="292"/>
      <c r="H159" s="30">
        <v>7600</v>
      </c>
      <c r="I159" s="96">
        <f t="shared" si="5"/>
        <v>4788</v>
      </c>
    </row>
    <row r="160" spans="1:9" ht="20.25" customHeight="1" x14ac:dyDescent="0.35">
      <c r="A160" s="4">
        <v>3</v>
      </c>
      <c r="B160" s="4" t="s">
        <v>290</v>
      </c>
      <c r="C160" s="25" t="s">
        <v>291</v>
      </c>
      <c r="D160" s="4">
        <v>0.75</v>
      </c>
      <c r="E160" s="4"/>
      <c r="F160" s="292">
        <v>32</v>
      </c>
      <c r="G160" s="292"/>
      <c r="H160" s="30">
        <v>7800</v>
      </c>
      <c r="I160" s="96">
        <f t="shared" si="5"/>
        <v>4914</v>
      </c>
    </row>
    <row r="161" spans="1:9" ht="20.25" customHeight="1" x14ac:dyDescent="0.35">
      <c r="A161" s="4">
        <v>4</v>
      </c>
      <c r="B161" s="4" t="s">
        <v>292</v>
      </c>
      <c r="C161" s="25" t="s">
        <v>293</v>
      </c>
      <c r="D161" s="4">
        <v>0.75</v>
      </c>
      <c r="E161" s="4"/>
      <c r="F161" s="292">
        <v>32</v>
      </c>
      <c r="G161" s="292"/>
      <c r="H161" s="30">
        <v>8000</v>
      </c>
      <c r="I161" s="96">
        <f t="shared" si="5"/>
        <v>5040</v>
      </c>
    </row>
    <row r="162" spans="1:9" ht="20.25" customHeight="1" x14ac:dyDescent="0.35">
      <c r="A162" s="4">
        <v>5</v>
      </c>
      <c r="B162" s="4" t="s">
        <v>294</v>
      </c>
      <c r="C162" s="25" t="s">
        <v>295</v>
      </c>
      <c r="D162" s="4">
        <v>1</v>
      </c>
      <c r="E162" s="4"/>
      <c r="F162" s="292">
        <v>32</v>
      </c>
      <c r="G162" s="292"/>
      <c r="H162" s="30">
        <v>8200</v>
      </c>
      <c r="I162" s="96">
        <f t="shared" si="5"/>
        <v>5166</v>
      </c>
    </row>
    <row r="163" spans="1:9" ht="20.25" customHeight="1" x14ac:dyDescent="0.35">
      <c r="A163" s="4">
        <v>6</v>
      </c>
      <c r="B163" s="4" t="s">
        <v>296</v>
      </c>
      <c r="C163" s="25" t="s">
        <v>297</v>
      </c>
      <c r="D163" s="4">
        <v>1</v>
      </c>
      <c r="E163" s="4"/>
      <c r="F163" s="292">
        <v>32</v>
      </c>
      <c r="G163" s="292"/>
      <c r="H163" s="30">
        <v>8400</v>
      </c>
      <c r="I163" s="96">
        <f t="shared" si="5"/>
        <v>5292</v>
      </c>
    </row>
    <row r="164" spans="1:9" ht="20.25" customHeight="1" x14ac:dyDescent="0.35">
      <c r="A164" s="4">
        <v>7</v>
      </c>
      <c r="B164" s="4" t="s">
        <v>298</v>
      </c>
      <c r="C164" s="25" t="s">
        <v>299</v>
      </c>
      <c r="D164" s="4">
        <v>1</v>
      </c>
      <c r="E164" s="4"/>
      <c r="F164" s="292">
        <v>32</v>
      </c>
      <c r="G164" s="292"/>
      <c r="H164" s="30">
        <v>8600</v>
      </c>
      <c r="I164" s="96">
        <f t="shared" si="5"/>
        <v>5418</v>
      </c>
    </row>
    <row r="165" spans="1:9" ht="20.25" customHeight="1" x14ac:dyDescent="0.35">
      <c r="A165" s="4">
        <v>8</v>
      </c>
      <c r="B165" s="4" t="s">
        <v>300</v>
      </c>
      <c r="C165" s="25" t="s">
        <v>301</v>
      </c>
      <c r="D165" s="4">
        <v>1.5</v>
      </c>
      <c r="E165" s="4"/>
      <c r="F165" s="292">
        <v>32</v>
      </c>
      <c r="G165" s="292"/>
      <c r="H165" s="30">
        <v>9000</v>
      </c>
      <c r="I165" s="96">
        <f t="shared" si="5"/>
        <v>5670</v>
      </c>
    </row>
    <row r="166" spans="1:9" ht="20.25" customHeight="1" x14ac:dyDescent="0.35">
      <c r="A166" s="4">
        <v>9</v>
      </c>
      <c r="B166" s="4" t="s">
        <v>302</v>
      </c>
      <c r="C166" s="25" t="s">
        <v>303</v>
      </c>
      <c r="D166" s="4">
        <v>1.5</v>
      </c>
      <c r="E166" s="4"/>
      <c r="F166" s="292">
        <v>32</v>
      </c>
      <c r="G166" s="292"/>
      <c r="H166" s="30">
        <v>10600</v>
      </c>
      <c r="I166" s="96">
        <f t="shared" si="5"/>
        <v>6678</v>
      </c>
    </row>
    <row r="167" spans="1:9" ht="20.25" customHeight="1" x14ac:dyDescent="0.35">
      <c r="A167" s="4">
        <v>10</v>
      </c>
      <c r="B167" s="4" t="s">
        <v>304</v>
      </c>
      <c r="C167" s="25" t="s">
        <v>305</v>
      </c>
      <c r="D167" s="4">
        <v>1.5</v>
      </c>
      <c r="E167" s="4"/>
      <c r="F167" s="292">
        <v>32</v>
      </c>
      <c r="G167" s="292"/>
      <c r="H167" s="30">
        <v>11000</v>
      </c>
      <c r="I167" s="96">
        <f t="shared" si="5"/>
        <v>6930</v>
      </c>
    </row>
    <row r="168" spans="1:9" ht="20.25" customHeight="1" x14ac:dyDescent="0.35">
      <c r="A168" s="4">
        <v>11</v>
      </c>
      <c r="B168" s="4" t="s">
        <v>306</v>
      </c>
      <c r="C168" s="25" t="s">
        <v>307</v>
      </c>
      <c r="D168" s="4">
        <v>2</v>
      </c>
      <c r="E168" s="4"/>
      <c r="F168" s="292">
        <v>32</v>
      </c>
      <c r="G168" s="292"/>
      <c r="H168" s="30">
        <v>13000</v>
      </c>
      <c r="I168" s="96">
        <f t="shared" si="5"/>
        <v>8190</v>
      </c>
    </row>
    <row r="169" spans="1:9" ht="20.25" customHeight="1" x14ac:dyDescent="0.35">
      <c r="A169" s="4">
        <v>12</v>
      </c>
      <c r="B169" s="4" t="s">
        <v>308</v>
      </c>
      <c r="C169" s="25" t="s">
        <v>309</v>
      </c>
      <c r="D169" s="4">
        <v>2</v>
      </c>
      <c r="E169" s="4"/>
      <c r="F169" s="292">
        <v>32</v>
      </c>
      <c r="G169" s="292"/>
      <c r="H169" s="30">
        <v>15500</v>
      </c>
      <c r="I169" s="96">
        <f t="shared" si="5"/>
        <v>9765</v>
      </c>
    </row>
    <row r="170" spans="1:9" ht="20.25" customHeight="1" x14ac:dyDescent="0.35">
      <c r="A170" s="4">
        <v>13</v>
      </c>
      <c r="B170" s="4" t="s">
        <v>310</v>
      </c>
      <c r="C170" s="25" t="s">
        <v>311</v>
      </c>
      <c r="D170" s="4">
        <v>3</v>
      </c>
      <c r="E170" s="4"/>
      <c r="F170" s="292">
        <v>32</v>
      </c>
      <c r="G170" s="292"/>
      <c r="H170" s="30">
        <v>19000</v>
      </c>
      <c r="I170" s="96">
        <f t="shared" si="5"/>
        <v>11970</v>
      </c>
    </row>
    <row r="171" spans="1:9" ht="20.25" customHeight="1" x14ac:dyDescent="0.35">
      <c r="A171" s="4">
        <v>14</v>
      </c>
      <c r="B171" s="4" t="s">
        <v>312</v>
      </c>
      <c r="C171" s="25" t="s">
        <v>313</v>
      </c>
      <c r="D171" s="4">
        <v>3</v>
      </c>
      <c r="E171" s="4"/>
      <c r="F171" s="292">
        <v>32</v>
      </c>
      <c r="G171" s="292"/>
      <c r="H171" s="30">
        <v>20000</v>
      </c>
      <c r="I171" s="96">
        <f t="shared" si="5"/>
        <v>12600</v>
      </c>
    </row>
    <row r="172" spans="1:9" ht="20.25" customHeight="1" x14ac:dyDescent="0.35">
      <c r="A172" s="4">
        <v>15</v>
      </c>
      <c r="B172" s="4" t="s">
        <v>314</v>
      </c>
      <c r="C172" s="25" t="s">
        <v>315</v>
      </c>
      <c r="D172" s="4">
        <v>3</v>
      </c>
      <c r="E172" s="4"/>
      <c r="F172" s="292">
        <v>32</v>
      </c>
      <c r="G172" s="292"/>
      <c r="H172" s="30">
        <v>20500</v>
      </c>
      <c r="I172" s="96">
        <f t="shared" si="5"/>
        <v>12915</v>
      </c>
    </row>
  </sheetData>
  <mergeCells count="95">
    <mergeCell ref="A1:I3"/>
    <mergeCell ref="A4:I4"/>
    <mergeCell ref="A5:A6"/>
    <mergeCell ref="B5:B6"/>
    <mergeCell ref="C5:C6"/>
    <mergeCell ref="D5:E5"/>
    <mergeCell ref="F5:G5"/>
    <mergeCell ref="H5:H6"/>
    <mergeCell ref="I5:I6"/>
    <mergeCell ref="A55:G55"/>
    <mergeCell ref="H55:H57"/>
    <mergeCell ref="I55:I57"/>
    <mergeCell ref="A56:A57"/>
    <mergeCell ref="B56:B57"/>
    <mergeCell ref="C56:C57"/>
    <mergeCell ref="D56:E56"/>
    <mergeCell ref="F56:G56"/>
    <mergeCell ref="D58:D59"/>
    <mergeCell ref="E58:E59"/>
    <mergeCell ref="D61:D66"/>
    <mergeCell ref="E61:E66"/>
    <mergeCell ref="D67:D73"/>
    <mergeCell ref="E67:E73"/>
    <mergeCell ref="D74:D91"/>
    <mergeCell ref="E74:E91"/>
    <mergeCell ref="D92:D103"/>
    <mergeCell ref="E92:E103"/>
    <mergeCell ref="D104:D106"/>
    <mergeCell ref="E104:E106"/>
    <mergeCell ref="D108:D109"/>
    <mergeCell ref="E108:E109"/>
    <mergeCell ref="D110:D113"/>
    <mergeCell ref="E110:E113"/>
    <mergeCell ref="A114:G114"/>
    <mergeCell ref="I114:I116"/>
    <mergeCell ref="A115:A116"/>
    <mergeCell ref="B115:B116"/>
    <mergeCell ref="C115:C116"/>
    <mergeCell ref="D115:E115"/>
    <mergeCell ref="F115:G115"/>
    <mergeCell ref="H114:H116"/>
    <mergeCell ref="F137:G137"/>
    <mergeCell ref="A129:G129"/>
    <mergeCell ref="H129:H131"/>
    <mergeCell ref="I129:I131"/>
    <mergeCell ref="A130:A131"/>
    <mergeCell ref="B130:B131"/>
    <mergeCell ref="C130:C131"/>
    <mergeCell ref="D130:E130"/>
    <mergeCell ref="F130:G131"/>
    <mergeCell ref="F132:G132"/>
    <mergeCell ref="F133:G133"/>
    <mergeCell ref="F134:G134"/>
    <mergeCell ref="F135:G135"/>
    <mergeCell ref="F136:G136"/>
    <mergeCell ref="F149:G149"/>
    <mergeCell ref="F138:G138"/>
    <mergeCell ref="F139:G139"/>
    <mergeCell ref="F140:G140"/>
    <mergeCell ref="F141:G141"/>
    <mergeCell ref="F142:G142"/>
    <mergeCell ref="F143:G143"/>
    <mergeCell ref="F144:G144"/>
    <mergeCell ref="F145:G145"/>
    <mergeCell ref="F146:G146"/>
    <mergeCell ref="F147:G147"/>
    <mergeCell ref="F148:G148"/>
    <mergeCell ref="F150:G150"/>
    <mergeCell ref="F151:G151"/>
    <mergeCell ref="F152:G152"/>
    <mergeCell ref="F153:G153"/>
    <mergeCell ref="F154:G154"/>
    <mergeCell ref="F163:G163"/>
    <mergeCell ref="H155:H157"/>
    <mergeCell ref="I155:I157"/>
    <mergeCell ref="A156:A157"/>
    <mergeCell ref="B156:B157"/>
    <mergeCell ref="C156:C157"/>
    <mergeCell ref="D156:E156"/>
    <mergeCell ref="F156:G156"/>
    <mergeCell ref="A155:G155"/>
    <mergeCell ref="F158:G158"/>
    <mergeCell ref="F159:G159"/>
    <mergeCell ref="F160:G160"/>
    <mergeCell ref="F161:G161"/>
    <mergeCell ref="F162:G162"/>
    <mergeCell ref="F170:G170"/>
    <mergeCell ref="F171:G171"/>
    <mergeCell ref="F172:G172"/>
    <mergeCell ref="F164:G164"/>
    <mergeCell ref="F165:G165"/>
    <mergeCell ref="F166:G166"/>
    <mergeCell ref="F167:G167"/>
    <mergeCell ref="F168:G168"/>
    <mergeCell ref="F169:G169"/>
  </mergeCells>
  <conditionalFormatting sqref="B1:B172">
    <cfRule type="duplicateValues" dxfId="32" priority="1"/>
    <cfRule type="duplicateValues" dxfId="31" priority="2"/>
  </conditionalFormatting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174"/>
  <sheetViews>
    <sheetView workbookViewId="0">
      <selection activeCell="L8" sqref="L8"/>
    </sheetView>
  </sheetViews>
  <sheetFormatPr defaultRowHeight="18.75" customHeight="1" x14ac:dyDescent="0.35"/>
  <cols>
    <col min="2" max="2" width="12.81640625" customWidth="1"/>
    <col min="3" max="3" width="15.453125" customWidth="1"/>
    <col min="4" max="8" width="9.1796875" customWidth="1"/>
  </cols>
  <sheetData>
    <row r="1" spans="1:9" ht="18.75" customHeight="1" x14ac:dyDescent="0.35">
      <c r="A1" s="203" t="s">
        <v>0</v>
      </c>
      <c r="B1" s="204"/>
      <c r="C1" s="204"/>
      <c r="D1" s="204"/>
      <c r="E1" s="204"/>
      <c r="F1" s="204"/>
      <c r="G1" s="204"/>
      <c r="H1" s="204"/>
      <c r="I1" s="204"/>
    </row>
    <row r="2" spans="1:9" ht="18.75" customHeight="1" x14ac:dyDescent="0.35">
      <c r="A2" s="203"/>
      <c r="B2" s="204"/>
      <c r="C2" s="204"/>
      <c r="D2" s="204"/>
      <c r="E2" s="204"/>
      <c r="F2" s="204"/>
      <c r="G2" s="204"/>
      <c r="H2" s="204"/>
      <c r="I2" s="204"/>
    </row>
    <row r="3" spans="1:9" ht="18.75" customHeight="1" x14ac:dyDescent="0.35">
      <c r="A3" s="203"/>
      <c r="B3" s="204"/>
      <c r="C3" s="204"/>
      <c r="D3" s="204"/>
      <c r="E3" s="204"/>
      <c r="F3" s="204"/>
      <c r="G3" s="204"/>
      <c r="H3" s="204"/>
      <c r="I3" s="204"/>
    </row>
    <row r="4" spans="1:9" ht="27" customHeight="1" x14ac:dyDescent="0.35">
      <c r="A4" s="205" t="s">
        <v>535</v>
      </c>
      <c r="B4" s="206"/>
      <c r="C4" s="206"/>
      <c r="D4" s="206"/>
      <c r="E4" s="206"/>
      <c r="F4" s="206"/>
      <c r="G4" s="206"/>
      <c r="H4" s="206"/>
      <c r="I4" s="206"/>
    </row>
    <row r="5" spans="1:9" ht="18.75" customHeight="1" x14ac:dyDescent="0.35">
      <c r="A5" s="287" t="s">
        <v>2</v>
      </c>
      <c r="B5" s="287" t="s">
        <v>3</v>
      </c>
      <c r="C5" s="287" t="s">
        <v>4</v>
      </c>
      <c r="D5" s="287" t="s">
        <v>5</v>
      </c>
      <c r="E5" s="287"/>
      <c r="F5" s="287" t="s">
        <v>6</v>
      </c>
      <c r="G5" s="287"/>
      <c r="H5" s="305" t="s">
        <v>7</v>
      </c>
      <c r="I5" s="316" t="s">
        <v>509</v>
      </c>
    </row>
    <row r="6" spans="1:9" ht="18.75" customHeight="1" x14ac:dyDescent="0.35">
      <c r="A6" s="287"/>
      <c r="B6" s="287"/>
      <c r="C6" s="287"/>
      <c r="D6" s="11" t="s">
        <v>9</v>
      </c>
      <c r="E6" s="11" t="s">
        <v>10</v>
      </c>
      <c r="F6" s="11" t="s">
        <v>11</v>
      </c>
      <c r="G6" s="11" t="s">
        <v>12</v>
      </c>
      <c r="H6" s="305"/>
      <c r="I6" s="293"/>
    </row>
    <row r="7" spans="1:9" ht="18.75" customHeight="1" x14ac:dyDescent="0.35">
      <c r="A7" s="6">
        <v>1</v>
      </c>
      <c r="B7" s="4" t="s">
        <v>13</v>
      </c>
      <c r="C7" s="12" t="s">
        <v>14</v>
      </c>
      <c r="D7" s="2">
        <v>0.5</v>
      </c>
      <c r="E7" s="2">
        <v>0.37</v>
      </c>
      <c r="F7" s="2">
        <v>25</v>
      </c>
      <c r="G7" s="2">
        <v>25</v>
      </c>
      <c r="H7" s="13">
        <v>2640</v>
      </c>
      <c r="I7" s="96">
        <f>H7*0.63</f>
        <v>1663.2</v>
      </c>
    </row>
    <row r="8" spans="1:9" ht="18.75" customHeight="1" x14ac:dyDescent="0.35">
      <c r="A8" s="6">
        <v>2</v>
      </c>
      <c r="B8" s="4" t="s">
        <v>15</v>
      </c>
      <c r="C8" s="12" t="s">
        <v>16</v>
      </c>
      <c r="D8" s="2">
        <v>1</v>
      </c>
      <c r="E8" s="2">
        <v>0.75</v>
      </c>
      <c r="F8" s="2">
        <v>25</v>
      </c>
      <c r="G8" s="2">
        <v>25</v>
      </c>
      <c r="H8" s="13">
        <v>3420</v>
      </c>
      <c r="I8" s="96">
        <f>H8*0.63</f>
        <v>2154.6</v>
      </c>
    </row>
    <row r="9" spans="1:9" ht="18.75" customHeight="1" x14ac:dyDescent="0.35">
      <c r="A9" s="4">
        <v>3</v>
      </c>
      <c r="B9" s="4" t="s">
        <v>17</v>
      </c>
      <c r="C9" s="12" t="s">
        <v>18</v>
      </c>
      <c r="D9" s="2">
        <v>0.5</v>
      </c>
      <c r="E9" s="2">
        <v>0.37</v>
      </c>
      <c r="F9" s="2">
        <v>25</v>
      </c>
      <c r="G9" s="2">
        <v>25</v>
      </c>
      <c r="H9" s="13">
        <v>2840</v>
      </c>
      <c r="I9" s="96">
        <f>H9*0.63</f>
        <v>1789.2</v>
      </c>
    </row>
    <row r="10" spans="1:9" ht="18.75" customHeight="1" x14ac:dyDescent="0.35">
      <c r="A10" s="6">
        <v>4</v>
      </c>
      <c r="B10" s="4" t="s">
        <v>19</v>
      </c>
      <c r="C10" s="12" t="s">
        <v>20</v>
      </c>
      <c r="D10" s="2">
        <v>1</v>
      </c>
      <c r="E10" s="2">
        <v>0.75</v>
      </c>
      <c r="F10" s="2">
        <v>25</v>
      </c>
      <c r="G10" s="2">
        <v>25</v>
      </c>
      <c r="H10" s="13">
        <v>3660</v>
      </c>
      <c r="I10" s="96">
        <f>H10*0.63</f>
        <v>2305.8000000000002</v>
      </c>
    </row>
    <row r="11" spans="1:9" ht="18.75" customHeight="1" x14ac:dyDescent="0.35">
      <c r="A11" s="6">
        <v>5</v>
      </c>
      <c r="B11" s="6" t="s">
        <v>21</v>
      </c>
      <c r="C11" s="14" t="s">
        <v>22</v>
      </c>
      <c r="D11" s="2">
        <v>0.5</v>
      </c>
      <c r="E11" s="2">
        <v>0.37</v>
      </c>
      <c r="F11" s="2">
        <v>25</v>
      </c>
      <c r="G11" s="2">
        <v>25</v>
      </c>
      <c r="H11" s="8">
        <v>3160</v>
      </c>
      <c r="I11" s="96">
        <f>H11*0.75</f>
        <v>2370</v>
      </c>
    </row>
    <row r="12" spans="1:9" ht="18.75" customHeight="1" x14ac:dyDescent="0.35">
      <c r="A12" s="6">
        <v>6</v>
      </c>
      <c r="B12" s="6" t="s">
        <v>23</v>
      </c>
      <c r="C12" s="14" t="s">
        <v>24</v>
      </c>
      <c r="D12" s="2">
        <v>1</v>
      </c>
      <c r="E12" s="2">
        <v>0.75</v>
      </c>
      <c r="F12" s="2">
        <v>25</v>
      </c>
      <c r="G12" s="2">
        <v>25</v>
      </c>
      <c r="H12" s="8">
        <v>4120</v>
      </c>
      <c r="I12" s="96">
        <f t="shared" ref="I12:I25" si="0">H12*0.75</f>
        <v>3090</v>
      </c>
    </row>
    <row r="13" spans="1:9" ht="18.75" customHeight="1" x14ac:dyDescent="0.35">
      <c r="A13" s="4">
        <v>7</v>
      </c>
      <c r="B13" s="4" t="s">
        <v>25</v>
      </c>
      <c r="C13" s="12" t="s">
        <v>26</v>
      </c>
      <c r="D13" s="2">
        <v>1.5</v>
      </c>
      <c r="E13" s="2">
        <v>1</v>
      </c>
      <c r="F13" s="2">
        <v>25</v>
      </c>
      <c r="G13" s="2">
        <v>25</v>
      </c>
      <c r="H13" s="8">
        <v>5750</v>
      </c>
      <c r="I13" s="96">
        <f t="shared" si="0"/>
        <v>4312.5</v>
      </c>
    </row>
    <row r="14" spans="1:9" ht="18.75" customHeight="1" x14ac:dyDescent="0.35">
      <c r="A14" s="6">
        <v>8</v>
      </c>
      <c r="B14" s="6" t="s">
        <v>27</v>
      </c>
      <c r="C14" s="14" t="s">
        <v>28</v>
      </c>
      <c r="D14" s="2">
        <v>0.5</v>
      </c>
      <c r="E14" s="2">
        <v>0.37</v>
      </c>
      <c r="F14" s="2">
        <v>25</v>
      </c>
      <c r="G14" s="2">
        <v>25</v>
      </c>
      <c r="H14" s="8">
        <v>3520</v>
      </c>
      <c r="I14" s="96">
        <f t="shared" si="0"/>
        <v>2640</v>
      </c>
    </row>
    <row r="15" spans="1:9" ht="18.75" customHeight="1" x14ac:dyDescent="0.35">
      <c r="A15" s="6">
        <v>9</v>
      </c>
      <c r="B15" s="4" t="s">
        <v>29</v>
      </c>
      <c r="C15" s="15" t="s">
        <v>30</v>
      </c>
      <c r="D15" s="2">
        <v>1</v>
      </c>
      <c r="E15" s="2">
        <v>0.75</v>
      </c>
      <c r="F15" s="2">
        <v>25</v>
      </c>
      <c r="G15" s="2">
        <v>25</v>
      </c>
      <c r="H15" s="8">
        <v>3660</v>
      </c>
      <c r="I15" s="96">
        <f t="shared" si="0"/>
        <v>2745</v>
      </c>
    </row>
    <row r="16" spans="1:9" ht="18.75" customHeight="1" x14ac:dyDescent="0.35">
      <c r="A16" s="6">
        <v>10</v>
      </c>
      <c r="B16" s="4" t="s">
        <v>31</v>
      </c>
      <c r="C16" s="12" t="s">
        <v>32</v>
      </c>
      <c r="D16" s="2">
        <v>1</v>
      </c>
      <c r="E16" s="2">
        <v>0.75</v>
      </c>
      <c r="F16" s="2">
        <v>25</v>
      </c>
      <c r="G16" s="2">
        <v>25</v>
      </c>
      <c r="H16" s="8">
        <v>4220</v>
      </c>
      <c r="I16" s="96">
        <f t="shared" si="0"/>
        <v>3165</v>
      </c>
    </row>
    <row r="17" spans="1:9" ht="18.75" customHeight="1" x14ac:dyDescent="0.35">
      <c r="A17" s="4">
        <v>11</v>
      </c>
      <c r="B17" s="6" t="s">
        <v>33</v>
      </c>
      <c r="C17" s="14" t="s">
        <v>34</v>
      </c>
      <c r="D17" s="2">
        <v>0.75</v>
      </c>
      <c r="E17" s="2">
        <v>0.56000000000000005</v>
      </c>
      <c r="F17" s="2">
        <v>25</v>
      </c>
      <c r="G17" s="2">
        <v>25</v>
      </c>
      <c r="H17" s="8">
        <v>4080</v>
      </c>
      <c r="I17" s="96">
        <f t="shared" si="0"/>
        <v>3060</v>
      </c>
    </row>
    <row r="18" spans="1:9" ht="18.75" customHeight="1" x14ac:dyDescent="0.35">
      <c r="A18" s="6">
        <v>12</v>
      </c>
      <c r="B18" s="4" t="s">
        <v>35</v>
      </c>
      <c r="C18" s="16" t="s">
        <v>36</v>
      </c>
      <c r="D18" s="2">
        <v>1</v>
      </c>
      <c r="E18" s="2">
        <v>0.75</v>
      </c>
      <c r="F18" s="2">
        <v>25</v>
      </c>
      <c r="G18" s="2">
        <v>25</v>
      </c>
      <c r="H18" s="8">
        <v>4730</v>
      </c>
      <c r="I18" s="96">
        <f t="shared" si="0"/>
        <v>3547.5</v>
      </c>
    </row>
    <row r="19" spans="1:9" ht="18.75" customHeight="1" x14ac:dyDescent="0.35">
      <c r="A19" s="6">
        <v>13</v>
      </c>
      <c r="B19" s="4" t="s">
        <v>37</v>
      </c>
      <c r="C19" s="16" t="s">
        <v>38</v>
      </c>
      <c r="D19" s="2">
        <v>1</v>
      </c>
      <c r="E19" s="2">
        <v>0.75</v>
      </c>
      <c r="F19" s="2">
        <v>25</v>
      </c>
      <c r="G19" s="2">
        <v>25</v>
      </c>
      <c r="H19" s="8">
        <v>4730</v>
      </c>
      <c r="I19" s="96">
        <f t="shared" si="0"/>
        <v>3547.5</v>
      </c>
    </row>
    <row r="20" spans="1:9" ht="18.75" customHeight="1" x14ac:dyDescent="0.35">
      <c r="A20" s="6">
        <v>14</v>
      </c>
      <c r="B20" s="6" t="s">
        <v>39</v>
      </c>
      <c r="C20" s="14" t="s">
        <v>40</v>
      </c>
      <c r="D20" s="2">
        <v>1</v>
      </c>
      <c r="E20" s="2">
        <v>0.75</v>
      </c>
      <c r="F20" s="2">
        <v>25</v>
      </c>
      <c r="G20" s="2">
        <v>25</v>
      </c>
      <c r="H20" s="8">
        <v>5170</v>
      </c>
      <c r="I20" s="96">
        <f t="shared" si="0"/>
        <v>3877.5</v>
      </c>
    </row>
    <row r="21" spans="1:9" ht="18.75" customHeight="1" x14ac:dyDescent="0.35">
      <c r="A21" s="4">
        <v>15</v>
      </c>
      <c r="B21" s="6" t="s">
        <v>41</v>
      </c>
      <c r="C21" s="14" t="s">
        <v>42</v>
      </c>
      <c r="D21" s="2">
        <v>1</v>
      </c>
      <c r="E21" s="2">
        <v>0.75</v>
      </c>
      <c r="F21" s="2">
        <v>25</v>
      </c>
      <c r="G21" s="2">
        <v>25</v>
      </c>
      <c r="H21" s="8">
        <v>4670</v>
      </c>
      <c r="I21" s="96">
        <f t="shared" si="0"/>
        <v>3502.5</v>
      </c>
    </row>
    <row r="22" spans="1:9" ht="18.75" customHeight="1" x14ac:dyDescent="0.35">
      <c r="A22" s="6">
        <v>16</v>
      </c>
      <c r="B22" s="4" t="s">
        <v>43</v>
      </c>
      <c r="C22" s="12" t="s">
        <v>44</v>
      </c>
      <c r="D22" s="2">
        <v>1.2</v>
      </c>
      <c r="E22" s="2">
        <v>0.9</v>
      </c>
      <c r="F22" s="2">
        <v>25</v>
      </c>
      <c r="G22" s="2">
        <v>25</v>
      </c>
      <c r="H22" s="8">
        <v>6650</v>
      </c>
      <c r="I22" s="96">
        <f t="shared" si="0"/>
        <v>4987.5</v>
      </c>
    </row>
    <row r="23" spans="1:9" ht="18.75" customHeight="1" x14ac:dyDescent="0.35">
      <c r="A23" s="6">
        <v>17</v>
      </c>
      <c r="B23" s="6" t="s">
        <v>45</v>
      </c>
      <c r="C23" s="14" t="s">
        <v>46</v>
      </c>
      <c r="D23" s="2">
        <v>1.5</v>
      </c>
      <c r="E23" s="2">
        <v>1.1000000000000001</v>
      </c>
      <c r="F23" s="2">
        <v>25</v>
      </c>
      <c r="G23" s="2">
        <v>25</v>
      </c>
      <c r="H23" s="8">
        <v>8150</v>
      </c>
      <c r="I23" s="96">
        <f t="shared" si="0"/>
        <v>6112.5</v>
      </c>
    </row>
    <row r="24" spans="1:9" ht="18.75" customHeight="1" x14ac:dyDescent="0.35">
      <c r="A24" s="6">
        <v>18</v>
      </c>
      <c r="B24" s="6" t="s">
        <v>47</v>
      </c>
      <c r="C24" s="14" t="s">
        <v>48</v>
      </c>
      <c r="D24" s="2">
        <v>2</v>
      </c>
      <c r="E24" s="2">
        <v>1.5</v>
      </c>
      <c r="F24" s="2">
        <v>25</v>
      </c>
      <c r="G24" s="2">
        <v>25</v>
      </c>
      <c r="H24" s="8">
        <v>9190</v>
      </c>
      <c r="I24" s="96">
        <f t="shared" si="0"/>
        <v>6892.5</v>
      </c>
    </row>
    <row r="25" spans="1:9" ht="18.75" customHeight="1" x14ac:dyDescent="0.35">
      <c r="A25" s="4">
        <v>19</v>
      </c>
      <c r="B25" s="6" t="s">
        <v>49</v>
      </c>
      <c r="C25" s="14" t="s">
        <v>50</v>
      </c>
      <c r="D25" s="2">
        <v>0.5</v>
      </c>
      <c r="E25" s="2">
        <v>0.37</v>
      </c>
      <c r="F25" s="2">
        <v>25</v>
      </c>
      <c r="G25" s="2">
        <v>25</v>
      </c>
      <c r="H25" s="8">
        <v>3310</v>
      </c>
      <c r="I25" s="96">
        <f t="shared" si="0"/>
        <v>2482.5</v>
      </c>
    </row>
    <row r="26" spans="1:9" ht="18.75" customHeight="1" x14ac:dyDescent="0.35">
      <c r="A26" s="6">
        <v>20</v>
      </c>
      <c r="B26" s="4" t="s">
        <v>51</v>
      </c>
      <c r="C26" s="12" t="s">
        <v>52</v>
      </c>
      <c r="D26" s="2">
        <v>0.5</v>
      </c>
      <c r="E26" s="2">
        <v>0.37</v>
      </c>
      <c r="F26" s="2">
        <v>25</v>
      </c>
      <c r="G26" s="2">
        <v>25</v>
      </c>
      <c r="H26" s="10">
        <v>4380</v>
      </c>
      <c r="I26" s="96">
        <f>H26*0.63</f>
        <v>2759.4</v>
      </c>
    </row>
    <row r="27" spans="1:9" ht="18.75" customHeight="1" x14ac:dyDescent="0.35">
      <c r="A27" s="6">
        <v>21</v>
      </c>
      <c r="B27" s="4" t="s">
        <v>53</v>
      </c>
      <c r="C27" s="12" t="s">
        <v>54</v>
      </c>
      <c r="D27" s="2">
        <v>1</v>
      </c>
      <c r="E27" s="2">
        <v>0.75</v>
      </c>
      <c r="F27" s="2">
        <v>25</v>
      </c>
      <c r="G27" s="2">
        <v>25</v>
      </c>
      <c r="H27" s="10">
        <v>5300</v>
      </c>
      <c r="I27" s="96">
        <f>H27*0.63</f>
        <v>3339</v>
      </c>
    </row>
    <row r="28" spans="1:9" ht="18.75" customHeight="1" x14ac:dyDescent="0.35">
      <c r="A28" s="6">
        <v>22</v>
      </c>
      <c r="B28" s="6" t="s">
        <v>55</v>
      </c>
      <c r="C28" s="14" t="s">
        <v>56</v>
      </c>
      <c r="D28" s="2">
        <v>1.1000000000000001</v>
      </c>
      <c r="E28" s="2">
        <v>0.8</v>
      </c>
      <c r="F28" s="2">
        <v>25</v>
      </c>
      <c r="G28" s="2">
        <v>25</v>
      </c>
      <c r="H28" s="8">
        <v>5040</v>
      </c>
      <c r="I28" s="96">
        <f>H28*0.75</f>
        <v>3780</v>
      </c>
    </row>
    <row r="29" spans="1:9" ht="18.75" customHeight="1" x14ac:dyDescent="0.35">
      <c r="A29" s="4">
        <v>23</v>
      </c>
      <c r="B29" s="6" t="s">
        <v>57</v>
      </c>
      <c r="C29" s="14" t="s">
        <v>58</v>
      </c>
      <c r="D29" s="2">
        <v>1.1000000000000001</v>
      </c>
      <c r="E29" s="2">
        <v>0.8</v>
      </c>
      <c r="F29" s="2">
        <v>25</v>
      </c>
      <c r="G29" s="2">
        <v>25</v>
      </c>
      <c r="H29" s="8">
        <v>5150</v>
      </c>
      <c r="I29" s="96">
        <f>H29*0.75</f>
        <v>3862.5</v>
      </c>
    </row>
    <row r="30" spans="1:9" ht="18.75" customHeight="1" x14ac:dyDescent="0.35">
      <c r="A30" s="6">
        <v>24</v>
      </c>
      <c r="B30" s="4" t="s">
        <v>59</v>
      </c>
      <c r="C30" s="16" t="s">
        <v>60</v>
      </c>
      <c r="D30" s="2">
        <v>1.25</v>
      </c>
      <c r="E30" s="2">
        <v>0.94</v>
      </c>
      <c r="F30" s="2">
        <v>25</v>
      </c>
      <c r="G30" s="2">
        <v>25</v>
      </c>
      <c r="H30" s="8">
        <v>6630</v>
      </c>
      <c r="I30" s="96">
        <f>H30*0.75</f>
        <v>4972.5</v>
      </c>
    </row>
    <row r="31" spans="1:9" ht="18.75" customHeight="1" x14ac:dyDescent="0.35">
      <c r="A31" s="6">
        <v>25</v>
      </c>
      <c r="B31" s="6" t="s">
        <v>61</v>
      </c>
      <c r="C31" s="14" t="s">
        <v>62</v>
      </c>
      <c r="D31" s="17">
        <v>0.5</v>
      </c>
      <c r="E31" s="17">
        <v>0.37</v>
      </c>
      <c r="F31" s="17">
        <v>25</v>
      </c>
      <c r="G31" s="17">
        <v>25</v>
      </c>
      <c r="H31" s="9">
        <v>4950</v>
      </c>
      <c r="I31" s="96">
        <f>H31*0.63</f>
        <v>3118.5</v>
      </c>
    </row>
    <row r="32" spans="1:9" ht="18.75" customHeight="1" x14ac:dyDescent="0.35">
      <c r="A32" s="6">
        <v>26</v>
      </c>
      <c r="B32" s="6" t="s">
        <v>63</v>
      </c>
      <c r="C32" s="14" t="s">
        <v>64</v>
      </c>
      <c r="D32" s="17">
        <v>0.5</v>
      </c>
      <c r="E32" s="17">
        <v>0.37</v>
      </c>
      <c r="F32" s="17">
        <v>25</v>
      </c>
      <c r="G32" s="17">
        <v>25</v>
      </c>
      <c r="H32" s="9">
        <v>5000</v>
      </c>
      <c r="I32" s="96">
        <f>H32*0.63</f>
        <v>3150</v>
      </c>
    </row>
    <row r="33" spans="1:9" ht="18.75" customHeight="1" x14ac:dyDescent="0.35">
      <c r="A33" s="4">
        <v>27</v>
      </c>
      <c r="B33" s="6" t="s">
        <v>65</v>
      </c>
      <c r="C33" s="14" t="s">
        <v>66</v>
      </c>
      <c r="D33" s="2">
        <v>1</v>
      </c>
      <c r="E33" s="2">
        <v>0.75</v>
      </c>
      <c r="F33" s="2">
        <v>25</v>
      </c>
      <c r="G33" s="2">
        <v>25</v>
      </c>
      <c r="H33" s="8">
        <v>5560</v>
      </c>
      <c r="I33" s="96">
        <f t="shared" ref="I33:I53" si="1">H33*0.75</f>
        <v>4170</v>
      </c>
    </row>
    <row r="34" spans="1:9" ht="18.75" customHeight="1" x14ac:dyDescent="0.35">
      <c r="A34" s="6">
        <v>28</v>
      </c>
      <c r="B34" s="6" t="s">
        <v>67</v>
      </c>
      <c r="C34" s="14" t="s">
        <v>68</v>
      </c>
      <c r="D34" s="2">
        <v>1</v>
      </c>
      <c r="E34" s="2">
        <v>0.75</v>
      </c>
      <c r="F34" s="2">
        <v>25</v>
      </c>
      <c r="G34" s="2">
        <v>25</v>
      </c>
      <c r="H34" s="8">
        <v>5650</v>
      </c>
      <c r="I34" s="96">
        <f t="shared" si="1"/>
        <v>4237.5</v>
      </c>
    </row>
    <row r="35" spans="1:9" ht="18.75" customHeight="1" x14ac:dyDescent="0.35">
      <c r="A35" s="6">
        <v>29</v>
      </c>
      <c r="B35" s="6" t="s">
        <v>69</v>
      </c>
      <c r="C35" s="14" t="s">
        <v>70</v>
      </c>
      <c r="D35" s="2">
        <v>1.5</v>
      </c>
      <c r="E35" s="2">
        <v>1.1000000000000001</v>
      </c>
      <c r="F35" s="2">
        <v>25</v>
      </c>
      <c r="G35" s="2">
        <v>25</v>
      </c>
      <c r="H35" s="8">
        <v>7840</v>
      </c>
      <c r="I35" s="96">
        <f t="shared" si="1"/>
        <v>5880</v>
      </c>
    </row>
    <row r="36" spans="1:9" ht="18.75" customHeight="1" x14ac:dyDescent="0.35">
      <c r="A36" s="6">
        <v>30</v>
      </c>
      <c r="B36" s="6" t="s">
        <v>71</v>
      </c>
      <c r="C36" s="14" t="s">
        <v>72</v>
      </c>
      <c r="D36" s="2">
        <v>1.5</v>
      </c>
      <c r="E36" s="2">
        <v>1.1000000000000001</v>
      </c>
      <c r="F36" s="2">
        <v>25</v>
      </c>
      <c r="G36" s="2">
        <v>25</v>
      </c>
      <c r="H36" s="8">
        <v>8170</v>
      </c>
      <c r="I36" s="96">
        <f t="shared" si="1"/>
        <v>6127.5</v>
      </c>
    </row>
    <row r="37" spans="1:9" ht="18.75" customHeight="1" x14ac:dyDescent="0.35">
      <c r="A37" s="4">
        <v>31</v>
      </c>
      <c r="B37" s="4" t="s">
        <v>73</v>
      </c>
      <c r="C37" s="12" t="s">
        <v>74</v>
      </c>
      <c r="D37" s="2">
        <v>0.5</v>
      </c>
      <c r="E37" s="2">
        <v>0.37</v>
      </c>
      <c r="F37" s="2">
        <v>25</v>
      </c>
      <c r="G37" s="2">
        <v>25</v>
      </c>
      <c r="H37" s="8">
        <v>6450</v>
      </c>
      <c r="I37" s="96">
        <f t="shared" si="1"/>
        <v>4837.5</v>
      </c>
    </row>
    <row r="38" spans="1:9" ht="18.75" customHeight="1" x14ac:dyDescent="0.35">
      <c r="A38" s="6">
        <v>32</v>
      </c>
      <c r="B38" s="6" t="s">
        <v>75</v>
      </c>
      <c r="C38" s="14" t="s">
        <v>76</v>
      </c>
      <c r="D38" s="3">
        <v>0.9</v>
      </c>
      <c r="E38" s="3">
        <v>0.7</v>
      </c>
      <c r="F38" s="3">
        <v>25</v>
      </c>
      <c r="G38" s="3">
        <v>25</v>
      </c>
      <c r="H38" s="8">
        <v>6640</v>
      </c>
      <c r="I38" s="96">
        <f t="shared" si="1"/>
        <v>4980</v>
      </c>
    </row>
    <row r="39" spans="1:9" ht="18.75" customHeight="1" x14ac:dyDescent="0.35">
      <c r="A39" s="6">
        <v>33</v>
      </c>
      <c r="B39" s="6" t="s">
        <v>77</v>
      </c>
      <c r="C39" s="14" t="s">
        <v>78</v>
      </c>
      <c r="D39" s="3">
        <v>1</v>
      </c>
      <c r="E39" s="3">
        <v>0.75</v>
      </c>
      <c r="F39" s="3">
        <v>25</v>
      </c>
      <c r="G39" s="3">
        <v>25</v>
      </c>
      <c r="H39" s="8">
        <v>7100</v>
      </c>
      <c r="I39" s="96">
        <f t="shared" si="1"/>
        <v>5325</v>
      </c>
    </row>
    <row r="40" spans="1:9" ht="18.75" customHeight="1" x14ac:dyDescent="0.35">
      <c r="A40" s="6">
        <v>34</v>
      </c>
      <c r="B40" s="4" t="s">
        <v>79</v>
      </c>
      <c r="C40" s="15" t="s">
        <v>80</v>
      </c>
      <c r="D40" s="3">
        <v>0.5</v>
      </c>
      <c r="E40" s="3">
        <v>0.37</v>
      </c>
      <c r="F40" s="3">
        <v>25</v>
      </c>
      <c r="G40" s="3">
        <v>25</v>
      </c>
      <c r="H40" s="8">
        <v>5500</v>
      </c>
      <c r="I40" s="96">
        <f t="shared" si="1"/>
        <v>4125</v>
      </c>
    </row>
    <row r="41" spans="1:9" ht="18.75" customHeight="1" x14ac:dyDescent="0.35">
      <c r="A41" s="4">
        <v>35</v>
      </c>
      <c r="B41" s="4"/>
      <c r="C41" s="15" t="s">
        <v>81</v>
      </c>
      <c r="D41" s="3">
        <v>1</v>
      </c>
      <c r="E41" s="3">
        <v>0.75</v>
      </c>
      <c r="F41" s="3">
        <v>25</v>
      </c>
      <c r="G41" s="3">
        <v>25</v>
      </c>
      <c r="H41" s="8">
        <v>6200</v>
      </c>
      <c r="I41" s="96">
        <f t="shared" si="1"/>
        <v>4650</v>
      </c>
    </row>
    <row r="42" spans="1:9" ht="18.75" customHeight="1" x14ac:dyDescent="0.35">
      <c r="A42" s="6">
        <v>36</v>
      </c>
      <c r="B42" s="4" t="s">
        <v>82</v>
      </c>
      <c r="C42" s="12" t="s">
        <v>83</v>
      </c>
      <c r="D42" s="1">
        <v>0.5</v>
      </c>
      <c r="E42" s="1">
        <v>0.37</v>
      </c>
      <c r="F42" s="1">
        <v>25</v>
      </c>
      <c r="G42" s="1">
        <v>25</v>
      </c>
      <c r="H42" s="8">
        <v>7140</v>
      </c>
      <c r="I42" s="96">
        <f t="shared" si="1"/>
        <v>5355</v>
      </c>
    </row>
    <row r="43" spans="1:9" ht="18.75" customHeight="1" x14ac:dyDescent="0.35">
      <c r="A43" s="6">
        <v>37</v>
      </c>
      <c r="B43" s="6" t="s">
        <v>84</v>
      </c>
      <c r="C43" s="14" t="s">
        <v>85</v>
      </c>
      <c r="D43" s="1">
        <v>1.1000000000000001</v>
      </c>
      <c r="E43" s="1">
        <v>0.8</v>
      </c>
      <c r="F43" s="1">
        <v>25</v>
      </c>
      <c r="G43" s="1">
        <v>25</v>
      </c>
      <c r="H43" s="8">
        <v>7700</v>
      </c>
      <c r="I43" s="96">
        <f t="shared" si="1"/>
        <v>5775</v>
      </c>
    </row>
    <row r="44" spans="1:9" ht="18.75" customHeight="1" x14ac:dyDescent="0.35">
      <c r="A44" s="6">
        <v>38</v>
      </c>
      <c r="B44" s="6" t="s">
        <v>86</v>
      </c>
      <c r="C44" s="14" t="s">
        <v>87</v>
      </c>
      <c r="D44" s="1">
        <v>1.5</v>
      </c>
      <c r="E44" s="1">
        <v>1.1000000000000001</v>
      </c>
      <c r="F44" s="1">
        <v>25</v>
      </c>
      <c r="G44" s="1">
        <v>25</v>
      </c>
      <c r="H44" s="8">
        <v>8690</v>
      </c>
      <c r="I44" s="96">
        <f t="shared" si="1"/>
        <v>6517.5</v>
      </c>
    </row>
    <row r="45" spans="1:9" ht="18.75" customHeight="1" x14ac:dyDescent="0.35">
      <c r="A45" s="4">
        <v>39</v>
      </c>
      <c r="B45" s="4" t="s">
        <v>88</v>
      </c>
      <c r="C45" s="12" t="s">
        <v>89</v>
      </c>
      <c r="D45" s="2">
        <v>0.5</v>
      </c>
      <c r="E45" s="2">
        <v>0.37</v>
      </c>
      <c r="F45" s="2">
        <v>25</v>
      </c>
      <c r="G45" s="2">
        <v>12</v>
      </c>
      <c r="H45" s="8">
        <v>4860</v>
      </c>
      <c r="I45" s="96">
        <f t="shared" si="1"/>
        <v>3645</v>
      </c>
    </row>
    <row r="46" spans="1:9" ht="18.75" customHeight="1" x14ac:dyDescent="0.35">
      <c r="A46" s="6">
        <v>40</v>
      </c>
      <c r="B46" s="4" t="s">
        <v>90</v>
      </c>
      <c r="C46" s="12" t="s">
        <v>91</v>
      </c>
      <c r="D46" s="2">
        <v>1</v>
      </c>
      <c r="E46" s="2">
        <v>0.75</v>
      </c>
      <c r="F46" s="2">
        <v>25</v>
      </c>
      <c r="G46" s="2">
        <v>25</v>
      </c>
      <c r="H46" s="8">
        <v>5600</v>
      </c>
      <c r="I46" s="96">
        <f t="shared" si="1"/>
        <v>4200</v>
      </c>
    </row>
    <row r="47" spans="1:9" ht="18.75" customHeight="1" x14ac:dyDescent="0.35">
      <c r="A47" s="6">
        <v>41</v>
      </c>
      <c r="B47" s="6" t="s">
        <v>92</v>
      </c>
      <c r="C47" s="14" t="s">
        <v>93</v>
      </c>
      <c r="D47" s="17">
        <v>1</v>
      </c>
      <c r="E47" s="17">
        <v>0.75</v>
      </c>
      <c r="F47" s="17">
        <v>25</v>
      </c>
      <c r="G47" s="17">
        <v>25</v>
      </c>
      <c r="H47" s="9">
        <v>8420</v>
      </c>
      <c r="I47" s="96">
        <f>H47*0.63</f>
        <v>5304.6</v>
      </c>
    </row>
    <row r="48" spans="1:9" ht="18.75" customHeight="1" x14ac:dyDescent="0.35">
      <c r="A48" s="6">
        <v>42</v>
      </c>
      <c r="B48" s="6" t="s">
        <v>94</v>
      </c>
      <c r="C48" s="14" t="s">
        <v>95</v>
      </c>
      <c r="D48" s="2">
        <v>1.1000000000000001</v>
      </c>
      <c r="E48" s="2">
        <v>0.8</v>
      </c>
      <c r="F48" s="2">
        <v>25</v>
      </c>
      <c r="G48" s="2">
        <v>25</v>
      </c>
      <c r="H48" s="8">
        <v>12020</v>
      </c>
      <c r="I48" s="96">
        <f t="shared" si="1"/>
        <v>9015</v>
      </c>
    </row>
    <row r="49" spans="1:9" ht="18.75" customHeight="1" x14ac:dyDescent="0.35">
      <c r="A49" s="4">
        <v>43</v>
      </c>
      <c r="B49" s="4" t="s">
        <v>96</v>
      </c>
      <c r="C49" s="12" t="s">
        <v>97</v>
      </c>
      <c r="D49" s="2">
        <v>0.5</v>
      </c>
      <c r="E49" s="2">
        <v>0.37</v>
      </c>
      <c r="F49" s="2">
        <v>25</v>
      </c>
      <c r="G49" s="2">
        <v>25</v>
      </c>
      <c r="H49" s="8">
        <v>7530</v>
      </c>
      <c r="I49" s="96">
        <f t="shared" si="1"/>
        <v>5647.5</v>
      </c>
    </row>
    <row r="50" spans="1:9" ht="18.75" customHeight="1" x14ac:dyDescent="0.35">
      <c r="A50" s="6">
        <v>44</v>
      </c>
      <c r="B50" s="4" t="s">
        <v>98</v>
      </c>
      <c r="C50" s="12" t="s">
        <v>99</v>
      </c>
      <c r="D50" s="2">
        <v>1</v>
      </c>
      <c r="E50" s="2">
        <v>0.75</v>
      </c>
      <c r="F50" s="2">
        <v>25</v>
      </c>
      <c r="G50" s="2">
        <v>25</v>
      </c>
      <c r="H50" s="8">
        <v>9150</v>
      </c>
      <c r="I50" s="96">
        <f t="shared" si="1"/>
        <v>6862.5</v>
      </c>
    </row>
    <row r="51" spans="1:9" ht="18.75" customHeight="1" x14ac:dyDescent="0.35">
      <c r="A51" s="6">
        <v>45</v>
      </c>
      <c r="B51" s="4" t="s">
        <v>100</v>
      </c>
      <c r="C51" s="12" t="s">
        <v>101</v>
      </c>
      <c r="D51" s="2">
        <v>1</v>
      </c>
      <c r="E51" s="2">
        <v>0.75</v>
      </c>
      <c r="F51" s="2">
        <v>25</v>
      </c>
      <c r="G51" s="2">
        <v>25</v>
      </c>
      <c r="H51" s="5">
        <v>16800</v>
      </c>
      <c r="I51" s="96">
        <f t="shared" si="1"/>
        <v>12600</v>
      </c>
    </row>
    <row r="52" spans="1:9" ht="18.75" customHeight="1" x14ac:dyDescent="0.35">
      <c r="A52" s="6">
        <v>46</v>
      </c>
      <c r="B52" s="6" t="s">
        <v>102</v>
      </c>
      <c r="C52" s="14" t="s">
        <v>103</v>
      </c>
      <c r="D52" s="2">
        <v>0.5</v>
      </c>
      <c r="E52" s="2">
        <v>0.37</v>
      </c>
      <c r="F52" s="2">
        <v>25</v>
      </c>
      <c r="G52" s="2">
        <v>25</v>
      </c>
      <c r="H52" s="8">
        <v>17760</v>
      </c>
      <c r="I52" s="96">
        <f t="shared" si="1"/>
        <v>13320</v>
      </c>
    </row>
    <row r="53" spans="1:9" ht="18.75" customHeight="1" x14ac:dyDescent="0.35">
      <c r="A53" s="4">
        <v>47</v>
      </c>
      <c r="B53" s="6" t="s">
        <v>104</v>
      </c>
      <c r="C53" s="14" t="s">
        <v>105</v>
      </c>
      <c r="D53" s="2">
        <v>1</v>
      </c>
      <c r="E53" s="2">
        <v>0.75</v>
      </c>
      <c r="F53" s="2">
        <v>25</v>
      </c>
      <c r="G53" s="2">
        <v>25</v>
      </c>
      <c r="H53" s="8">
        <v>19120</v>
      </c>
      <c r="I53" s="96">
        <f t="shared" si="1"/>
        <v>14340</v>
      </c>
    </row>
    <row r="54" spans="1:9" ht="18.75" customHeight="1" x14ac:dyDescent="0.35">
      <c r="A54" s="6">
        <v>48</v>
      </c>
      <c r="B54" s="6" t="s">
        <v>106</v>
      </c>
      <c r="C54" s="14" t="s">
        <v>107</v>
      </c>
      <c r="D54" s="2">
        <v>1.1000000000000001</v>
      </c>
      <c r="E54" s="2">
        <v>0.8</v>
      </c>
      <c r="F54" s="2">
        <v>25</v>
      </c>
      <c r="G54" s="2">
        <v>25</v>
      </c>
      <c r="H54" s="8">
        <v>20900</v>
      </c>
      <c r="I54" s="96">
        <f>H54*0.63</f>
        <v>13167</v>
      </c>
    </row>
    <row r="55" spans="1:9" ht="18.75" customHeight="1" x14ac:dyDescent="0.35">
      <c r="A55" s="300" t="s">
        <v>108</v>
      </c>
      <c r="B55" s="300"/>
      <c r="C55" s="300"/>
      <c r="D55" s="300"/>
      <c r="E55" s="300"/>
      <c r="F55" s="300"/>
      <c r="G55" s="300"/>
      <c r="H55" s="305" t="s">
        <v>109</v>
      </c>
      <c r="I55" s="315" t="s">
        <v>510</v>
      </c>
    </row>
    <row r="56" spans="1:9" ht="18.75" customHeight="1" x14ac:dyDescent="0.35">
      <c r="A56" s="287" t="s">
        <v>2</v>
      </c>
      <c r="B56" s="287" t="s">
        <v>3</v>
      </c>
      <c r="C56" s="298" t="s">
        <v>4</v>
      </c>
      <c r="D56" s="287" t="s">
        <v>5</v>
      </c>
      <c r="E56" s="287"/>
      <c r="F56" s="287" t="s">
        <v>6</v>
      </c>
      <c r="G56" s="287"/>
      <c r="H56" s="305"/>
      <c r="I56" s="315"/>
    </row>
    <row r="57" spans="1:9" ht="18.75" customHeight="1" x14ac:dyDescent="0.35">
      <c r="A57" s="287"/>
      <c r="B57" s="287"/>
      <c r="C57" s="298"/>
      <c r="D57" s="11" t="s">
        <v>9</v>
      </c>
      <c r="E57" s="11" t="s">
        <v>10</v>
      </c>
      <c r="F57" s="11" t="s">
        <v>11</v>
      </c>
      <c r="G57" s="11" t="s">
        <v>12</v>
      </c>
      <c r="H57" s="305"/>
      <c r="I57" s="315"/>
    </row>
    <row r="58" spans="1:9" ht="18.75" customHeight="1" x14ac:dyDescent="0.35">
      <c r="A58" s="6">
        <v>1</v>
      </c>
      <c r="B58" s="6" t="s">
        <v>110</v>
      </c>
      <c r="C58" s="14" t="s">
        <v>111</v>
      </c>
      <c r="D58" s="303">
        <v>0.5</v>
      </c>
      <c r="E58" s="303">
        <v>0.37</v>
      </c>
      <c r="F58" s="2">
        <v>25</v>
      </c>
      <c r="G58" s="2">
        <v>25</v>
      </c>
      <c r="H58" s="8">
        <v>4680</v>
      </c>
      <c r="I58" s="96">
        <f t="shared" ref="I58:I112" si="2">H58*0.75</f>
        <v>3510</v>
      </c>
    </row>
    <row r="59" spans="1:9" ht="18.75" customHeight="1" x14ac:dyDescent="0.35">
      <c r="A59" s="6">
        <v>2</v>
      </c>
      <c r="B59" s="6" t="s">
        <v>112</v>
      </c>
      <c r="C59" s="14" t="s">
        <v>113</v>
      </c>
      <c r="D59" s="303"/>
      <c r="E59" s="303"/>
      <c r="F59" s="2">
        <v>40</v>
      </c>
      <c r="G59" s="2">
        <v>40</v>
      </c>
      <c r="H59" s="8">
        <v>6430</v>
      </c>
      <c r="I59" s="96">
        <f t="shared" si="2"/>
        <v>4822.5</v>
      </c>
    </row>
    <row r="60" spans="1:9" ht="18.75" customHeight="1" x14ac:dyDescent="0.35">
      <c r="A60" s="4">
        <v>3</v>
      </c>
      <c r="B60" s="4" t="s">
        <v>114</v>
      </c>
      <c r="C60" s="18" t="s">
        <v>115</v>
      </c>
      <c r="D60" s="2">
        <v>0.75</v>
      </c>
      <c r="E60" s="2">
        <v>0.56000000000000005</v>
      </c>
      <c r="F60" s="2">
        <v>40</v>
      </c>
      <c r="G60" s="2">
        <v>40</v>
      </c>
      <c r="H60" s="5">
        <v>6240</v>
      </c>
      <c r="I60" s="96">
        <f t="shared" si="2"/>
        <v>4680</v>
      </c>
    </row>
    <row r="61" spans="1:9" ht="18.75" customHeight="1" x14ac:dyDescent="0.35">
      <c r="A61" s="6">
        <v>4</v>
      </c>
      <c r="B61" s="6" t="s">
        <v>116</v>
      </c>
      <c r="C61" s="14" t="s">
        <v>117</v>
      </c>
      <c r="D61" s="301">
        <v>1</v>
      </c>
      <c r="E61" s="301">
        <v>0.75</v>
      </c>
      <c r="F61" s="1">
        <v>25</v>
      </c>
      <c r="G61" s="1">
        <v>25</v>
      </c>
      <c r="H61" s="8">
        <v>7572</v>
      </c>
      <c r="I61" s="96">
        <f t="shared" si="2"/>
        <v>5679</v>
      </c>
    </row>
    <row r="62" spans="1:9" ht="18.75" customHeight="1" x14ac:dyDescent="0.35">
      <c r="A62" s="6">
        <v>5</v>
      </c>
      <c r="B62" s="6" t="s">
        <v>118</v>
      </c>
      <c r="C62" s="14" t="s">
        <v>119</v>
      </c>
      <c r="D62" s="301"/>
      <c r="E62" s="301"/>
      <c r="F62" s="1">
        <v>50</v>
      </c>
      <c r="G62" s="1">
        <v>50</v>
      </c>
      <c r="H62" s="8">
        <v>8900</v>
      </c>
      <c r="I62" s="96">
        <f t="shared" si="2"/>
        <v>6675</v>
      </c>
    </row>
    <row r="63" spans="1:9" ht="18.75" customHeight="1" x14ac:dyDescent="0.35">
      <c r="A63" s="4">
        <v>6</v>
      </c>
      <c r="B63" s="6" t="s">
        <v>120</v>
      </c>
      <c r="C63" s="14" t="s">
        <v>121</v>
      </c>
      <c r="D63" s="301"/>
      <c r="E63" s="301"/>
      <c r="F63" s="1">
        <v>50</v>
      </c>
      <c r="G63" s="1">
        <v>50</v>
      </c>
      <c r="H63" s="5">
        <v>9100</v>
      </c>
      <c r="I63" s="96">
        <f t="shared" si="2"/>
        <v>6825</v>
      </c>
    </row>
    <row r="64" spans="1:9" ht="18.75" customHeight="1" x14ac:dyDescent="0.35">
      <c r="A64" s="6">
        <v>7</v>
      </c>
      <c r="B64" s="4" t="s">
        <v>122</v>
      </c>
      <c r="C64" s="18" t="s">
        <v>123</v>
      </c>
      <c r="D64" s="301"/>
      <c r="E64" s="301"/>
      <c r="F64" s="1">
        <v>50</v>
      </c>
      <c r="G64" s="1">
        <v>50</v>
      </c>
      <c r="H64" s="5">
        <v>9000</v>
      </c>
      <c r="I64" s="96">
        <f t="shared" si="2"/>
        <v>6750</v>
      </c>
    </row>
    <row r="65" spans="1:9" ht="18.75" customHeight="1" x14ac:dyDescent="0.35">
      <c r="A65" s="6">
        <v>8</v>
      </c>
      <c r="B65" s="4" t="s">
        <v>124</v>
      </c>
      <c r="C65" s="19" t="s">
        <v>125</v>
      </c>
      <c r="D65" s="301"/>
      <c r="E65" s="301"/>
      <c r="F65" s="1">
        <v>75</v>
      </c>
      <c r="G65" s="1">
        <v>75</v>
      </c>
      <c r="H65" s="8">
        <v>10000</v>
      </c>
      <c r="I65" s="96">
        <f t="shared" si="2"/>
        <v>7500</v>
      </c>
    </row>
    <row r="66" spans="1:9" ht="18.75" customHeight="1" x14ac:dyDescent="0.35">
      <c r="A66" s="4">
        <v>9</v>
      </c>
      <c r="B66" s="4"/>
      <c r="C66" s="18" t="s">
        <v>126</v>
      </c>
      <c r="D66" s="301"/>
      <c r="E66" s="301"/>
      <c r="F66" s="1">
        <v>75</v>
      </c>
      <c r="G66" s="1">
        <v>75</v>
      </c>
      <c r="H66" s="5">
        <v>10200</v>
      </c>
      <c r="I66" s="96">
        <f t="shared" si="2"/>
        <v>7650</v>
      </c>
    </row>
    <row r="67" spans="1:9" ht="18.75" customHeight="1" x14ac:dyDescent="0.35">
      <c r="A67" s="6">
        <v>10</v>
      </c>
      <c r="B67" s="4" t="s">
        <v>127</v>
      </c>
      <c r="C67" s="19" t="s">
        <v>128</v>
      </c>
      <c r="D67" s="301">
        <v>1.5</v>
      </c>
      <c r="E67" s="301">
        <v>1.1000000000000001</v>
      </c>
      <c r="F67" s="1">
        <v>50</v>
      </c>
      <c r="G67" s="1">
        <v>50</v>
      </c>
      <c r="H67" s="5">
        <v>10420</v>
      </c>
      <c r="I67" s="96">
        <f t="shared" si="2"/>
        <v>7815</v>
      </c>
    </row>
    <row r="68" spans="1:9" ht="18.75" customHeight="1" x14ac:dyDescent="0.35">
      <c r="A68" s="6">
        <v>11</v>
      </c>
      <c r="B68" s="4" t="s">
        <v>129</v>
      </c>
      <c r="C68" s="18" t="s">
        <v>130</v>
      </c>
      <c r="D68" s="301"/>
      <c r="E68" s="301"/>
      <c r="F68" s="1">
        <v>50</v>
      </c>
      <c r="G68" s="1">
        <v>50</v>
      </c>
      <c r="H68" s="5">
        <v>10600</v>
      </c>
      <c r="I68" s="96">
        <f t="shared" si="2"/>
        <v>7950</v>
      </c>
    </row>
    <row r="69" spans="1:9" ht="18.75" customHeight="1" x14ac:dyDescent="0.35">
      <c r="A69" s="4">
        <v>12</v>
      </c>
      <c r="B69" s="4" t="s">
        <v>131</v>
      </c>
      <c r="C69" s="19" t="s">
        <v>132</v>
      </c>
      <c r="D69" s="301"/>
      <c r="E69" s="301"/>
      <c r="F69" s="1">
        <v>65</v>
      </c>
      <c r="G69" s="1">
        <v>50</v>
      </c>
      <c r="H69" s="5">
        <v>10600</v>
      </c>
      <c r="I69" s="96">
        <f t="shared" si="2"/>
        <v>7950</v>
      </c>
    </row>
    <row r="70" spans="1:9" ht="18.75" customHeight="1" x14ac:dyDescent="0.35">
      <c r="A70" s="6">
        <v>13</v>
      </c>
      <c r="B70" s="4" t="s">
        <v>133</v>
      </c>
      <c r="C70" s="18" t="s">
        <v>134</v>
      </c>
      <c r="D70" s="301"/>
      <c r="E70" s="301"/>
      <c r="F70" s="1">
        <v>65</v>
      </c>
      <c r="G70" s="1">
        <v>50</v>
      </c>
      <c r="H70" s="5">
        <v>10800</v>
      </c>
      <c r="I70" s="96">
        <f t="shared" si="2"/>
        <v>8100</v>
      </c>
    </row>
    <row r="71" spans="1:9" ht="18.75" customHeight="1" x14ac:dyDescent="0.35">
      <c r="A71" s="6">
        <v>14</v>
      </c>
      <c r="B71" s="4" t="s">
        <v>135</v>
      </c>
      <c r="C71" s="19" t="s">
        <v>136</v>
      </c>
      <c r="D71" s="301"/>
      <c r="E71" s="301"/>
      <c r="F71" s="1">
        <v>75</v>
      </c>
      <c r="G71" s="1">
        <v>75</v>
      </c>
      <c r="H71" s="8">
        <v>11000</v>
      </c>
      <c r="I71" s="96">
        <f t="shared" si="2"/>
        <v>8250</v>
      </c>
    </row>
    <row r="72" spans="1:9" ht="18.75" customHeight="1" x14ac:dyDescent="0.35">
      <c r="A72" s="4">
        <v>15</v>
      </c>
      <c r="B72" s="4" t="s">
        <v>137</v>
      </c>
      <c r="C72" s="18" t="s">
        <v>138</v>
      </c>
      <c r="D72" s="301"/>
      <c r="E72" s="301"/>
      <c r="F72" s="1">
        <v>75</v>
      </c>
      <c r="G72" s="1">
        <v>75</v>
      </c>
      <c r="H72" s="5">
        <v>11200</v>
      </c>
      <c r="I72" s="96">
        <f t="shared" si="2"/>
        <v>8400</v>
      </c>
    </row>
    <row r="73" spans="1:9" ht="18.75" customHeight="1" x14ac:dyDescent="0.35">
      <c r="A73" s="6">
        <v>16</v>
      </c>
      <c r="B73" s="4" t="s">
        <v>139</v>
      </c>
      <c r="C73" s="18" t="s">
        <v>140</v>
      </c>
      <c r="D73" s="301"/>
      <c r="E73" s="301"/>
      <c r="F73" s="1">
        <v>75</v>
      </c>
      <c r="G73" s="1">
        <v>75</v>
      </c>
      <c r="H73" s="5">
        <v>11200</v>
      </c>
      <c r="I73" s="96">
        <f t="shared" si="2"/>
        <v>8400</v>
      </c>
    </row>
    <row r="74" spans="1:9" ht="18.75" customHeight="1" x14ac:dyDescent="0.35">
      <c r="A74" s="6">
        <v>17</v>
      </c>
      <c r="B74" s="4" t="s">
        <v>141</v>
      </c>
      <c r="C74" s="19" t="s">
        <v>142</v>
      </c>
      <c r="D74" s="301">
        <v>2</v>
      </c>
      <c r="E74" s="301">
        <v>1.5</v>
      </c>
      <c r="F74" s="1">
        <v>50</v>
      </c>
      <c r="G74" s="1">
        <v>40</v>
      </c>
      <c r="H74" s="8">
        <v>15000</v>
      </c>
      <c r="I74" s="96">
        <f t="shared" si="2"/>
        <v>11250</v>
      </c>
    </row>
    <row r="75" spans="1:9" ht="18.75" customHeight="1" x14ac:dyDescent="0.35">
      <c r="A75" s="4">
        <v>18</v>
      </c>
      <c r="B75" s="4" t="s">
        <v>143</v>
      </c>
      <c r="C75" s="18" t="s">
        <v>144</v>
      </c>
      <c r="D75" s="301"/>
      <c r="E75" s="301"/>
      <c r="F75" s="1">
        <v>50</v>
      </c>
      <c r="G75" s="1">
        <v>40</v>
      </c>
      <c r="H75" s="5">
        <v>15200</v>
      </c>
      <c r="I75" s="96">
        <f t="shared" si="2"/>
        <v>11400</v>
      </c>
    </row>
    <row r="76" spans="1:9" ht="18.75" customHeight="1" x14ac:dyDescent="0.35">
      <c r="A76" s="6">
        <v>19</v>
      </c>
      <c r="B76" s="6" t="s">
        <v>145</v>
      </c>
      <c r="C76" s="14" t="s">
        <v>146</v>
      </c>
      <c r="D76" s="301"/>
      <c r="E76" s="301"/>
      <c r="F76" s="1">
        <v>50</v>
      </c>
      <c r="G76" s="1">
        <v>50</v>
      </c>
      <c r="H76" s="8">
        <v>13000</v>
      </c>
      <c r="I76" s="96">
        <f t="shared" si="2"/>
        <v>9750</v>
      </c>
    </row>
    <row r="77" spans="1:9" ht="18.75" customHeight="1" x14ac:dyDescent="0.35">
      <c r="A77" s="6">
        <v>20</v>
      </c>
      <c r="B77" s="4" t="s">
        <v>147</v>
      </c>
      <c r="C77" s="18" t="s">
        <v>148</v>
      </c>
      <c r="D77" s="301"/>
      <c r="E77" s="301"/>
      <c r="F77" s="1">
        <v>50</v>
      </c>
      <c r="G77" s="1">
        <v>50</v>
      </c>
      <c r="H77" s="5">
        <v>13200</v>
      </c>
      <c r="I77" s="96">
        <f t="shared" si="2"/>
        <v>9900</v>
      </c>
    </row>
    <row r="78" spans="1:9" ht="18.75" customHeight="1" x14ac:dyDescent="0.35">
      <c r="A78" s="4">
        <v>21</v>
      </c>
      <c r="B78" s="6" t="s">
        <v>149</v>
      </c>
      <c r="C78" s="14" t="s">
        <v>150</v>
      </c>
      <c r="D78" s="301"/>
      <c r="E78" s="301"/>
      <c r="F78" s="1">
        <v>65</v>
      </c>
      <c r="G78" s="1">
        <v>50</v>
      </c>
      <c r="H78" s="8">
        <v>13300</v>
      </c>
      <c r="I78" s="96">
        <f t="shared" si="2"/>
        <v>9975</v>
      </c>
    </row>
    <row r="79" spans="1:9" ht="18.75" customHeight="1" x14ac:dyDescent="0.35">
      <c r="A79" s="6">
        <v>22</v>
      </c>
      <c r="B79" s="6" t="s">
        <v>151</v>
      </c>
      <c r="C79" s="14" t="s">
        <v>152</v>
      </c>
      <c r="D79" s="301"/>
      <c r="E79" s="301"/>
      <c r="F79" s="1">
        <v>65</v>
      </c>
      <c r="G79" s="1">
        <v>50</v>
      </c>
      <c r="H79" s="5">
        <v>13500</v>
      </c>
      <c r="I79" s="96">
        <f t="shared" si="2"/>
        <v>10125</v>
      </c>
    </row>
    <row r="80" spans="1:9" ht="18.75" customHeight="1" x14ac:dyDescent="0.35">
      <c r="A80" s="6">
        <v>23</v>
      </c>
      <c r="B80" s="4" t="s">
        <v>153</v>
      </c>
      <c r="C80" s="18" t="s">
        <v>154</v>
      </c>
      <c r="D80" s="301"/>
      <c r="E80" s="301"/>
      <c r="F80" s="1">
        <v>65</v>
      </c>
      <c r="G80" s="1">
        <v>50</v>
      </c>
      <c r="H80" s="5">
        <v>13340</v>
      </c>
      <c r="I80" s="96">
        <f t="shared" si="2"/>
        <v>10005</v>
      </c>
    </row>
    <row r="81" spans="1:9" ht="18.75" customHeight="1" x14ac:dyDescent="0.35">
      <c r="A81" s="4">
        <v>24</v>
      </c>
      <c r="B81" s="6"/>
      <c r="C81" s="14" t="s">
        <v>155</v>
      </c>
      <c r="D81" s="301"/>
      <c r="E81" s="301"/>
      <c r="F81" s="1">
        <v>65</v>
      </c>
      <c r="G81" s="1">
        <v>50</v>
      </c>
      <c r="H81" s="8">
        <v>13300</v>
      </c>
      <c r="I81" s="96">
        <f t="shared" si="2"/>
        <v>9975</v>
      </c>
    </row>
    <row r="82" spans="1:9" ht="18.75" customHeight="1" x14ac:dyDescent="0.35">
      <c r="A82" s="6">
        <v>25</v>
      </c>
      <c r="B82" s="4" t="s">
        <v>156</v>
      </c>
      <c r="C82" s="18" t="s">
        <v>157</v>
      </c>
      <c r="D82" s="301"/>
      <c r="E82" s="301"/>
      <c r="F82" s="1">
        <v>75</v>
      </c>
      <c r="G82" s="1">
        <v>75</v>
      </c>
      <c r="H82" s="5">
        <v>13600</v>
      </c>
      <c r="I82" s="96">
        <f t="shared" si="2"/>
        <v>10200</v>
      </c>
    </row>
    <row r="83" spans="1:9" ht="18.75" customHeight="1" x14ac:dyDescent="0.35">
      <c r="A83" s="6">
        <v>26</v>
      </c>
      <c r="B83" s="6" t="s">
        <v>158</v>
      </c>
      <c r="C83" s="14" t="s">
        <v>159</v>
      </c>
      <c r="D83" s="301"/>
      <c r="E83" s="301"/>
      <c r="F83" s="1">
        <v>75</v>
      </c>
      <c r="G83" s="1">
        <v>75</v>
      </c>
      <c r="H83" s="8">
        <v>13450</v>
      </c>
      <c r="I83" s="96">
        <f t="shared" si="2"/>
        <v>10087.5</v>
      </c>
    </row>
    <row r="84" spans="1:9" ht="18.75" customHeight="1" x14ac:dyDescent="0.35">
      <c r="A84" s="4">
        <v>27</v>
      </c>
      <c r="B84" s="6" t="s">
        <v>160</v>
      </c>
      <c r="C84" s="14" t="s">
        <v>161</v>
      </c>
      <c r="D84" s="301"/>
      <c r="E84" s="301"/>
      <c r="F84" s="1">
        <v>75</v>
      </c>
      <c r="G84" s="1">
        <v>75</v>
      </c>
      <c r="H84" s="5">
        <v>13800</v>
      </c>
      <c r="I84" s="96">
        <f t="shared" si="2"/>
        <v>10350</v>
      </c>
    </row>
    <row r="85" spans="1:9" ht="18.75" customHeight="1" x14ac:dyDescent="0.35">
      <c r="A85" s="6">
        <v>28</v>
      </c>
      <c r="B85" s="6" t="s">
        <v>162</v>
      </c>
      <c r="C85" s="14" t="s">
        <v>163</v>
      </c>
      <c r="D85" s="301"/>
      <c r="E85" s="301"/>
      <c r="F85" s="1">
        <v>75</v>
      </c>
      <c r="G85" s="1">
        <v>75</v>
      </c>
      <c r="H85" s="5">
        <v>14000</v>
      </c>
      <c r="I85" s="96">
        <f t="shared" si="2"/>
        <v>10500</v>
      </c>
    </row>
    <row r="86" spans="1:9" ht="18.75" customHeight="1" x14ac:dyDescent="0.35">
      <c r="A86" s="6">
        <v>29</v>
      </c>
      <c r="B86" s="6" t="s">
        <v>164</v>
      </c>
      <c r="C86" s="14" t="s">
        <v>165</v>
      </c>
      <c r="D86" s="301"/>
      <c r="E86" s="301"/>
      <c r="F86" s="1">
        <v>75</v>
      </c>
      <c r="G86" s="1">
        <v>75</v>
      </c>
      <c r="H86" s="5">
        <v>14500</v>
      </c>
      <c r="I86" s="96">
        <f t="shared" si="2"/>
        <v>10875</v>
      </c>
    </row>
    <row r="87" spans="1:9" ht="18.75" customHeight="1" x14ac:dyDescent="0.35">
      <c r="A87" s="4">
        <v>30</v>
      </c>
      <c r="B87" s="4" t="s">
        <v>166</v>
      </c>
      <c r="C87" s="18" t="s">
        <v>167</v>
      </c>
      <c r="D87" s="301"/>
      <c r="E87" s="301"/>
      <c r="F87" s="1">
        <v>75</v>
      </c>
      <c r="G87" s="1">
        <v>75</v>
      </c>
      <c r="H87" s="5">
        <v>13550</v>
      </c>
      <c r="I87" s="96">
        <f t="shared" si="2"/>
        <v>10162.5</v>
      </c>
    </row>
    <row r="88" spans="1:9" ht="18.75" customHeight="1" x14ac:dyDescent="0.35">
      <c r="A88" s="6">
        <v>31</v>
      </c>
      <c r="B88" s="6" t="s">
        <v>168</v>
      </c>
      <c r="C88" s="14" t="s">
        <v>169</v>
      </c>
      <c r="D88" s="301"/>
      <c r="E88" s="301"/>
      <c r="F88" s="1">
        <v>75</v>
      </c>
      <c r="G88" s="1">
        <v>65</v>
      </c>
      <c r="H88" s="8">
        <v>13450</v>
      </c>
      <c r="I88" s="96">
        <f t="shared" si="2"/>
        <v>10087.5</v>
      </c>
    </row>
    <row r="89" spans="1:9" ht="18.75" customHeight="1" x14ac:dyDescent="0.35">
      <c r="A89" s="6">
        <v>32</v>
      </c>
      <c r="B89" s="6" t="s">
        <v>170</v>
      </c>
      <c r="C89" s="14" t="s">
        <v>171</v>
      </c>
      <c r="D89" s="301"/>
      <c r="E89" s="301"/>
      <c r="F89" s="1">
        <v>75</v>
      </c>
      <c r="G89" s="1">
        <v>65</v>
      </c>
      <c r="H89" s="5">
        <v>13740</v>
      </c>
      <c r="I89" s="96">
        <f t="shared" si="2"/>
        <v>10305</v>
      </c>
    </row>
    <row r="90" spans="1:9" ht="18.75" customHeight="1" x14ac:dyDescent="0.35">
      <c r="A90" s="4">
        <v>33</v>
      </c>
      <c r="B90" s="4"/>
      <c r="C90" s="19" t="s">
        <v>172</v>
      </c>
      <c r="D90" s="301"/>
      <c r="E90" s="301"/>
      <c r="F90" s="1">
        <v>100</v>
      </c>
      <c r="G90" s="1">
        <v>100</v>
      </c>
      <c r="H90" s="8">
        <v>15000</v>
      </c>
      <c r="I90" s="96">
        <f t="shared" si="2"/>
        <v>11250</v>
      </c>
    </row>
    <row r="91" spans="1:9" ht="18.75" customHeight="1" x14ac:dyDescent="0.35">
      <c r="A91" s="6">
        <v>34</v>
      </c>
      <c r="B91" s="4"/>
      <c r="C91" s="18" t="s">
        <v>173</v>
      </c>
      <c r="D91" s="301"/>
      <c r="E91" s="301"/>
      <c r="F91" s="1">
        <v>100</v>
      </c>
      <c r="G91" s="1">
        <v>100</v>
      </c>
      <c r="H91" s="5">
        <v>15200</v>
      </c>
      <c r="I91" s="96">
        <f t="shared" si="2"/>
        <v>11400</v>
      </c>
    </row>
    <row r="92" spans="1:9" ht="18.75" customHeight="1" x14ac:dyDescent="0.35">
      <c r="A92" s="6">
        <v>35</v>
      </c>
      <c r="B92" s="4"/>
      <c r="C92" s="19" t="s">
        <v>174</v>
      </c>
      <c r="D92" s="301">
        <v>3</v>
      </c>
      <c r="E92" s="301">
        <v>2.25</v>
      </c>
      <c r="F92" s="1">
        <v>50</v>
      </c>
      <c r="G92" s="1">
        <v>40</v>
      </c>
      <c r="H92" s="8">
        <v>18000</v>
      </c>
      <c r="I92" s="96">
        <f t="shared" si="2"/>
        <v>13500</v>
      </c>
    </row>
    <row r="93" spans="1:9" ht="18.75" customHeight="1" x14ac:dyDescent="0.35">
      <c r="A93" s="4">
        <v>36</v>
      </c>
      <c r="B93" s="4" t="s">
        <v>175</v>
      </c>
      <c r="C93" s="18" t="s">
        <v>176</v>
      </c>
      <c r="D93" s="301"/>
      <c r="E93" s="301"/>
      <c r="F93" s="1">
        <v>50</v>
      </c>
      <c r="G93" s="1">
        <v>40</v>
      </c>
      <c r="H93" s="5">
        <v>18560</v>
      </c>
      <c r="I93" s="96">
        <f t="shared" si="2"/>
        <v>13920</v>
      </c>
    </row>
    <row r="94" spans="1:9" ht="18.75" customHeight="1" x14ac:dyDescent="0.35">
      <c r="A94" s="6">
        <v>37</v>
      </c>
      <c r="B94" s="4" t="s">
        <v>177</v>
      </c>
      <c r="C94" s="19" t="s">
        <v>178</v>
      </c>
      <c r="D94" s="301"/>
      <c r="E94" s="301"/>
      <c r="F94" s="1">
        <v>50</v>
      </c>
      <c r="G94" s="1">
        <v>50</v>
      </c>
      <c r="H94" s="8">
        <v>18250</v>
      </c>
      <c r="I94" s="96">
        <f t="shared" si="2"/>
        <v>13687.5</v>
      </c>
    </row>
    <row r="95" spans="1:9" ht="18.75" customHeight="1" x14ac:dyDescent="0.35">
      <c r="A95" s="6">
        <v>38</v>
      </c>
      <c r="B95" s="4" t="s">
        <v>179</v>
      </c>
      <c r="C95" s="18" t="s">
        <v>180</v>
      </c>
      <c r="D95" s="301"/>
      <c r="E95" s="301"/>
      <c r="F95" s="1">
        <v>50</v>
      </c>
      <c r="G95" s="1">
        <v>50</v>
      </c>
      <c r="H95" s="5">
        <v>18670</v>
      </c>
      <c r="I95" s="96">
        <f t="shared" si="2"/>
        <v>14002.5</v>
      </c>
    </row>
    <row r="96" spans="1:9" ht="18.75" customHeight="1" x14ac:dyDescent="0.35">
      <c r="A96" s="4">
        <v>39</v>
      </c>
      <c r="B96" s="6" t="s">
        <v>181</v>
      </c>
      <c r="C96" s="14" t="s">
        <v>182</v>
      </c>
      <c r="D96" s="301"/>
      <c r="E96" s="301"/>
      <c r="F96" s="1">
        <v>65</v>
      </c>
      <c r="G96" s="1">
        <v>50</v>
      </c>
      <c r="H96" s="8">
        <v>18100</v>
      </c>
      <c r="I96" s="96">
        <f t="shared" si="2"/>
        <v>13575</v>
      </c>
    </row>
    <row r="97" spans="1:9" ht="18.75" customHeight="1" x14ac:dyDescent="0.35">
      <c r="A97" s="6">
        <v>40</v>
      </c>
      <c r="B97" s="6" t="s">
        <v>183</v>
      </c>
      <c r="C97" s="14" t="s">
        <v>184</v>
      </c>
      <c r="D97" s="301"/>
      <c r="E97" s="301"/>
      <c r="F97" s="1">
        <v>65</v>
      </c>
      <c r="G97" s="1">
        <v>50</v>
      </c>
      <c r="H97" s="5">
        <v>18770</v>
      </c>
      <c r="I97" s="96">
        <f t="shared" si="2"/>
        <v>14077.5</v>
      </c>
    </row>
    <row r="98" spans="1:9" ht="18.75" customHeight="1" x14ac:dyDescent="0.35">
      <c r="A98" s="6">
        <v>41</v>
      </c>
      <c r="B98" s="6" t="s">
        <v>185</v>
      </c>
      <c r="C98" s="14" t="s">
        <v>186</v>
      </c>
      <c r="D98" s="301"/>
      <c r="E98" s="301"/>
      <c r="F98" s="1">
        <v>75</v>
      </c>
      <c r="G98" s="1">
        <v>75</v>
      </c>
      <c r="H98" s="8">
        <v>18020</v>
      </c>
      <c r="I98" s="96">
        <f t="shared" si="2"/>
        <v>13515</v>
      </c>
    </row>
    <row r="99" spans="1:9" ht="18.75" customHeight="1" x14ac:dyDescent="0.35">
      <c r="A99" s="4">
        <v>42</v>
      </c>
      <c r="B99" s="6" t="s">
        <v>187</v>
      </c>
      <c r="C99" s="14" t="s">
        <v>188</v>
      </c>
      <c r="D99" s="301"/>
      <c r="E99" s="301"/>
      <c r="F99" s="1">
        <v>75</v>
      </c>
      <c r="G99" s="1">
        <v>75</v>
      </c>
      <c r="H99" s="5">
        <v>18680</v>
      </c>
      <c r="I99" s="96">
        <f t="shared" si="2"/>
        <v>14010</v>
      </c>
    </row>
    <row r="100" spans="1:9" ht="18.75" customHeight="1" x14ac:dyDescent="0.35">
      <c r="A100" s="6">
        <v>43</v>
      </c>
      <c r="B100" s="6" t="s">
        <v>189</v>
      </c>
      <c r="C100" s="14" t="s">
        <v>190</v>
      </c>
      <c r="D100" s="301"/>
      <c r="E100" s="301"/>
      <c r="F100" s="1">
        <v>100</v>
      </c>
      <c r="G100" s="1">
        <v>100</v>
      </c>
      <c r="H100" s="8">
        <v>19100</v>
      </c>
      <c r="I100" s="96">
        <f t="shared" si="2"/>
        <v>14325</v>
      </c>
    </row>
    <row r="101" spans="1:9" ht="18.75" customHeight="1" x14ac:dyDescent="0.35">
      <c r="A101" s="6">
        <v>44</v>
      </c>
      <c r="B101" s="6" t="s">
        <v>191</v>
      </c>
      <c r="C101" s="14" t="s">
        <v>192</v>
      </c>
      <c r="D101" s="301"/>
      <c r="E101" s="301"/>
      <c r="F101" s="1">
        <v>100</v>
      </c>
      <c r="G101" s="1">
        <v>100</v>
      </c>
      <c r="H101" s="5">
        <v>19500</v>
      </c>
      <c r="I101" s="96">
        <f t="shared" si="2"/>
        <v>14625</v>
      </c>
    </row>
    <row r="102" spans="1:9" ht="18.75" customHeight="1" x14ac:dyDescent="0.35">
      <c r="A102" s="4">
        <v>45</v>
      </c>
      <c r="B102" s="6" t="s">
        <v>193</v>
      </c>
      <c r="C102" s="14" t="s">
        <v>194</v>
      </c>
      <c r="D102" s="301"/>
      <c r="E102" s="301"/>
      <c r="F102" s="1">
        <v>100</v>
      </c>
      <c r="G102" s="1">
        <v>100</v>
      </c>
      <c r="H102" s="5">
        <v>14800</v>
      </c>
      <c r="I102" s="96">
        <f t="shared" si="2"/>
        <v>11100</v>
      </c>
    </row>
    <row r="103" spans="1:9" ht="18.75" customHeight="1" x14ac:dyDescent="0.35">
      <c r="A103" s="6">
        <v>46</v>
      </c>
      <c r="B103" s="4" t="s">
        <v>195</v>
      </c>
      <c r="C103" s="18" t="s">
        <v>196</v>
      </c>
      <c r="D103" s="301"/>
      <c r="E103" s="301"/>
      <c r="F103" s="1">
        <v>100</v>
      </c>
      <c r="G103" s="1">
        <v>100</v>
      </c>
      <c r="H103" s="5">
        <v>15000</v>
      </c>
      <c r="I103" s="96">
        <f t="shared" si="2"/>
        <v>11250</v>
      </c>
    </row>
    <row r="104" spans="1:9" ht="18.75" customHeight="1" x14ac:dyDescent="0.35">
      <c r="A104" s="6">
        <v>47</v>
      </c>
      <c r="B104" s="6" t="s">
        <v>197</v>
      </c>
      <c r="C104" s="14" t="s">
        <v>198</v>
      </c>
      <c r="D104" s="301">
        <v>5</v>
      </c>
      <c r="E104" s="301">
        <v>3.75</v>
      </c>
      <c r="F104" s="1">
        <v>80</v>
      </c>
      <c r="G104" s="1">
        <v>65</v>
      </c>
      <c r="H104" s="5">
        <v>24600</v>
      </c>
      <c r="I104" s="96">
        <f t="shared" si="2"/>
        <v>18450</v>
      </c>
    </row>
    <row r="105" spans="1:9" ht="18.75" customHeight="1" x14ac:dyDescent="0.35">
      <c r="A105" s="4">
        <v>48</v>
      </c>
      <c r="B105" s="4"/>
      <c r="C105" s="20" t="s">
        <v>199</v>
      </c>
      <c r="D105" s="301"/>
      <c r="E105" s="301"/>
      <c r="F105" s="1">
        <v>80</v>
      </c>
      <c r="G105" s="1">
        <v>65</v>
      </c>
      <c r="H105" s="5">
        <v>26000</v>
      </c>
      <c r="I105" s="96">
        <f t="shared" si="2"/>
        <v>19500</v>
      </c>
    </row>
    <row r="106" spans="1:9" ht="18.75" customHeight="1" x14ac:dyDescent="0.35">
      <c r="A106" s="6">
        <v>49</v>
      </c>
      <c r="B106" s="6" t="s">
        <v>200</v>
      </c>
      <c r="C106" s="20" t="s">
        <v>201</v>
      </c>
      <c r="D106" s="301"/>
      <c r="E106" s="301"/>
      <c r="F106" s="1">
        <v>80</v>
      </c>
      <c r="G106" s="1">
        <v>65</v>
      </c>
      <c r="H106" s="5">
        <v>23600</v>
      </c>
      <c r="I106" s="96">
        <f t="shared" si="2"/>
        <v>17700</v>
      </c>
    </row>
    <row r="107" spans="1:9" ht="18.75" customHeight="1" x14ac:dyDescent="0.35">
      <c r="A107" s="6">
        <v>50</v>
      </c>
      <c r="B107" s="4" t="s">
        <v>202</v>
      </c>
      <c r="C107" s="18" t="s">
        <v>203</v>
      </c>
      <c r="D107" s="7">
        <v>0.75</v>
      </c>
      <c r="E107" s="7">
        <v>0.56000000000000005</v>
      </c>
      <c r="F107" s="2">
        <v>25</v>
      </c>
      <c r="G107" s="2">
        <v>25</v>
      </c>
      <c r="H107" s="5">
        <v>5170</v>
      </c>
      <c r="I107" s="96">
        <f t="shared" si="2"/>
        <v>3877.5</v>
      </c>
    </row>
    <row r="108" spans="1:9" ht="18.75" customHeight="1" x14ac:dyDescent="0.35">
      <c r="A108" s="4">
        <v>51</v>
      </c>
      <c r="B108" s="4" t="s">
        <v>204</v>
      </c>
      <c r="C108" s="18" t="s">
        <v>205</v>
      </c>
      <c r="D108" s="301">
        <v>1</v>
      </c>
      <c r="E108" s="301">
        <v>0.75</v>
      </c>
      <c r="F108" s="1">
        <v>40</v>
      </c>
      <c r="G108" s="1">
        <v>40</v>
      </c>
      <c r="H108" s="5">
        <v>9000</v>
      </c>
      <c r="I108" s="96">
        <f t="shared" si="2"/>
        <v>6750</v>
      </c>
    </row>
    <row r="109" spans="1:9" ht="18.75" customHeight="1" x14ac:dyDescent="0.35">
      <c r="A109" s="6">
        <v>52</v>
      </c>
      <c r="B109" s="4"/>
      <c r="C109" s="18" t="s">
        <v>206</v>
      </c>
      <c r="D109" s="301"/>
      <c r="E109" s="301"/>
      <c r="F109" s="1">
        <v>40</v>
      </c>
      <c r="G109" s="1">
        <v>40</v>
      </c>
      <c r="H109" s="5">
        <v>9000</v>
      </c>
      <c r="I109" s="96">
        <f t="shared" si="2"/>
        <v>6750</v>
      </c>
    </row>
    <row r="110" spans="1:9" ht="18.75" customHeight="1" x14ac:dyDescent="0.35">
      <c r="A110" s="6">
        <v>53</v>
      </c>
      <c r="B110" s="4"/>
      <c r="C110" s="20" t="s">
        <v>207</v>
      </c>
      <c r="D110" s="301">
        <v>2</v>
      </c>
      <c r="E110" s="301">
        <v>1.5</v>
      </c>
      <c r="F110" s="1">
        <v>75</v>
      </c>
      <c r="G110" s="1">
        <v>75</v>
      </c>
      <c r="H110" s="5">
        <v>12500</v>
      </c>
      <c r="I110" s="96">
        <f t="shared" si="2"/>
        <v>9375</v>
      </c>
    </row>
    <row r="111" spans="1:9" ht="18.75" customHeight="1" x14ac:dyDescent="0.35">
      <c r="A111" s="4">
        <v>54</v>
      </c>
      <c r="B111" s="4" t="s">
        <v>208</v>
      </c>
      <c r="C111" s="20" t="s">
        <v>209</v>
      </c>
      <c r="D111" s="301"/>
      <c r="E111" s="301"/>
      <c r="F111" s="1">
        <v>75</v>
      </c>
      <c r="G111" s="1">
        <v>75</v>
      </c>
      <c r="H111" s="5">
        <v>12500</v>
      </c>
      <c r="I111" s="96">
        <f t="shared" si="2"/>
        <v>9375</v>
      </c>
    </row>
    <row r="112" spans="1:9" ht="18.75" customHeight="1" x14ac:dyDescent="0.35">
      <c r="A112" s="6">
        <v>55</v>
      </c>
      <c r="B112" s="4" t="s">
        <v>210</v>
      </c>
      <c r="C112" s="20" t="s">
        <v>211</v>
      </c>
      <c r="D112" s="301"/>
      <c r="E112" s="301"/>
      <c r="F112" s="1">
        <v>65</v>
      </c>
      <c r="G112" s="1">
        <v>50</v>
      </c>
      <c r="H112" s="5">
        <v>12200</v>
      </c>
      <c r="I112" s="96">
        <f t="shared" si="2"/>
        <v>9150</v>
      </c>
    </row>
    <row r="113" spans="1:9" ht="18.75" customHeight="1" x14ac:dyDescent="0.35">
      <c r="A113" s="6">
        <v>56</v>
      </c>
      <c r="B113" s="4" t="s">
        <v>212</v>
      </c>
      <c r="C113" s="20" t="s">
        <v>213</v>
      </c>
      <c r="D113" s="301"/>
      <c r="E113" s="301"/>
      <c r="F113" s="1">
        <v>50</v>
      </c>
      <c r="G113" s="1">
        <v>50</v>
      </c>
      <c r="H113" s="5">
        <v>12200</v>
      </c>
      <c r="I113" s="96">
        <f>H113*0.75</f>
        <v>9150</v>
      </c>
    </row>
    <row r="114" spans="1:9" ht="18.75" customHeight="1" x14ac:dyDescent="0.35">
      <c r="A114" s="300" t="s">
        <v>214</v>
      </c>
      <c r="B114" s="300"/>
      <c r="C114" s="300"/>
      <c r="D114" s="300"/>
      <c r="E114" s="300"/>
      <c r="F114" s="300"/>
      <c r="G114" s="300"/>
      <c r="H114" s="305" t="s">
        <v>109</v>
      </c>
      <c r="I114" s="315" t="s">
        <v>510</v>
      </c>
    </row>
    <row r="115" spans="1:9" ht="18.75" customHeight="1" x14ac:dyDescent="0.35">
      <c r="A115" s="287" t="s">
        <v>2</v>
      </c>
      <c r="B115" s="287" t="s">
        <v>3</v>
      </c>
      <c r="C115" s="298" t="s">
        <v>4</v>
      </c>
      <c r="D115" s="287" t="s">
        <v>5</v>
      </c>
      <c r="E115" s="287"/>
      <c r="F115" s="287" t="s">
        <v>6</v>
      </c>
      <c r="G115" s="287"/>
      <c r="H115" s="305"/>
      <c r="I115" s="315"/>
    </row>
    <row r="116" spans="1:9" ht="18.75" customHeight="1" x14ac:dyDescent="0.35">
      <c r="A116" s="287"/>
      <c r="B116" s="287"/>
      <c r="C116" s="298"/>
      <c r="D116" s="11" t="s">
        <v>9</v>
      </c>
      <c r="E116" s="11" t="s">
        <v>10</v>
      </c>
      <c r="F116" s="11" t="s">
        <v>11</v>
      </c>
      <c r="G116" s="11" t="s">
        <v>12</v>
      </c>
      <c r="H116" s="305"/>
      <c r="I116" s="315"/>
    </row>
    <row r="117" spans="1:9" ht="18.75" customHeight="1" x14ac:dyDescent="0.35">
      <c r="A117" s="4">
        <v>1</v>
      </c>
      <c r="B117" s="4" t="s">
        <v>215</v>
      </c>
      <c r="C117" s="12" t="s">
        <v>216</v>
      </c>
      <c r="D117" s="2">
        <v>0.5</v>
      </c>
      <c r="E117" s="2">
        <v>0.37</v>
      </c>
      <c r="F117" s="2">
        <v>25</v>
      </c>
      <c r="G117" s="2">
        <v>25</v>
      </c>
      <c r="H117" s="13">
        <v>5370</v>
      </c>
      <c r="I117" s="96">
        <f>H117*0.63</f>
        <v>3383.1</v>
      </c>
    </row>
    <row r="118" spans="1:9" ht="18.75" customHeight="1" x14ac:dyDescent="0.35">
      <c r="A118" s="4">
        <v>2</v>
      </c>
      <c r="B118" s="4" t="s">
        <v>217</v>
      </c>
      <c r="C118" s="12" t="s">
        <v>218</v>
      </c>
      <c r="D118" s="2">
        <v>1</v>
      </c>
      <c r="E118" s="2">
        <v>0.75</v>
      </c>
      <c r="F118" s="2">
        <v>25</v>
      </c>
      <c r="G118" s="2">
        <v>25</v>
      </c>
      <c r="H118" s="13">
        <v>7070</v>
      </c>
      <c r="I118" s="96">
        <f>H118*0.63</f>
        <v>4454.1000000000004</v>
      </c>
    </row>
    <row r="119" spans="1:9" ht="18.75" customHeight="1" x14ac:dyDescent="0.35">
      <c r="A119" s="4">
        <v>3</v>
      </c>
      <c r="B119" s="21" t="s">
        <v>219</v>
      </c>
      <c r="C119" s="22" t="s">
        <v>220</v>
      </c>
      <c r="D119" s="23">
        <v>2</v>
      </c>
      <c r="E119" s="4">
        <v>1.5</v>
      </c>
      <c r="F119" s="4">
        <v>50</v>
      </c>
      <c r="G119" s="4">
        <v>50</v>
      </c>
      <c r="H119" s="4">
        <v>12200</v>
      </c>
      <c r="I119" s="96">
        <f>H119*0.75</f>
        <v>9150</v>
      </c>
    </row>
    <row r="120" spans="1:9" ht="18.75" customHeight="1" x14ac:dyDescent="0.35">
      <c r="A120" s="4">
        <v>4</v>
      </c>
      <c r="B120" s="21" t="s">
        <v>221</v>
      </c>
      <c r="C120" s="22" t="s">
        <v>222</v>
      </c>
      <c r="D120" s="23">
        <v>2</v>
      </c>
      <c r="E120" s="4">
        <v>1.5</v>
      </c>
      <c r="F120" s="4">
        <v>50</v>
      </c>
      <c r="G120" s="4">
        <v>50</v>
      </c>
      <c r="H120" s="4">
        <v>12200</v>
      </c>
      <c r="I120" s="96">
        <f t="shared" ref="I120:I128" si="3">H120*0.75</f>
        <v>9150</v>
      </c>
    </row>
    <row r="121" spans="1:9" ht="18.75" customHeight="1" x14ac:dyDescent="0.35">
      <c r="A121" s="4">
        <v>5</v>
      </c>
      <c r="B121" s="21" t="s">
        <v>223</v>
      </c>
      <c r="C121" s="22" t="s">
        <v>224</v>
      </c>
      <c r="D121" s="23">
        <v>2</v>
      </c>
      <c r="E121" s="4">
        <v>1.5</v>
      </c>
      <c r="F121" s="4">
        <v>65</v>
      </c>
      <c r="G121" s="4">
        <v>50</v>
      </c>
      <c r="H121" s="4">
        <v>12300</v>
      </c>
      <c r="I121" s="96">
        <f t="shared" si="3"/>
        <v>9225</v>
      </c>
    </row>
    <row r="122" spans="1:9" ht="18.75" customHeight="1" x14ac:dyDescent="0.35">
      <c r="A122" s="4">
        <v>6</v>
      </c>
      <c r="B122" s="21" t="s">
        <v>225</v>
      </c>
      <c r="C122" s="22" t="s">
        <v>226</v>
      </c>
      <c r="D122" s="23">
        <v>2</v>
      </c>
      <c r="E122" s="4">
        <v>1.5</v>
      </c>
      <c r="F122" s="4">
        <v>65</v>
      </c>
      <c r="G122" s="4">
        <v>50</v>
      </c>
      <c r="H122" s="4">
        <v>12300</v>
      </c>
      <c r="I122" s="96">
        <f t="shared" si="3"/>
        <v>9225</v>
      </c>
    </row>
    <row r="123" spans="1:9" ht="18.75" customHeight="1" x14ac:dyDescent="0.35">
      <c r="A123" s="4">
        <v>7</v>
      </c>
      <c r="B123" s="21" t="s">
        <v>227</v>
      </c>
      <c r="C123" s="22" t="s">
        <v>228</v>
      </c>
      <c r="D123" s="21">
        <v>3</v>
      </c>
      <c r="E123" s="4">
        <v>2.25</v>
      </c>
      <c r="F123" s="4">
        <v>65</v>
      </c>
      <c r="G123" s="4">
        <v>50</v>
      </c>
      <c r="H123" s="4">
        <v>12900</v>
      </c>
      <c r="I123" s="96">
        <f t="shared" si="3"/>
        <v>9675</v>
      </c>
    </row>
    <row r="124" spans="1:9" ht="18.75" customHeight="1" x14ac:dyDescent="0.35">
      <c r="A124" s="4">
        <v>8</v>
      </c>
      <c r="B124" s="21" t="s">
        <v>229</v>
      </c>
      <c r="C124" s="24" t="s">
        <v>230</v>
      </c>
      <c r="D124" s="21">
        <v>3</v>
      </c>
      <c r="E124" s="4">
        <v>2.25</v>
      </c>
      <c r="F124" s="4">
        <v>65</v>
      </c>
      <c r="G124" s="4">
        <v>50</v>
      </c>
      <c r="H124" s="4">
        <v>13000</v>
      </c>
      <c r="I124" s="96">
        <f t="shared" si="3"/>
        <v>9750</v>
      </c>
    </row>
    <row r="125" spans="1:9" ht="18.75" customHeight="1" x14ac:dyDescent="0.35">
      <c r="A125" s="4">
        <v>9</v>
      </c>
      <c r="B125" s="21" t="s">
        <v>231</v>
      </c>
      <c r="C125" s="24" t="s">
        <v>232</v>
      </c>
      <c r="D125" s="21">
        <v>3</v>
      </c>
      <c r="E125" s="4">
        <v>2.25</v>
      </c>
      <c r="F125" s="4">
        <v>65</v>
      </c>
      <c r="G125" s="4">
        <v>50</v>
      </c>
      <c r="H125" s="4">
        <v>12900</v>
      </c>
      <c r="I125" s="96">
        <f t="shared" si="3"/>
        <v>9675</v>
      </c>
    </row>
    <row r="126" spans="1:9" ht="18.75" customHeight="1" x14ac:dyDescent="0.35">
      <c r="A126" s="4">
        <v>10</v>
      </c>
      <c r="B126" s="21" t="s">
        <v>233</v>
      </c>
      <c r="C126" s="24" t="s">
        <v>234</v>
      </c>
      <c r="D126" s="21">
        <v>3</v>
      </c>
      <c r="E126" s="4">
        <v>2.25</v>
      </c>
      <c r="F126" s="4">
        <v>65</v>
      </c>
      <c r="G126" s="4">
        <v>50</v>
      </c>
      <c r="H126" s="4">
        <v>19300</v>
      </c>
      <c r="I126" s="96">
        <f t="shared" si="3"/>
        <v>14475</v>
      </c>
    </row>
    <row r="127" spans="1:9" ht="18.75" customHeight="1" x14ac:dyDescent="0.35">
      <c r="A127" s="4">
        <v>11</v>
      </c>
      <c r="B127" s="21" t="s">
        <v>235</v>
      </c>
      <c r="C127" s="24" t="s">
        <v>236</v>
      </c>
      <c r="D127" s="21">
        <v>5</v>
      </c>
      <c r="E127" s="1">
        <v>3.75</v>
      </c>
      <c r="F127" s="4">
        <v>65</v>
      </c>
      <c r="G127" s="4">
        <v>50</v>
      </c>
      <c r="H127" s="4">
        <v>18700</v>
      </c>
      <c r="I127" s="96">
        <f t="shared" si="3"/>
        <v>14025</v>
      </c>
    </row>
    <row r="128" spans="1:9" ht="18.75" customHeight="1" x14ac:dyDescent="0.35">
      <c r="A128" s="4">
        <v>12</v>
      </c>
      <c r="B128" s="21" t="s">
        <v>237</v>
      </c>
      <c r="C128" s="24" t="s">
        <v>238</v>
      </c>
      <c r="D128" s="21">
        <v>5</v>
      </c>
      <c r="E128" s="1">
        <v>3.75</v>
      </c>
      <c r="F128" s="4">
        <v>65</v>
      </c>
      <c r="G128" s="4">
        <v>50</v>
      </c>
      <c r="H128" s="4">
        <v>22900</v>
      </c>
      <c r="I128" s="96">
        <f t="shared" si="3"/>
        <v>17175</v>
      </c>
    </row>
    <row r="129" spans="1:9" ht="18.75" customHeight="1" x14ac:dyDescent="0.35">
      <c r="A129" s="300" t="s">
        <v>239</v>
      </c>
      <c r="B129" s="300"/>
      <c r="C129" s="300"/>
      <c r="D129" s="300"/>
      <c r="E129" s="300"/>
      <c r="F129" s="300"/>
      <c r="G129" s="300"/>
      <c r="H129" s="305" t="s">
        <v>109</v>
      </c>
      <c r="I129" s="315" t="s">
        <v>510</v>
      </c>
    </row>
    <row r="130" spans="1:9" ht="18.75" customHeight="1" x14ac:dyDescent="0.35">
      <c r="A130" s="287" t="s">
        <v>2</v>
      </c>
      <c r="B130" s="287" t="s">
        <v>3</v>
      </c>
      <c r="C130" s="298" t="s">
        <v>4</v>
      </c>
      <c r="D130" s="287" t="s">
        <v>5</v>
      </c>
      <c r="E130" s="287"/>
      <c r="F130" s="287" t="s">
        <v>6</v>
      </c>
      <c r="G130" s="287"/>
      <c r="H130" s="305"/>
      <c r="I130" s="315"/>
    </row>
    <row r="131" spans="1:9" ht="18.75" customHeight="1" x14ac:dyDescent="0.35">
      <c r="A131" s="287"/>
      <c r="B131" s="287"/>
      <c r="C131" s="298"/>
      <c r="D131" s="11" t="s">
        <v>9</v>
      </c>
      <c r="E131" s="11" t="s">
        <v>10</v>
      </c>
      <c r="F131" s="287"/>
      <c r="G131" s="287"/>
      <c r="H131" s="305"/>
      <c r="I131" s="315"/>
    </row>
    <row r="132" spans="1:9" ht="18.75" customHeight="1" x14ac:dyDescent="0.35">
      <c r="A132" s="4">
        <v>1</v>
      </c>
      <c r="B132" s="4" t="s">
        <v>240</v>
      </c>
      <c r="C132" s="25" t="s">
        <v>241</v>
      </c>
      <c r="D132" s="4">
        <v>0.5</v>
      </c>
      <c r="E132" s="4"/>
      <c r="F132" s="292">
        <v>32</v>
      </c>
      <c r="G132" s="292"/>
      <c r="H132" s="4">
        <v>8240</v>
      </c>
      <c r="I132" s="96">
        <f t="shared" ref="I132:I154" si="4">H132*0.75</f>
        <v>6180</v>
      </c>
    </row>
    <row r="133" spans="1:9" ht="18.75" customHeight="1" x14ac:dyDescent="0.35">
      <c r="A133" s="4">
        <v>2</v>
      </c>
      <c r="B133" s="4" t="s">
        <v>242</v>
      </c>
      <c r="C133" s="25" t="s">
        <v>243</v>
      </c>
      <c r="D133" s="4">
        <v>0.5</v>
      </c>
      <c r="E133" s="4"/>
      <c r="F133" s="292">
        <v>32</v>
      </c>
      <c r="G133" s="292"/>
      <c r="H133" s="4">
        <v>8450</v>
      </c>
      <c r="I133" s="96">
        <f t="shared" si="4"/>
        <v>6337.5</v>
      </c>
    </row>
    <row r="134" spans="1:9" ht="18.75" customHeight="1" x14ac:dyDescent="0.35">
      <c r="A134" s="4">
        <v>3</v>
      </c>
      <c r="B134" s="4" t="s">
        <v>244</v>
      </c>
      <c r="C134" s="25" t="s">
        <v>245</v>
      </c>
      <c r="D134" s="4">
        <v>0.75</v>
      </c>
      <c r="E134" s="4"/>
      <c r="F134" s="292">
        <v>32</v>
      </c>
      <c r="G134" s="292"/>
      <c r="H134" s="4">
        <v>8550</v>
      </c>
      <c r="I134" s="96">
        <f t="shared" si="4"/>
        <v>6412.5</v>
      </c>
    </row>
    <row r="135" spans="1:9" ht="18.75" customHeight="1" x14ac:dyDescent="0.35">
      <c r="A135" s="4">
        <v>4</v>
      </c>
      <c r="B135" s="4" t="s">
        <v>246</v>
      </c>
      <c r="C135" s="25" t="s">
        <v>247</v>
      </c>
      <c r="D135" s="4">
        <v>0.75</v>
      </c>
      <c r="E135" s="4"/>
      <c r="F135" s="292">
        <v>32</v>
      </c>
      <c r="G135" s="292"/>
      <c r="H135" s="4">
        <v>8750</v>
      </c>
      <c r="I135" s="96">
        <f t="shared" si="4"/>
        <v>6562.5</v>
      </c>
    </row>
    <row r="136" spans="1:9" ht="18.75" customHeight="1" x14ac:dyDescent="0.35">
      <c r="A136" s="4">
        <v>5</v>
      </c>
      <c r="B136" s="4" t="s">
        <v>248</v>
      </c>
      <c r="C136" s="25" t="s">
        <v>249</v>
      </c>
      <c r="D136" s="4">
        <v>1</v>
      </c>
      <c r="E136" s="4"/>
      <c r="F136" s="292">
        <v>32</v>
      </c>
      <c r="G136" s="292"/>
      <c r="H136" s="26">
        <v>8800</v>
      </c>
      <c r="I136" s="96">
        <f t="shared" si="4"/>
        <v>6600</v>
      </c>
    </row>
    <row r="137" spans="1:9" ht="18.75" customHeight="1" x14ac:dyDescent="0.35">
      <c r="A137" s="4">
        <v>6</v>
      </c>
      <c r="B137" s="4" t="s">
        <v>250</v>
      </c>
      <c r="C137" s="25" t="s">
        <v>251</v>
      </c>
      <c r="D137" s="4">
        <v>1</v>
      </c>
      <c r="E137" s="4"/>
      <c r="F137" s="292">
        <v>32</v>
      </c>
      <c r="G137" s="292"/>
      <c r="H137" s="26">
        <v>9000</v>
      </c>
      <c r="I137" s="96">
        <f t="shared" si="4"/>
        <v>6750</v>
      </c>
    </row>
    <row r="138" spans="1:9" ht="18.75" customHeight="1" x14ac:dyDescent="0.35">
      <c r="A138" s="4">
        <v>7</v>
      </c>
      <c r="B138" s="4" t="s">
        <v>252</v>
      </c>
      <c r="C138" s="25" t="s">
        <v>253</v>
      </c>
      <c r="D138" s="4">
        <v>1</v>
      </c>
      <c r="E138" s="4"/>
      <c r="F138" s="292">
        <v>32</v>
      </c>
      <c r="G138" s="292"/>
      <c r="H138" s="4">
        <v>9480</v>
      </c>
      <c r="I138" s="96">
        <f t="shared" si="4"/>
        <v>7110</v>
      </c>
    </row>
    <row r="139" spans="1:9" ht="18.75" customHeight="1" x14ac:dyDescent="0.35">
      <c r="A139" s="4">
        <v>8</v>
      </c>
      <c r="B139" s="4" t="s">
        <v>254</v>
      </c>
      <c r="C139" s="25" t="s">
        <v>255</v>
      </c>
      <c r="D139" s="4">
        <v>1</v>
      </c>
      <c r="E139" s="4"/>
      <c r="F139" s="292">
        <v>32</v>
      </c>
      <c r="G139" s="292"/>
      <c r="H139" s="4">
        <v>9790</v>
      </c>
      <c r="I139" s="96">
        <f t="shared" si="4"/>
        <v>7342.5</v>
      </c>
    </row>
    <row r="140" spans="1:9" ht="18.75" customHeight="1" x14ac:dyDescent="0.35">
      <c r="A140" s="4">
        <v>9</v>
      </c>
      <c r="B140" s="4" t="s">
        <v>256</v>
      </c>
      <c r="C140" s="25" t="s">
        <v>257</v>
      </c>
      <c r="D140" s="4">
        <v>1.5</v>
      </c>
      <c r="E140" s="4"/>
      <c r="F140" s="292">
        <v>32</v>
      </c>
      <c r="G140" s="292"/>
      <c r="H140" s="4">
        <v>11330</v>
      </c>
      <c r="I140" s="96">
        <f t="shared" si="4"/>
        <v>8497.5</v>
      </c>
    </row>
    <row r="141" spans="1:9" ht="18.75" customHeight="1" x14ac:dyDescent="0.35">
      <c r="A141" s="4">
        <v>10</v>
      </c>
      <c r="B141" s="4" t="s">
        <v>258</v>
      </c>
      <c r="C141" s="25" t="s">
        <v>259</v>
      </c>
      <c r="D141" s="4">
        <v>1.5</v>
      </c>
      <c r="E141" s="4"/>
      <c r="F141" s="292">
        <v>32</v>
      </c>
      <c r="G141" s="292"/>
      <c r="H141" s="4">
        <v>11640</v>
      </c>
      <c r="I141" s="96">
        <f t="shared" si="4"/>
        <v>8730</v>
      </c>
    </row>
    <row r="142" spans="1:9" ht="18.75" customHeight="1" x14ac:dyDescent="0.35">
      <c r="A142" s="4">
        <v>11</v>
      </c>
      <c r="B142" s="4" t="s">
        <v>260</v>
      </c>
      <c r="C142" s="25" t="s">
        <v>261</v>
      </c>
      <c r="D142" s="4">
        <v>1.5</v>
      </c>
      <c r="E142" s="4"/>
      <c r="F142" s="292">
        <v>32</v>
      </c>
      <c r="G142" s="292"/>
      <c r="H142" s="4">
        <v>11800</v>
      </c>
      <c r="I142" s="96">
        <f t="shared" si="4"/>
        <v>8850</v>
      </c>
    </row>
    <row r="143" spans="1:9" ht="18.75" customHeight="1" x14ac:dyDescent="0.35">
      <c r="A143" s="4">
        <v>12</v>
      </c>
      <c r="B143" s="4" t="s">
        <v>262</v>
      </c>
      <c r="C143" s="25" t="s">
        <v>263</v>
      </c>
      <c r="D143" s="4">
        <v>1.5</v>
      </c>
      <c r="E143" s="4"/>
      <c r="F143" s="292">
        <v>32</v>
      </c>
      <c r="G143" s="292"/>
      <c r="H143" s="4">
        <v>12670</v>
      </c>
      <c r="I143" s="96">
        <f t="shared" si="4"/>
        <v>9502.5</v>
      </c>
    </row>
    <row r="144" spans="1:9" ht="18.75" customHeight="1" x14ac:dyDescent="0.35">
      <c r="A144" s="4">
        <v>13</v>
      </c>
      <c r="B144" s="4" t="s">
        <v>264</v>
      </c>
      <c r="C144" s="25" t="s">
        <v>265</v>
      </c>
      <c r="D144" s="4">
        <v>2</v>
      </c>
      <c r="E144" s="4"/>
      <c r="F144" s="292">
        <v>40</v>
      </c>
      <c r="G144" s="292"/>
      <c r="H144" s="4">
        <v>14730</v>
      </c>
      <c r="I144" s="96">
        <f t="shared" si="4"/>
        <v>11047.5</v>
      </c>
    </row>
    <row r="145" spans="1:9" ht="18.75" customHeight="1" x14ac:dyDescent="0.35">
      <c r="A145" s="4">
        <v>14</v>
      </c>
      <c r="B145" s="4" t="s">
        <v>266</v>
      </c>
      <c r="C145" s="25" t="s">
        <v>267</v>
      </c>
      <c r="D145" s="4">
        <v>2</v>
      </c>
      <c r="E145" s="4"/>
      <c r="F145" s="292">
        <v>32</v>
      </c>
      <c r="G145" s="292"/>
      <c r="H145" s="4">
        <v>15250</v>
      </c>
      <c r="I145" s="96">
        <f t="shared" si="4"/>
        <v>11437.5</v>
      </c>
    </row>
    <row r="146" spans="1:9" ht="18.75" customHeight="1" x14ac:dyDescent="0.35">
      <c r="A146" s="4">
        <v>15</v>
      </c>
      <c r="B146" s="4" t="s">
        <v>268</v>
      </c>
      <c r="C146" s="25" t="s">
        <v>269</v>
      </c>
      <c r="D146" s="4">
        <v>2</v>
      </c>
      <c r="E146" s="4"/>
      <c r="F146" s="292">
        <v>32</v>
      </c>
      <c r="G146" s="292"/>
      <c r="H146" s="4">
        <v>15860</v>
      </c>
      <c r="I146" s="96">
        <f t="shared" si="4"/>
        <v>11895</v>
      </c>
    </row>
    <row r="147" spans="1:9" ht="18.75" customHeight="1" x14ac:dyDescent="0.35">
      <c r="A147" s="4">
        <v>16</v>
      </c>
      <c r="B147" s="4" t="s">
        <v>270</v>
      </c>
      <c r="C147" s="25" t="s">
        <v>271</v>
      </c>
      <c r="D147" s="4">
        <v>2</v>
      </c>
      <c r="E147" s="4"/>
      <c r="F147" s="292">
        <v>32</v>
      </c>
      <c r="G147" s="292"/>
      <c r="H147" s="4">
        <v>15970</v>
      </c>
      <c r="I147" s="96">
        <f t="shared" si="4"/>
        <v>11977.5</v>
      </c>
    </row>
    <row r="148" spans="1:9" ht="18.75" customHeight="1" x14ac:dyDescent="0.35">
      <c r="A148" s="4">
        <v>17</v>
      </c>
      <c r="B148" s="4" t="s">
        <v>272</v>
      </c>
      <c r="C148" s="25" t="s">
        <v>273</v>
      </c>
      <c r="D148" s="4">
        <v>2</v>
      </c>
      <c r="E148" s="4"/>
      <c r="F148" s="292">
        <v>32</v>
      </c>
      <c r="G148" s="292"/>
      <c r="H148" s="4">
        <v>16480</v>
      </c>
      <c r="I148" s="96">
        <f t="shared" si="4"/>
        <v>12360</v>
      </c>
    </row>
    <row r="149" spans="1:9" ht="18.75" customHeight="1" x14ac:dyDescent="0.35">
      <c r="A149" s="4">
        <v>18</v>
      </c>
      <c r="B149" s="4" t="s">
        <v>274</v>
      </c>
      <c r="C149" s="25" t="s">
        <v>275</v>
      </c>
      <c r="D149" s="4">
        <v>2</v>
      </c>
      <c r="E149" s="4"/>
      <c r="F149" s="292">
        <v>65</v>
      </c>
      <c r="G149" s="292"/>
      <c r="H149" s="4">
        <v>14940</v>
      </c>
      <c r="I149" s="96">
        <f t="shared" si="4"/>
        <v>11205</v>
      </c>
    </row>
    <row r="150" spans="1:9" ht="18.75" customHeight="1" x14ac:dyDescent="0.35">
      <c r="A150" s="4">
        <v>19</v>
      </c>
      <c r="B150" s="4" t="s">
        <v>276</v>
      </c>
      <c r="C150" s="25" t="s">
        <v>277</v>
      </c>
      <c r="D150" s="4">
        <v>3</v>
      </c>
      <c r="E150" s="4"/>
      <c r="F150" s="292">
        <v>32</v>
      </c>
      <c r="G150" s="292"/>
      <c r="H150" s="4">
        <v>23500</v>
      </c>
      <c r="I150" s="96">
        <f t="shared" si="4"/>
        <v>17625</v>
      </c>
    </row>
    <row r="151" spans="1:9" ht="18.75" customHeight="1" x14ac:dyDescent="0.35">
      <c r="A151" s="4">
        <v>20</v>
      </c>
      <c r="B151" s="4" t="s">
        <v>278</v>
      </c>
      <c r="C151" s="25" t="s">
        <v>279</v>
      </c>
      <c r="D151" s="4">
        <v>3</v>
      </c>
      <c r="E151" s="4"/>
      <c r="F151" s="292">
        <v>32</v>
      </c>
      <c r="G151" s="292"/>
      <c r="H151" s="4">
        <v>24000</v>
      </c>
      <c r="I151" s="96">
        <f t="shared" si="4"/>
        <v>18000</v>
      </c>
    </row>
    <row r="152" spans="1:9" ht="18.75" customHeight="1" x14ac:dyDescent="0.35">
      <c r="A152" s="4">
        <v>21</v>
      </c>
      <c r="B152" s="4" t="s">
        <v>280</v>
      </c>
      <c r="C152" s="25" t="s">
        <v>281</v>
      </c>
      <c r="D152" s="4">
        <v>3</v>
      </c>
      <c r="E152" s="4"/>
      <c r="F152" s="292">
        <v>32</v>
      </c>
      <c r="G152" s="292"/>
      <c r="H152" s="4">
        <v>24500</v>
      </c>
      <c r="I152" s="96">
        <f t="shared" si="4"/>
        <v>18375</v>
      </c>
    </row>
    <row r="153" spans="1:9" ht="18.75" customHeight="1" x14ac:dyDescent="0.35">
      <c r="A153" s="4">
        <v>22</v>
      </c>
      <c r="B153" s="4" t="s">
        <v>282</v>
      </c>
      <c r="C153" s="25" t="s">
        <v>283</v>
      </c>
      <c r="D153" s="4">
        <v>3</v>
      </c>
      <c r="E153" s="4"/>
      <c r="F153" s="292">
        <v>65</v>
      </c>
      <c r="G153" s="292"/>
      <c r="H153" s="4">
        <v>23690</v>
      </c>
      <c r="I153" s="96">
        <f t="shared" si="4"/>
        <v>17767.5</v>
      </c>
    </row>
    <row r="154" spans="1:9" ht="18.75" customHeight="1" x14ac:dyDescent="0.35">
      <c r="A154" s="4">
        <v>23</v>
      </c>
      <c r="B154" s="4" t="s">
        <v>284</v>
      </c>
      <c r="C154" s="25" t="s">
        <v>283</v>
      </c>
      <c r="D154" s="4">
        <v>3</v>
      </c>
      <c r="E154" s="4"/>
      <c r="F154" s="292">
        <v>65</v>
      </c>
      <c r="G154" s="292"/>
      <c r="H154" s="4">
        <v>15450</v>
      </c>
      <c r="I154" s="96">
        <f t="shared" si="4"/>
        <v>11587.5</v>
      </c>
    </row>
    <row r="155" spans="1:9" ht="18.75" customHeight="1" x14ac:dyDescent="0.35">
      <c r="A155" s="300" t="s">
        <v>285</v>
      </c>
      <c r="B155" s="300"/>
      <c r="C155" s="300"/>
      <c r="D155" s="300"/>
      <c r="E155" s="300"/>
      <c r="F155" s="300"/>
      <c r="G155" s="300"/>
      <c r="H155" s="305" t="s">
        <v>109</v>
      </c>
      <c r="I155" s="315" t="s">
        <v>510</v>
      </c>
    </row>
    <row r="156" spans="1:9" ht="18.75" customHeight="1" x14ac:dyDescent="0.35">
      <c r="A156" s="287" t="s">
        <v>2</v>
      </c>
      <c r="B156" s="287" t="s">
        <v>3</v>
      </c>
      <c r="C156" s="298" t="s">
        <v>4</v>
      </c>
      <c r="D156" s="287" t="s">
        <v>5</v>
      </c>
      <c r="E156" s="287"/>
      <c r="F156" s="287" t="s">
        <v>6</v>
      </c>
      <c r="G156" s="287"/>
      <c r="H156" s="305"/>
      <c r="I156" s="315"/>
    </row>
    <row r="157" spans="1:9" ht="18.75" customHeight="1" x14ac:dyDescent="0.35">
      <c r="A157" s="287"/>
      <c r="B157" s="287"/>
      <c r="C157" s="298"/>
      <c r="D157" s="11" t="s">
        <v>9</v>
      </c>
      <c r="E157" s="11" t="s">
        <v>10</v>
      </c>
      <c r="F157" s="11" t="s">
        <v>11</v>
      </c>
      <c r="G157" s="11" t="s">
        <v>12</v>
      </c>
      <c r="H157" s="305"/>
      <c r="I157" s="315"/>
    </row>
    <row r="158" spans="1:9" ht="18.75" customHeight="1" x14ac:dyDescent="0.35">
      <c r="A158" s="4">
        <v>1</v>
      </c>
      <c r="B158" s="4" t="s">
        <v>286</v>
      </c>
      <c r="C158" s="25" t="s">
        <v>287</v>
      </c>
      <c r="D158" s="4">
        <v>0.5</v>
      </c>
      <c r="E158" s="4"/>
      <c r="F158" s="292">
        <v>32</v>
      </c>
      <c r="G158" s="292"/>
      <c r="H158" s="4">
        <v>6800</v>
      </c>
      <c r="I158" s="96">
        <f t="shared" ref="I158:I174" si="5">H158*0.75</f>
        <v>5100</v>
      </c>
    </row>
    <row r="159" spans="1:9" ht="18.75" customHeight="1" x14ac:dyDescent="0.35">
      <c r="A159" s="4">
        <v>2</v>
      </c>
      <c r="B159" s="4" t="s">
        <v>288</v>
      </c>
      <c r="C159" s="25" t="s">
        <v>289</v>
      </c>
      <c r="D159" s="4">
        <v>0.5</v>
      </c>
      <c r="E159" s="4"/>
      <c r="F159" s="292">
        <v>32</v>
      </c>
      <c r="G159" s="292"/>
      <c r="H159" s="4">
        <v>7600</v>
      </c>
      <c r="I159" s="96">
        <f t="shared" si="5"/>
        <v>5700</v>
      </c>
    </row>
    <row r="160" spans="1:9" ht="18.75" customHeight="1" x14ac:dyDescent="0.35">
      <c r="A160" s="4">
        <v>3</v>
      </c>
      <c r="B160" s="4" t="s">
        <v>290</v>
      </c>
      <c r="C160" s="25" t="s">
        <v>291</v>
      </c>
      <c r="D160" s="4">
        <v>0.75</v>
      </c>
      <c r="E160" s="4"/>
      <c r="F160" s="292">
        <v>32</v>
      </c>
      <c r="G160" s="292"/>
      <c r="H160" s="4">
        <v>7800</v>
      </c>
      <c r="I160" s="96">
        <f t="shared" si="5"/>
        <v>5850</v>
      </c>
    </row>
    <row r="161" spans="1:9" ht="18.75" customHeight="1" x14ac:dyDescent="0.35">
      <c r="A161" s="4">
        <v>4</v>
      </c>
      <c r="B161" s="4" t="s">
        <v>292</v>
      </c>
      <c r="C161" s="25" t="s">
        <v>293</v>
      </c>
      <c r="D161" s="4">
        <v>0.75</v>
      </c>
      <c r="E161" s="4"/>
      <c r="F161" s="292">
        <v>32</v>
      </c>
      <c r="G161" s="292"/>
      <c r="H161" s="4">
        <v>8000</v>
      </c>
      <c r="I161" s="96">
        <f t="shared" si="5"/>
        <v>6000</v>
      </c>
    </row>
    <row r="162" spans="1:9" ht="18.75" customHeight="1" x14ac:dyDescent="0.35">
      <c r="A162" s="4">
        <v>5</v>
      </c>
      <c r="B162" s="4" t="s">
        <v>294</v>
      </c>
      <c r="C162" s="25" t="s">
        <v>295</v>
      </c>
      <c r="D162" s="4">
        <v>1</v>
      </c>
      <c r="E162" s="4"/>
      <c r="F162" s="292">
        <v>32</v>
      </c>
      <c r="G162" s="292"/>
      <c r="H162" s="4">
        <v>8200</v>
      </c>
      <c r="I162" s="96">
        <f t="shared" si="5"/>
        <v>6150</v>
      </c>
    </row>
    <row r="163" spans="1:9" ht="18.75" customHeight="1" x14ac:dyDescent="0.35">
      <c r="A163" s="4">
        <v>6</v>
      </c>
      <c r="B163" s="4" t="s">
        <v>296</v>
      </c>
      <c r="C163" s="25" t="s">
        <v>297</v>
      </c>
      <c r="D163" s="4">
        <v>1</v>
      </c>
      <c r="E163" s="4"/>
      <c r="F163" s="292">
        <v>32</v>
      </c>
      <c r="G163" s="292"/>
      <c r="H163" s="4">
        <v>8400</v>
      </c>
      <c r="I163" s="96">
        <f t="shared" si="5"/>
        <v>6300</v>
      </c>
    </row>
    <row r="164" spans="1:9" ht="18.75" customHeight="1" x14ac:dyDescent="0.35">
      <c r="A164" s="4">
        <v>7</v>
      </c>
      <c r="B164" s="4" t="s">
        <v>298</v>
      </c>
      <c r="C164" s="25" t="s">
        <v>299</v>
      </c>
      <c r="D164" s="4">
        <v>1</v>
      </c>
      <c r="E164" s="4"/>
      <c r="F164" s="292">
        <v>32</v>
      </c>
      <c r="G164" s="292"/>
      <c r="H164" s="4">
        <v>8600</v>
      </c>
      <c r="I164" s="96">
        <f t="shared" si="5"/>
        <v>6450</v>
      </c>
    </row>
    <row r="165" spans="1:9" ht="18.75" customHeight="1" x14ac:dyDescent="0.35">
      <c r="A165" s="4">
        <v>8</v>
      </c>
      <c r="B165" s="4" t="s">
        <v>300</v>
      </c>
      <c r="C165" s="25" t="s">
        <v>301</v>
      </c>
      <c r="D165" s="4">
        <v>1.5</v>
      </c>
      <c r="E165" s="4"/>
      <c r="F165" s="292">
        <v>32</v>
      </c>
      <c r="G165" s="292"/>
      <c r="H165" s="4">
        <v>9000</v>
      </c>
      <c r="I165" s="96">
        <f t="shared" si="5"/>
        <v>6750</v>
      </c>
    </row>
    <row r="166" spans="1:9" ht="18.75" customHeight="1" x14ac:dyDescent="0.35">
      <c r="A166" s="4">
        <v>9</v>
      </c>
      <c r="B166" s="4" t="s">
        <v>302</v>
      </c>
      <c r="C166" s="25" t="s">
        <v>303</v>
      </c>
      <c r="D166" s="4">
        <v>1.5</v>
      </c>
      <c r="E166" s="4"/>
      <c r="F166" s="292">
        <v>32</v>
      </c>
      <c r="G166" s="292"/>
      <c r="H166" s="4">
        <v>10600</v>
      </c>
      <c r="I166" s="96">
        <f t="shared" si="5"/>
        <v>7950</v>
      </c>
    </row>
    <row r="167" spans="1:9" ht="18.75" customHeight="1" x14ac:dyDescent="0.35">
      <c r="A167" s="4">
        <v>10</v>
      </c>
      <c r="B167" s="4" t="s">
        <v>304</v>
      </c>
      <c r="C167" s="25" t="s">
        <v>305</v>
      </c>
      <c r="D167" s="4">
        <v>1.5</v>
      </c>
      <c r="E167" s="4"/>
      <c r="F167" s="292">
        <v>32</v>
      </c>
      <c r="G167" s="292"/>
      <c r="H167" s="4">
        <v>11000</v>
      </c>
      <c r="I167" s="96">
        <f t="shared" si="5"/>
        <v>8250</v>
      </c>
    </row>
    <row r="168" spans="1:9" ht="18.75" customHeight="1" x14ac:dyDescent="0.35">
      <c r="A168" s="4">
        <v>11</v>
      </c>
      <c r="B168" s="4" t="s">
        <v>306</v>
      </c>
      <c r="C168" s="25" t="s">
        <v>307</v>
      </c>
      <c r="D168" s="4">
        <v>2</v>
      </c>
      <c r="E168" s="4"/>
      <c r="F168" s="292">
        <v>32</v>
      </c>
      <c r="G168" s="292"/>
      <c r="H168" s="4">
        <v>13000</v>
      </c>
      <c r="I168" s="96">
        <f t="shared" si="5"/>
        <v>9750</v>
      </c>
    </row>
    <row r="169" spans="1:9" ht="18.75" customHeight="1" x14ac:dyDescent="0.35">
      <c r="A169" s="4">
        <v>12</v>
      </c>
      <c r="B169" s="4" t="s">
        <v>308</v>
      </c>
      <c r="C169" s="25" t="s">
        <v>309</v>
      </c>
      <c r="D169" s="4">
        <v>2</v>
      </c>
      <c r="E169" s="4"/>
      <c r="F169" s="292">
        <v>32</v>
      </c>
      <c r="G169" s="292"/>
      <c r="H169" s="4">
        <v>15500</v>
      </c>
      <c r="I169" s="96">
        <f t="shared" si="5"/>
        <v>11625</v>
      </c>
    </row>
    <row r="170" spans="1:9" ht="18.75" customHeight="1" x14ac:dyDescent="0.35">
      <c r="A170" s="4">
        <v>13</v>
      </c>
      <c r="B170" s="4" t="s">
        <v>310</v>
      </c>
      <c r="C170" s="25" t="s">
        <v>311</v>
      </c>
      <c r="D170" s="4">
        <v>3</v>
      </c>
      <c r="E170" s="4"/>
      <c r="F170" s="292">
        <v>32</v>
      </c>
      <c r="G170" s="292"/>
      <c r="H170" s="4">
        <v>19000</v>
      </c>
      <c r="I170" s="96">
        <f t="shared" si="5"/>
        <v>14250</v>
      </c>
    </row>
    <row r="171" spans="1:9" ht="18.75" customHeight="1" x14ac:dyDescent="0.35">
      <c r="A171" s="4">
        <v>14</v>
      </c>
      <c r="B171" s="4" t="s">
        <v>312</v>
      </c>
      <c r="C171" s="25" t="s">
        <v>313</v>
      </c>
      <c r="D171" s="4">
        <v>3</v>
      </c>
      <c r="E171" s="4"/>
      <c r="F171" s="292">
        <v>32</v>
      </c>
      <c r="G171" s="292"/>
      <c r="H171" s="107">
        <v>20000</v>
      </c>
      <c r="I171" s="96">
        <f t="shared" si="5"/>
        <v>15000</v>
      </c>
    </row>
    <row r="172" spans="1:9" ht="18.75" customHeight="1" x14ac:dyDescent="0.35">
      <c r="A172" s="4">
        <v>15</v>
      </c>
      <c r="B172" s="4" t="s">
        <v>314</v>
      </c>
      <c r="C172" s="25" t="s">
        <v>315</v>
      </c>
      <c r="D172" s="4">
        <v>3</v>
      </c>
      <c r="E172" s="4"/>
      <c r="F172" s="292">
        <v>32</v>
      </c>
      <c r="G172" s="292"/>
      <c r="H172" s="107">
        <v>20500</v>
      </c>
      <c r="I172" s="96">
        <f t="shared" si="5"/>
        <v>15375</v>
      </c>
    </row>
    <row r="173" spans="1:9" ht="18.75" customHeight="1" x14ac:dyDescent="0.35">
      <c r="A173" s="28">
        <v>14</v>
      </c>
      <c r="B173" s="28" t="s">
        <v>312</v>
      </c>
      <c r="C173" s="27" t="s">
        <v>313</v>
      </c>
      <c r="D173" s="28">
        <v>3</v>
      </c>
      <c r="E173" s="28"/>
      <c r="F173" s="291">
        <v>32</v>
      </c>
      <c r="G173" s="291"/>
      <c r="H173" s="29">
        <v>12600</v>
      </c>
      <c r="I173" s="96">
        <f t="shared" si="5"/>
        <v>9450</v>
      </c>
    </row>
    <row r="174" spans="1:9" ht="18.75" customHeight="1" x14ac:dyDescent="0.35">
      <c r="A174" s="28">
        <v>15</v>
      </c>
      <c r="B174" s="28" t="s">
        <v>314</v>
      </c>
      <c r="C174" s="27" t="s">
        <v>315</v>
      </c>
      <c r="D174" s="28">
        <v>3</v>
      </c>
      <c r="E174" s="28"/>
      <c r="F174" s="291">
        <v>32</v>
      </c>
      <c r="G174" s="291"/>
      <c r="H174" s="29">
        <v>12915</v>
      </c>
      <c r="I174" s="96">
        <f t="shared" si="5"/>
        <v>9686.25</v>
      </c>
    </row>
  </sheetData>
  <mergeCells count="97">
    <mergeCell ref="A1:I3"/>
    <mergeCell ref="A4:I4"/>
    <mergeCell ref="A5:A6"/>
    <mergeCell ref="B5:B6"/>
    <mergeCell ref="C5:C6"/>
    <mergeCell ref="D5:E5"/>
    <mergeCell ref="F5:G5"/>
    <mergeCell ref="H5:H6"/>
    <mergeCell ref="I5:I6"/>
    <mergeCell ref="A55:G55"/>
    <mergeCell ref="H55:H57"/>
    <mergeCell ref="I55:I57"/>
    <mergeCell ref="A56:A57"/>
    <mergeCell ref="B56:B57"/>
    <mergeCell ref="C56:C57"/>
    <mergeCell ref="D56:E56"/>
    <mergeCell ref="F56:G56"/>
    <mergeCell ref="D58:D59"/>
    <mergeCell ref="E58:E59"/>
    <mergeCell ref="D61:D66"/>
    <mergeCell ref="E61:E66"/>
    <mergeCell ref="D67:D73"/>
    <mergeCell ref="E67:E73"/>
    <mergeCell ref="D74:D91"/>
    <mergeCell ref="E74:E91"/>
    <mergeCell ref="D92:D103"/>
    <mergeCell ref="E92:E103"/>
    <mergeCell ref="D104:D106"/>
    <mergeCell ref="E104:E106"/>
    <mergeCell ref="D108:D109"/>
    <mergeCell ref="E108:E109"/>
    <mergeCell ref="D110:D113"/>
    <mergeCell ref="E110:E113"/>
    <mergeCell ref="A114:G114"/>
    <mergeCell ref="I114:I116"/>
    <mergeCell ref="A115:A116"/>
    <mergeCell ref="B115:B116"/>
    <mergeCell ref="C115:C116"/>
    <mergeCell ref="D115:E115"/>
    <mergeCell ref="F115:G115"/>
    <mergeCell ref="H114:H116"/>
    <mergeCell ref="F137:G137"/>
    <mergeCell ref="A129:G129"/>
    <mergeCell ref="H129:H131"/>
    <mergeCell ref="I129:I131"/>
    <mergeCell ref="A130:A131"/>
    <mergeCell ref="B130:B131"/>
    <mergeCell ref="C130:C131"/>
    <mergeCell ref="D130:E130"/>
    <mergeCell ref="F130:G131"/>
    <mergeCell ref="F132:G132"/>
    <mergeCell ref="F133:G133"/>
    <mergeCell ref="F134:G134"/>
    <mergeCell ref="F135:G135"/>
    <mergeCell ref="F136:G136"/>
    <mergeCell ref="F149:G149"/>
    <mergeCell ref="F138:G138"/>
    <mergeCell ref="F139:G139"/>
    <mergeCell ref="F140:G140"/>
    <mergeCell ref="F141:G141"/>
    <mergeCell ref="F142:G142"/>
    <mergeCell ref="F143:G143"/>
    <mergeCell ref="F144:G144"/>
    <mergeCell ref="F145:G145"/>
    <mergeCell ref="F146:G146"/>
    <mergeCell ref="F147:G147"/>
    <mergeCell ref="F148:G148"/>
    <mergeCell ref="F150:G150"/>
    <mergeCell ref="F151:G151"/>
    <mergeCell ref="F152:G152"/>
    <mergeCell ref="F153:G153"/>
    <mergeCell ref="F154:G154"/>
    <mergeCell ref="H155:H157"/>
    <mergeCell ref="I155:I157"/>
    <mergeCell ref="A156:A157"/>
    <mergeCell ref="B156:B157"/>
    <mergeCell ref="C156:C157"/>
    <mergeCell ref="D156:E156"/>
    <mergeCell ref="F156:G156"/>
    <mergeCell ref="A155:G155"/>
    <mergeCell ref="F169:G169"/>
    <mergeCell ref="F158:G158"/>
    <mergeCell ref="F159:G159"/>
    <mergeCell ref="F160:G160"/>
    <mergeCell ref="F161:G161"/>
    <mergeCell ref="F162:G162"/>
    <mergeCell ref="F163:G163"/>
    <mergeCell ref="F164:G164"/>
    <mergeCell ref="F165:G165"/>
    <mergeCell ref="F166:G166"/>
    <mergeCell ref="F167:G167"/>
    <mergeCell ref="F168:G168"/>
    <mergeCell ref="F170:G170"/>
    <mergeCell ref="F171:G171"/>
    <mergeCell ref="F172:G172"/>
    <mergeCell ref="F173:G173"/>
    <mergeCell ref="F174:G174"/>
  </mergeCells>
  <conditionalFormatting sqref="B7:B172">
    <cfRule type="duplicateValues" dxfId="30" priority="1"/>
  </conditionalFormatting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172"/>
  <sheetViews>
    <sheetView topLeftCell="A112" workbookViewId="0">
      <selection activeCell="I118" sqref="I118"/>
    </sheetView>
  </sheetViews>
  <sheetFormatPr defaultRowHeight="18" customHeight="1" x14ac:dyDescent="0.35"/>
  <cols>
    <col min="2" max="2" width="17.453125" customWidth="1"/>
    <col min="3" max="3" width="17.81640625" customWidth="1"/>
    <col min="4" max="8" width="9.1796875" customWidth="1"/>
  </cols>
  <sheetData>
    <row r="1" spans="1:9" ht="18" customHeight="1" x14ac:dyDescent="0.35">
      <c r="A1" s="318" t="s">
        <v>0</v>
      </c>
      <c r="B1" s="318"/>
      <c r="C1" s="318"/>
      <c r="D1" s="318"/>
      <c r="E1" s="318"/>
      <c r="F1" s="318"/>
      <c r="G1" s="318"/>
      <c r="H1" s="318"/>
      <c r="I1" s="318"/>
    </row>
    <row r="2" spans="1:9" ht="18" customHeight="1" x14ac:dyDescent="0.35">
      <c r="A2" s="318"/>
      <c r="B2" s="318"/>
      <c r="C2" s="318"/>
      <c r="D2" s="318"/>
      <c r="E2" s="318"/>
      <c r="F2" s="318"/>
      <c r="G2" s="318"/>
      <c r="H2" s="318"/>
      <c r="I2" s="318"/>
    </row>
    <row r="3" spans="1:9" ht="18" customHeight="1" x14ac:dyDescent="0.35">
      <c r="A3" s="318"/>
      <c r="B3" s="318"/>
      <c r="C3" s="318"/>
      <c r="D3" s="318"/>
      <c r="E3" s="318"/>
      <c r="F3" s="318"/>
      <c r="G3" s="318"/>
      <c r="H3" s="318"/>
      <c r="I3" s="318"/>
    </row>
    <row r="4" spans="1:9" ht="24" customHeight="1" x14ac:dyDescent="0.35">
      <c r="A4" s="319" t="s">
        <v>511</v>
      </c>
      <c r="B4" s="319"/>
      <c r="C4" s="319"/>
      <c r="D4" s="319"/>
      <c r="E4" s="319"/>
      <c r="F4" s="319"/>
      <c r="G4" s="319"/>
      <c r="H4" s="319"/>
      <c r="I4" s="319"/>
    </row>
    <row r="5" spans="1:9" ht="18" customHeight="1" x14ac:dyDescent="0.35">
      <c r="A5" s="287" t="s">
        <v>2</v>
      </c>
      <c r="B5" s="287" t="s">
        <v>3</v>
      </c>
      <c r="C5" s="287" t="s">
        <v>4</v>
      </c>
      <c r="D5" s="287" t="s">
        <v>5</v>
      </c>
      <c r="E5" s="287"/>
      <c r="F5" s="287" t="s">
        <v>6</v>
      </c>
      <c r="G5" s="287"/>
      <c r="H5" s="287" t="s">
        <v>7</v>
      </c>
      <c r="I5" s="315" t="s">
        <v>335</v>
      </c>
    </row>
    <row r="6" spans="1:9" ht="18" customHeight="1" x14ac:dyDescent="0.35">
      <c r="A6" s="287"/>
      <c r="B6" s="287"/>
      <c r="C6" s="287"/>
      <c r="D6" s="11" t="s">
        <v>9</v>
      </c>
      <c r="E6" s="11" t="s">
        <v>10</v>
      </c>
      <c r="F6" s="11" t="s">
        <v>11</v>
      </c>
      <c r="G6" s="11" t="s">
        <v>12</v>
      </c>
      <c r="H6" s="287"/>
      <c r="I6" s="315"/>
    </row>
    <row r="7" spans="1:9" ht="18" customHeight="1" x14ac:dyDescent="0.35">
      <c r="A7" s="6">
        <v>1</v>
      </c>
      <c r="B7" s="4" t="s">
        <v>13</v>
      </c>
      <c r="C7" s="12" t="s">
        <v>14</v>
      </c>
      <c r="D7" s="2">
        <v>0.5</v>
      </c>
      <c r="E7" s="2">
        <v>0.37</v>
      </c>
      <c r="F7" s="2">
        <v>25</v>
      </c>
      <c r="G7" s="2">
        <v>25</v>
      </c>
      <c r="H7" s="13">
        <v>2640</v>
      </c>
      <c r="I7" s="96">
        <f>H7*0.63</f>
        <v>1663.2</v>
      </c>
    </row>
    <row r="8" spans="1:9" ht="18" customHeight="1" x14ac:dyDescent="0.35">
      <c r="A8" s="6">
        <v>2</v>
      </c>
      <c r="B8" s="4" t="s">
        <v>15</v>
      </c>
      <c r="C8" s="12" t="s">
        <v>16</v>
      </c>
      <c r="D8" s="2">
        <v>1</v>
      </c>
      <c r="E8" s="2">
        <v>0.75</v>
      </c>
      <c r="F8" s="2">
        <v>25</v>
      </c>
      <c r="G8" s="2">
        <v>25</v>
      </c>
      <c r="H8" s="13">
        <v>3420</v>
      </c>
      <c r="I8" s="96">
        <f>H8*0.63</f>
        <v>2154.6</v>
      </c>
    </row>
    <row r="9" spans="1:9" ht="18" customHeight="1" x14ac:dyDescent="0.35">
      <c r="A9" s="4">
        <v>3</v>
      </c>
      <c r="B9" s="4" t="s">
        <v>17</v>
      </c>
      <c r="C9" s="12" t="s">
        <v>18</v>
      </c>
      <c r="D9" s="2">
        <v>0.5</v>
      </c>
      <c r="E9" s="2">
        <v>0.37</v>
      </c>
      <c r="F9" s="2">
        <v>25</v>
      </c>
      <c r="G9" s="2">
        <v>25</v>
      </c>
      <c r="H9" s="13">
        <v>2840</v>
      </c>
      <c r="I9" s="96">
        <f>H9*0.63</f>
        <v>1789.2</v>
      </c>
    </row>
    <row r="10" spans="1:9" ht="18" customHeight="1" x14ac:dyDescent="0.35">
      <c r="A10" s="6">
        <v>4</v>
      </c>
      <c r="B10" s="4" t="s">
        <v>19</v>
      </c>
      <c r="C10" s="12" t="s">
        <v>20</v>
      </c>
      <c r="D10" s="2">
        <v>1</v>
      </c>
      <c r="E10" s="2">
        <v>0.75</v>
      </c>
      <c r="F10" s="2">
        <v>25</v>
      </c>
      <c r="G10" s="2">
        <v>25</v>
      </c>
      <c r="H10" s="13">
        <v>3660</v>
      </c>
      <c r="I10" s="96">
        <f>H10*0.63</f>
        <v>2305.8000000000002</v>
      </c>
    </row>
    <row r="11" spans="1:9" ht="18" customHeight="1" x14ac:dyDescent="0.35">
      <c r="A11" s="6">
        <v>5</v>
      </c>
      <c r="B11" s="6" t="s">
        <v>21</v>
      </c>
      <c r="C11" s="14" t="s">
        <v>22</v>
      </c>
      <c r="D11" s="2">
        <v>0.5</v>
      </c>
      <c r="E11" s="2">
        <v>0.37</v>
      </c>
      <c r="F11" s="2">
        <v>25</v>
      </c>
      <c r="G11" s="2">
        <v>25</v>
      </c>
      <c r="H11" s="8">
        <v>3160</v>
      </c>
      <c r="I11" s="95">
        <f>H11*0.6</f>
        <v>1896</v>
      </c>
    </row>
    <row r="12" spans="1:9" ht="18" customHeight="1" x14ac:dyDescent="0.35">
      <c r="A12" s="6">
        <v>6</v>
      </c>
      <c r="B12" s="6" t="s">
        <v>23</v>
      </c>
      <c r="C12" s="14" t="s">
        <v>24</v>
      </c>
      <c r="D12" s="2">
        <v>1</v>
      </c>
      <c r="E12" s="2">
        <v>0.75</v>
      </c>
      <c r="F12" s="2">
        <v>25</v>
      </c>
      <c r="G12" s="2">
        <v>25</v>
      </c>
      <c r="H12" s="8">
        <v>4120</v>
      </c>
      <c r="I12" s="95">
        <f t="shared" ref="I12:I25" si="0">H12*0.6</f>
        <v>2472</v>
      </c>
    </row>
    <row r="13" spans="1:9" ht="18" customHeight="1" x14ac:dyDescent="0.35">
      <c r="A13" s="4">
        <v>7</v>
      </c>
      <c r="B13" s="4" t="s">
        <v>25</v>
      </c>
      <c r="C13" s="12" t="s">
        <v>26</v>
      </c>
      <c r="D13" s="2">
        <v>1.5</v>
      </c>
      <c r="E13" s="2">
        <v>1</v>
      </c>
      <c r="F13" s="2">
        <v>25</v>
      </c>
      <c r="G13" s="2">
        <v>25</v>
      </c>
      <c r="H13" s="8">
        <v>5750</v>
      </c>
      <c r="I13" s="95">
        <f t="shared" si="0"/>
        <v>3450</v>
      </c>
    </row>
    <row r="14" spans="1:9" ht="18" customHeight="1" x14ac:dyDescent="0.35">
      <c r="A14" s="6">
        <v>8</v>
      </c>
      <c r="B14" s="6" t="s">
        <v>27</v>
      </c>
      <c r="C14" s="14" t="s">
        <v>28</v>
      </c>
      <c r="D14" s="2">
        <v>0.5</v>
      </c>
      <c r="E14" s="2">
        <v>0.37</v>
      </c>
      <c r="F14" s="2">
        <v>25</v>
      </c>
      <c r="G14" s="2">
        <v>25</v>
      </c>
      <c r="H14" s="8">
        <v>3520</v>
      </c>
      <c r="I14" s="95">
        <f t="shared" si="0"/>
        <v>2112</v>
      </c>
    </row>
    <row r="15" spans="1:9" ht="18" customHeight="1" x14ac:dyDescent="0.35">
      <c r="A15" s="6">
        <v>9</v>
      </c>
      <c r="B15" s="4" t="s">
        <v>29</v>
      </c>
      <c r="C15" s="15" t="s">
        <v>30</v>
      </c>
      <c r="D15" s="2">
        <v>1</v>
      </c>
      <c r="E15" s="2">
        <v>0.75</v>
      </c>
      <c r="F15" s="2">
        <v>25</v>
      </c>
      <c r="G15" s="2">
        <v>25</v>
      </c>
      <c r="H15" s="8">
        <v>3660</v>
      </c>
      <c r="I15" s="95">
        <f t="shared" si="0"/>
        <v>2196</v>
      </c>
    </row>
    <row r="16" spans="1:9" ht="18" customHeight="1" x14ac:dyDescent="0.35">
      <c r="A16" s="6">
        <v>10</v>
      </c>
      <c r="B16" s="4" t="s">
        <v>31</v>
      </c>
      <c r="C16" s="12" t="s">
        <v>32</v>
      </c>
      <c r="D16" s="2">
        <v>1</v>
      </c>
      <c r="E16" s="2">
        <v>0.75</v>
      </c>
      <c r="F16" s="2">
        <v>25</v>
      </c>
      <c r="G16" s="2">
        <v>25</v>
      </c>
      <c r="H16" s="8">
        <v>4220</v>
      </c>
      <c r="I16" s="95">
        <f t="shared" si="0"/>
        <v>2532</v>
      </c>
    </row>
    <row r="17" spans="1:9" ht="18" customHeight="1" x14ac:dyDescent="0.35">
      <c r="A17" s="4">
        <v>11</v>
      </c>
      <c r="B17" s="6" t="s">
        <v>33</v>
      </c>
      <c r="C17" s="14" t="s">
        <v>34</v>
      </c>
      <c r="D17" s="2">
        <v>0.75</v>
      </c>
      <c r="E17" s="2">
        <v>0.56000000000000005</v>
      </c>
      <c r="F17" s="2">
        <v>25</v>
      </c>
      <c r="G17" s="2">
        <v>25</v>
      </c>
      <c r="H17" s="8">
        <v>4080</v>
      </c>
      <c r="I17" s="95">
        <f t="shared" si="0"/>
        <v>2448</v>
      </c>
    </row>
    <row r="18" spans="1:9" ht="18" customHeight="1" x14ac:dyDescent="0.35">
      <c r="A18" s="6">
        <v>12</v>
      </c>
      <c r="B18" s="4" t="s">
        <v>35</v>
      </c>
      <c r="C18" s="16" t="s">
        <v>36</v>
      </c>
      <c r="D18" s="2">
        <v>1</v>
      </c>
      <c r="E18" s="2">
        <v>0.75</v>
      </c>
      <c r="F18" s="2">
        <v>25</v>
      </c>
      <c r="G18" s="2">
        <v>25</v>
      </c>
      <c r="H18" s="8">
        <v>4730</v>
      </c>
      <c r="I18" s="95">
        <f t="shared" si="0"/>
        <v>2838</v>
      </c>
    </row>
    <row r="19" spans="1:9" ht="18" customHeight="1" x14ac:dyDescent="0.35">
      <c r="A19" s="6">
        <v>13</v>
      </c>
      <c r="B19" s="4" t="s">
        <v>37</v>
      </c>
      <c r="C19" s="16" t="s">
        <v>38</v>
      </c>
      <c r="D19" s="2">
        <v>1</v>
      </c>
      <c r="E19" s="2">
        <v>0.75</v>
      </c>
      <c r="F19" s="2">
        <v>25</v>
      </c>
      <c r="G19" s="2">
        <v>25</v>
      </c>
      <c r="H19" s="8">
        <v>4730</v>
      </c>
      <c r="I19" s="95">
        <f t="shared" si="0"/>
        <v>2838</v>
      </c>
    </row>
    <row r="20" spans="1:9" ht="18" customHeight="1" x14ac:dyDescent="0.35">
      <c r="A20" s="6">
        <v>14</v>
      </c>
      <c r="B20" s="6" t="s">
        <v>39</v>
      </c>
      <c r="C20" s="14" t="s">
        <v>40</v>
      </c>
      <c r="D20" s="2">
        <v>1</v>
      </c>
      <c r="E20" s="2">
        <v>0.75</v>
      </c>
      <c r="F20" s="2">
        <v>25</v>
      </c>
      <c r="G20" s="2">
        <v>25</v>
      </c>
      <c r="H20" s="8">
        <v>5170</v>
      </c>
      <c r="I20" s="95">
        <f t="shared" si="0"/>
        <v>3102</v>
      </c>
    </row>
    <row r="21" spans="1:9" ht="18" customHeight="1" x14ac:dyDescent="0.35">
      <c r="A21" s="4">
        <v>15</v>
      </c>
      <c r="B21" s="6" t="s">
        <v>41</v>
      </c>
      <c r="C21" s="14" t="s">
        <v>42</v>
      </c>
      <c r="D21" s="2">
        <v>1</v>
      </c>
      <c r="E21" s="2">
        <v>0.75</v>
      </c>
      <c r="F21" s="2">
        <v>25</v>
      </c>
      <c r="G21" s="2">
        <v>25</v>
      </c>
      <c r="H21" s="8">
        <v>4670</v>
      </c>
      <c r="I21" s="95">
        <f t="shared" si="0"/>
        <v>2802</v>
      </c>
    </row>
    <row r="22" spans="1:9" ht="18" customHeight="1" x14ac:dyDescent="0.35">
      <c r="A22" s="6">
        <v>16</v>
      </c>
      <c r="B22" s="4" t="s">
        <v>43</v>
      </c>
      <c r="C22" s="12" t="s">
        <v>44</v>
      </c>
      <c r="D22" s="2">
        <v>1.2</v>
      </c>
      <c r="E22" s="2">
        <v>0.9</v>
      </c>
      <c r="F22" s="2">
        <v>25</v>
      </c>
      <c r="G22" s="2">
        <v>25</v>
      </c>
      <c r="H22" s="8">
        <v>6650</v>
      </c>
      <c r="I22" s="95">
        <f t="shared" si="0"/>
        <v>3990</v>
      </c>
    </row>
    <row r="23" spans="1:9" ht="18" customHeight="1" x14ac:dyDescent="0.35">
      <c r="A23" s="6">
        <v>17</v>
      </c>
      <c r="B23" s="6" t="s">
        <v>45</v>
      </c>
      <c r="C23" s="14" t="s">
        <v>46</v>
      </c>
      <c r="D23" s="2">
        <v>1.5</v>
      </c>
      <c r="E23" s="2">
        <v>1.1000000000000001</v>
      </c>
      <c r="F23" s="2">
        <v>25</v>
      </c>
      <c r="G23" s="2">
        <v>25</v>
      </c>
      <c r="H23" s="8">
        <v>8150</v>
      </c>
      <c r="I23" s="95">
        <f t="shared" si="0"/>
        <v>4890</v>
      </c>
    </row>
    <row r="24" spans="1:9" ht="18" customHeight="1" x14ac:dyDescent="0.35">
      <c r="A24" s="6">
        <v>18</v>
      </c>
      <c r="B24" s="6" t="s">
        <v>47</v>
      </c>
      <c r="C24" s="14" t="s">
        <v>48</v>
      </c>
      <c r="D24" s="2">
        <v>2</v>
      </c>
      <c r="E24" s="2">
        <v>1.5</v>
      </c>
      <c r="F24" s="2">
        <v>25</v>
      </c>
      <c r="G24" s="2">
        <v>25</v>
      </c>
      <c r="H24" s="8">
        <v>9190</v>
      </c>
      <c r="I24" s="95">
        <f t="shared" si="0"/>
        <v>5514</v>
      </c>
    </row>
    <row r="25" spans="1:9" ht="18" customHeight="1" x14ac:dyDescent="0.35">
      <c r="A25" s="4">
        <v>19</v>
      </c>
      <c r="B25" s="6" t="s">
        <v>49</v>
      </c>
      <c r="C25" s="14" t="s">
        <v>50</v>
      </c>
      <c r="D25" s="2">
        <v>0.5</v>
      </c>
      <c r="E25" s="2">
        <v>0.37</v>
      </c>
      <c r="F25" s="2">
        <v>25</v>
      </c>
      <c r="G25" s="2">
        <v>25</v>
      </c>
      <c r="H25" s="8">
        <v>3310</v>
      </c>
      <c r="I25" s="95">
        <f t="shared" si="0"/>
        <v>1986</v>
      </c>
    </row>
    <row r="26" spans="1:9" ht="18" customHeight="1" x14ac:dyDescent="0.35">
      <c r="A26" s="6">
        <v>20</v>
      </c>
      <c r="B26" s="4" t="s">
        <v>51</v>
      </c>
      <c r="C26" s="12" t="s">
        <v>52</v>
      </c>
      <c r="D26" s="2">
        <v>0.5</v>
      </c>
      <c r="E26" s="2">
        <v>0.37</v>
      </c>
      <c r="F26" s="2">
        <v>25</v>
      </c>
      <c r="G26" s="2">
        <v>25</v>
      </c>
      <c r="H26" s="10">
        <v>4380</v>
      </c>
      <c r="I26" s="96">
        <f>H26*0.63</f>
        <v>2759.4</v>
      </c>
    </row>
    <row r="27" spans="1:9" ht="18" customHeight="1" x14ac:dyDescent="0.35">
      <c r="A27" s="6">
        <v>21</v>
      </c>
      <c r="B27" s="4" t="s">
        <v>53</v>
      </c>
      <c r="C27" s="12" t="s">
        <v>54</v>
      </c>
      <c r="D27" s="2">
        <v>1</v>
      </c>
      <c r="E27" s="2">
        <v>0.75</v>
      </c>
      <c r="F27" s="2">
        <v>25</v>
      </c>
      <c r="G27" s="2">
        <v>25</v>
      </c>
      <c r="H27" s="10">
        <v>5300</v>
      </c>
      <c r="I27" s="96">
        <f>H27*0.63</f>
        <v>3339</v>
      </c>
    </row>
    <row r="28" spans="1:9" ht="18" customHeight="1" x14ac:dyDescent="0.35">
      <c r="A28" s="6">
        <v>22</v>
      </c>
      <c r="B28" s="6" t="s">
        <v>55</v>
      </c>
      <c r="C28" s="14" t="s">
        <v>56</v>
      </c>
      <c r="D28" s="2">
        <v>1.1000000000000001</v>
      </c>
      <c r="E28" s="2">
        <v>0.8</v>
      </c>
      <c r="F28" s="2">
        <v>25</v>
      </c>
      <c r="G28" s="2">
        <v>25</v>
      </c>
      <c r="H28" s="8">
        <v>5040</v>
      </c>
      <c r="I28" s="95">
        <f>H28*0.6</f>
        <v>3024</v>
      </c>
    </row>
    <row r="29" spans="1:9" ht="18" customHeight="1" x14ac:dyDescent="0.35">
      <c r="A29" s="4">
        <v>23</v>
      </c>
      <c r="B29" s="6" t="s">
        <v>57</v>
      </c>
      <c r="C29" s="14" t="s">
        <v>58</v>
      </c>
      <c r="D29" s="2">
        <v>1.1000000000000001</v>
      </c>
      <c r="E29" s="2">
        <v>0.8</v>
      </c>
      <c r="F29" s="2">
        <v>25</v>
      </c>
      <c r="G29" s="2">
        <v>25</v>
      </c>
      <c r="H29" s="8">
        <v>5150</v>
      </c>
      <c r="I29" s="95">
        <f>H29*0.6</f>
        <v>3090</v>
      </c>
    </row>
    <row r="30" spans="1:9" ht="18" customHeight="1" x14ac:dyDescent="0.35">
      <c r="A30" s="6">
        <v>24</v>
      </c>
      <c r="B30" s="4" t="s">
        <v>59</v>
      </c>
      <c r="C30" s="16" t="s">
        <v>60</v>
      </c>
      <c r="D30" s="2">
        <v>1.25</v>
      </c>
      <c r="E30" s="2">
        <v>0.94</v>
      </c>
      <c r="F30" s="2">
        <v>25</v>
      </c>
      <c r="G30" s="2">
        <v>25</v>
      </c>
      <c r="H30" s="8">
        <v>6630</v>
      </c>
      <c r="I30" s="95">
        <f>H30*0.6</f>
        <v>3978</v>
      </c>
    </row>
    <row r="31" spans="1:9" ht="18" customHeight="1" x14ac:dyDescent="0.35">
      <c r="A31" s="6">
        <v>25</v>
      </c>
      <c r="B31" s="6" t="s">
        <v>61</v>
      </c>
      <c r="C31" s="14" t="s">
        <v>62</v>
      </c>
      <c r="D31" s="17">
        <v>0.5</v>
      </c>
      <c r="E31" s="17">
        <v>0.37</v>
      </c>
      <c r="F31" s="17">
        <v>25</v>
      </c>
      <c r="G31" s="17">
        <v>25</v>
      </c>
      <c r="H31" s="9">
        <v>4950</v>
      </c>
      <c r="I31" s="96">
        <f>H31*0.63</f>
        <v>3118.5</v>
      </c>
    </row>
    <row r="32" spans="1:9" ht="18" customHeight="1" x14ac:dyDescent="0.35">
      <c r="A32" s="6">
        <v>26</v>
      </c>
      <c r="B32" s="6" t="s">
        <v>63</v>
      </c>
      <c r="C32" s="14" t="s">
        <v>64</v>
      </c>
      <c r="D32" s="17">
        <v>0.5</v>
      </c>
      <c r="E32" s="17">
        <v>0.37</v>
      </c>
      <c r="F32" s="17">
        <v>25</v>
      </c>
      <c r="G32" s="17">
        <v>25</v>
      </c>
      <c r="H32" s="9">
        <v>5000</v>
      </c>
      <c r="I32" s="96">
        <f>H32*0.63</f>
        <v>3150</v>
      </c>
    </row>
    <row r="33" spans="1:9" ht="18" customHeight="1" x14ac:dyDescent="0.35">
      <c r="A33" s="4">
        <v>27</v>
      </c>
      <c r="B33" s="6" t="s">
        <v>65</v>
      </c>
      <c r="C33" s="14" t="s">
        <v>66</v>
      </c>
      <c r="D33" s="2">
        <v>1</v>
      </c>
      <c r="E33" s="2">
        <v>0.75</v>
      </c>
      <c r="F33" s="2">
        <v>25</v>
      </c>
      <c r="G33" s="2">
        <v>25</v>
      </c>
      <c r="H33" s="8">
        <v>5560</v>
      </c>
      <c r="I33" s="95">
        <f>H33*0.6</f>
        <v>3336</v>
      </c>
    </row>
    <row r="34" spans="1:9" ht="18" customHeight="1" x14ac:dyDescent="0.35">
      <c r="A34" s="6">
        <v>28</v>
      </c>
      <c r="B34" s="6" t="s">
        <v>67</v>
      </c>
      <c r="C34" s="14" t="s">
        <v>68</v>
      </c>
      <c r="D34" s="2">
        <v>1</v>
      </c>
      <c r="E34" s="2">
        <v>0.75</v>
      </c>
      <c r="F34" s="2">
        <v>25</v>
      </c>
      <c r="G34" s="2">
        <v>25</v>
      </c>
      <c r="H34" s="8">
        <v>5650</v>
      </c>
      <c r="I34" s="95">
        <f t="shared" ref="I34:I46" si="1">H34*0.6</f>
        <v>3390</v>
      </c>
    </row>
    <row r="35" spans="1:9" ht="18" customHeight="1" x14ac:dyDescent="0.35">
      <c r="A35" s="6">
        <v>29</v>
      </c>
      <c r="B35" s="6" t="s">
        <v>69</v>
      </c>
      <c r="C35" s="14" t="s">
        <v>70</v>
      </c>
      <c r="D35" s="2">
        <v>1.5</v>
      </c>
      <c r="E35" s="2">
        <v>1.1000000000000001</v>
      </c>
      <c r="F35" s="2">
        <v>25</v>
      </c>
      <c r="G35" s="2">
        <v>25</v>
      </c>
      <c r="H35" s="8">
        <v>7840</v>
      </c>
      <c r="I35" s="95">
        <f t="shared" si="1"/>
        <v>4704</v>
      </c>
    </row>
    <row r="36" spans="1:9" ht="18" customHeight="1" x14ac:dyDescent="0.35">
      <c r="A36" s="6">
        <v>30</v>
      </c>
      <c r="B36" s="6" t="s">
        <v>71</v>
      </c>
      <c r="C36" s="14" t="s">
        <v>72</v>
      </c>
      <c r="D36" s="2">
        <v>1.5</v>
      </c>
      <c r="E36" s="2">
        <v>1.1000000000000001</v>
      </c>
      <c r="F36" s="2">
        <v>25</v>
      </c>
      <c r="G36" s="2">
        <v>25</v>
      </c>
      <c r="H36" s="8">
        <v>8170</v>
      </c>
      <c r="I36" s="95">
        <f t="shared" si="1"/>
        <v>4902</v>
      </c>
    </row>
    <row r="37" spans="1:9" ht="18" customHeight="1" x14ac:dyDescent="0.35">
      <c r="A37" s="4">
        <v>31</v>
      </c>
      <c r="B37" s="4" t="s">
        <v>73</v>
      </c>
      <c r="C37" s="12" t="s">
        <v>74</v>
      </c>
      <c r="D37" s="2">
        <v>0.5</v>
      </c>
      <c r="E37" s="2">
        <v>0.37</v>
      </c>
      <c r="F37" s="2">
        <v>25</v>
      </c>
      <c r="G37" s="2">
        <v>25</v>
      </c>
      <c r="H37" s="8">
        <v>6450</v>
      </c>
      <c r="I37" s="95">
        <f t="shared" si="1"/>
        <v>3870</v>
      </c>
    </row>
    <row r="38" spans="1:9" ht="18" customHeight="1" x14ac:dyDescent="0.35">
      <c r="A38" s="6">
        <v>32</v>
      </c>
      <c r="B38" s="6" t="s">
        <v>75</v>
      </c>
      <c r="C38" s="14" t="s">
        <v>76</v>
      </c>
      <c r="D38" s="3">
        <v>0.9</v>
      </c>
      <c r="E38" s="3">
        <v>0.7</v>
      </c>
      <c r="F38" s="3">
        <v>25</v>
      </c>
      <c r="G38" s="3">
        <v>25</v>
      </c>
      <c r="H38" s="8">
        <v>6640</v>
      </c>
      <c r="I38" s="95">
        <f t="shared" si="1"/>
        <v>3984</v>
      </c>
    </row>
    <row r="39" spans="1:9" ht="18" customHeight="1" x14ac:dyDescent="0.35">
      <c r="A39" s="6">
        <v>33</v>
      </c>
      <c r="B39" s="6" t="s">
        <v>77</v>
      </c>
      <c r="C39" s="14" t="s">
        <v>78</v>
      </c>
      <c r="D39" s="3">
        <v>1</v>
      </c>
      <c r="E39" s="3">
        <v>0.75</v>
      </c>
      <c r="F39" s="3">
        <v>25</v>
      </c>
      <c r="G39" s="3">
        <v>25</v>
      </c>
      <c r="H39" s="8">
        <v>7100</v>
      </c>
      <c r="I39" s="95">
        <f t="shared" si="1"/>
        <v>4260</v>
      </c>
    </row>
    <row r="40" spans="1:9" ht="18" customHeight="1" x14ac:dyDescent="0.35">
      <c r="A40" s="6">
        <v>34</v>
      </c>
      <c r="B40" s="4" t="s">
        <v>79</v>
      </c>
      <c r="C40" s="15" t="s">
        <v>80</v>
      </c>
      <c r="D40" s="3">
        <v>0.5</v>
      </c>
      <c r="E40" s="3">
        <v>0.37</v>
      </c>
      <c r="F40" s="3">
        <v>25</v>
      </c>
      <c r="G40" s="3">
        <v>25</v>
      </c>
      <c r="H40" s="8">
        <v>5500</v>
      </c>
      <c r="I40" s="95">
        <f t="shared" si="1"/>
        <v>3300</v>
      </c>
    </row>
    <row r="41" spans="1:9" ht="18" customHeight="1" x14ac:dyDescent="0.35">
      <c r="A41" s="4">
        <v>35</v>
      </c>
      <c r="B41" s="4"/>
      <c r="C41" s="15" t="s">
        <v>81</v>
      </c>
      <c r="D41" s="3">
        <v>1</v>
      </c>
      <c r="E41" s="3">
        <v>0.75</v>
      </c>
      <c r="F41" s="3">
        <v>25</v>
      </c>
      <c r="G41" s="3">
        <v>25</v>
      </c>
      <c r="H41" s="8">
        <v>6200</v>
      </c>
      <c r="I41" s="95">
        <f t="shared" si="1"/>
        <v>3720</v>
      </c>
    </row>
    <row r="42" spans="1:9" ht="18" customHeight="1" x14ac:dyDescent="0.35">
      <c r="A42" s="6">
        <v>36</v>
      </c>
      <c r="B42" s="4" t="s">
        <v>82</v>
      </c>
      <c r="C42" s="12" t="s">
        <v>83</v>
      </c>
      <c r="D42" s="1">
        <v>0.5</v>
      </c>
      <c r="E42" s="1">
        <v>0.37</v>
      </c>
      <c r="F42" s="1">
        <v>25</v>
      </c>
      <c r="G42" s="1">
        <v>25</v>
      </c>
      <c r="H42" s="8">
        <v>7140</v>
      </c>
      <c r="I42" s="95">
        <f t="shared" si="1"/>
        <v>4284</v>
      </c>
    </row>
    <row r="43" spans="1:9" ht="18" customHeight="1" x14ac:dyDescent="0.35">
      <c r="A43" s="6">
        <v>37</v>
      </c>
      <c r="B43" s="6" t="s">
        <v>84</v>
      </c>
      <c r="C43" s="14" t="s">
        <v>85</v>
      </c>
      <c r="D43" s="1">
        <v>1.1000000000000001</v>
      </c>
      <c r="E43" s="1">
        <v>0.8</v>
      </c>
      <c r="F43" s="1">
        <v>25</v>
      </c>
      <c r="G43" s="1">
        <v>25</v>
      </c>
      <c r="H43" s="8">
        <v>7700</v>
      </c>
      <c r="I43" s="95">
        <f t="shared" si="1"/>
        <v>4620</v>
      </c>
    </row>
    <row r="44" spans="1:9" ht="18" customHeight="1" x14ac:dyDescent="0.35">
      <c r="A44" s="6">
        <v>38</v>
      </c>
      <c r="B44" s="6" t="s">
        <v>86</v>
      </c>
      <c r="C44" s="14" t="s">
        <v>87</v>
      </c>
      <c r="D44" s="1">
        <v>1.5</v>
      </c>
      <c r="E44" s="1">
        <v>1.1000000000000001</v>
      </c>
      <c r="F44" s="1">
        <v>25</v>
      </c>
      <c r="G44" s="1">
        <v>25</v>
      </c>
      <c r="H44" s="8">
        <v>8690</v>
      </c>
      <c r="I44" s="95">
        <f t="shared" si="1"/>
        <v>5214</v>
      </c>
    </row>
    <row r="45" spans="1:9" ht="18" customHeight="1" x14ac:dyDescent="0.35">
      <c r="A45" s="4">
        <v>39</v>
      </c>
      <c r="B45" s="4" t="s">
        <v>88</v>
      </c>
      <c r="C45" s="12" t="s">
        <v>89</v>
      </c>
      <c r="D45" s="2">
        <v>0.5</v>
      </c>
      <c r="E45" s="2">
        <v>0.37</v>
      </c>
      <c r="F45" s="2">
        <v>25</v>
      </c>
      <c r="G45" s="2">
        <v>12</v>
      </c>
      <c r="H45" s="8">
        <v>4860</v>
      </c>
      <c r="I45" s="95">
        <f t="shared" si="1"/>
        <v>2916</v>
      </c>
    </row>
    <row r="46" spans="1:9" ht="18" customHeight="1" x14ac:dyDescent="0.35">
      <c r="A46" s="6">
        <v>40</v>
      </c>
      <c r="B46" s="4" t="s">
        <v>90</v>
      </c>
      <c r="C46" s="12" t="s">
        <v>91</v>
      </c>
      <c r="D46" s="2">
        <v>1</v>
      </c>
      <c r="E46" s="2">
        <v>0.75</v>
      </c>
      <c r="F46" s="2">
        <v>25</v>
      </c>
      <c r="G46" s="2">
        <v>25</v>
      </c>
      <c r="H46" s="8">
        <v>5600</v>
      </c>
      <c r="I46" s="95">
        <f t="shared" si="1"/>
        <v>3360</v>
      </c>
    </row>
    <row r="47" spans="1:9" ht="18" customHeight="1" x14ac:dyDescent="0.35">
      <c r="A47" s="6">
        <v>41</v>
      </c>
      <c r="B47" s="6" t="s">
        <v>92</v>
      </c>
      <c r="C47" s="14" t="s">
        <v>93</v>
      </c>
      <c r="D47" s="17">
        <v>1</v>
      </c>
      <c r="E47" s="17">
        <v>0.75</v>
      </c>
      <c r="F47" s="17">
        <v>25</v>
      </c>
      <c r="G47" s="17">
        <v>25</v>
      </c>
      <c r="H47" s="9">
        <v>8420</v>
      </c>
      <c r="I47" s="96">
        <f>H47*0.63</f>
        <v>5304.6</v>
      </c>
    </row>
    <row r="48" spans="1:9" ht="18" customHeight="1" x14ac:dyDescent="0.35">
      <c r="A48" s="6">
        <v>42</v>
      </c>
      <c r="B48" s="6" t="s">
        <v>94</v>
      </c>
      <c r="C48" s="14" t="s">
        <v>95</v>
      </c>
      <c r="D48" s="2">
        <v>1.1000000000000001</v>
      </c>
      <c r="E48" s="2">
        <v>0.8</v>
      </c>
      <c r="F48" s="2">
        <v>25</v>
      </c>
      <c r="G48" s="2">
        <v>25</v>
      </c>
      <c r="H48" s="8">
        <v>12020</v>
      </c>
      <c r="I48" s="95">
        <f>H48*0.6</f>
        <v>7212</v>
      </c>
    </row>
    <row r="49" spans="1:9" ht="18" customHeight="1" x14ac:dyDescent="0.35">
      <c r="A49" s="4">
        <v>43</v>
      </c>
      <c r="B49" s="4" t="s">
        <v>96</v>
      </c>
      <c r="C49" s="12" t="s">
        <v>97</v>
      </c>
      <c r="D49" s="2">
        <v>0.5</v>
      </c>
      <c r="E49" s="2">
        <v>0.37</v>
      </c>
      <c r="F49" s="2">
        <v>25</v>
      </c>
      <c r="G49" s="2">
        <v>25</v>
      </c>
      <c r="H49" s="8">
        <v>7530</v>
      </c>
      <c r="I49" s="95">
        <f t="shared" ref="I49:I54" si="2">H49*0.6</f>
        <v>4518</v>
      </c>
    </row>
    <row r="50" spans="1:9" ht="18" customHeight="1" x14ac:dyDescent="0.35">
      <c r="A50" s="6">
        <v>44</v>
      </c>
      <c r="B50" s="4" t="s">
        <v>98</v>
      </c>
      <c r="C50" s="12" t="s">
        <v>99</v>
      </c>
      <c r="D50" s="2">
        <v>1</v>
      </c>
      <c r="E50" s="2">
        <v>0.75</v>
      </c>
      <c r="F50" s="2">
        <v>25</v>
      </c>
      <c r="G50" s="2">
        <v>25</v>
      </c>
      <c r="H50" s="8">
        <v>9150</v>
      </c>
      <c r="I50" s="95">
        <f t="shared" si="2"/>
        <v>5490</v>
      </c>
    </row>
    <row r="51" spans="1:9" ht="18" customHeight="1" x14ac:dyDescent="0.35">
      <c r="A51" s="6">
        <v>45</v>
      </c>
      <c r="B51" s="4" t="s">
        <v>100</v>
      </c>
      <c r="C51" s="12" t="s">
        <v>101</v>
      </c>
      <c r="D51" s="2">
        <v>1</v>
      </c>
      <c r="E51" s="2">
        <v>0.75</v>
      </c>
      <c r="F51" s="2">
        <v>25</v>
      </c>
      <c r="G51" s="2">
        <v>25</v>
      </c>
      <c r="H51" s="5">
        <v>16800</v>
      </c>
      <c r="I51" s="95">
        <f t="shared" si="2"/>
        <v>10080</v>
      </c>
    </row>
    <row r="52" spans="1:9" ht="18" customHeight="1" x14ac:dyDescent="0.35">
      <c r="A52" s="6">
        <v>46</v>
      </c>
      <c r="B52" s="6" t="s">
        <v>102</v>
      </c>
      <c r="C52" s="14" t="s">
        <v>103</v>
      </c>
      <c r="D52" s="2">
        <v>0.5</v>
      </c>
      <c r="E52" s="2">
        <v>0.37</v>
      </c>
      <c r="F52" s="2">
        <v>25</v>
      </c>
      <c r="G52" s="2">
        <v>25</v>
      </c>
      <c r="H52" s="8">
        <v>17760</v>
      </c>
      <c r="I52" s="95">
        <f t="shared" si="2"/>
        <v>10656</v>
      </c>
    </row>
    <row r="53" spans="1:9" ht="18" customHeight="1" x14ac:dyDescent="0.35">
      <c r="A53" s="4">
        <v>47</v>
      </c>
      <c r="B53" s="6" t="s">
        <v>104</v>
      </c>
      <c r="C53" s="14" t="s">
        <v>105</v>
      </c>
      <c r="D53" s="2">
        <v>1</v>
      </c>
      <c r="E53" s="2">
        <v>0.75</v>
      </c>
      <c r="F53" s="2">
        <v>25</v>
      </c>
      <c r="G53" s="2">
        <v>25</v>
      </c>
      <c r="H53" s="8">
        <v>19120</v>
      </c>
      <c r="I53" s="95">
        <f t="shared" si="2"/>
        <v>11472</v>
      </c>
    </row>
    <row r="54" spans="1:9" ht="18" customHeight="1" x14ac:dyDescent="0.35">
      <c r="A54" s="6">
        <v>48</v>
      </c>
      <c r="B54" s="6" t="s">
        <v>106</v>
      </c>
      <c r="C54" s="14" t="s">
        <v>107</v>
      </c>
      <c r="D54" s="2">
        <v>1.1000000000000001</v>
      </c>
      <c r="E54" s="2">
        <v>0.8</v>
      </c>
      <c r="F54" s="2">
        <v>25</v>
      </c>
      <c r="G54" s="2">
        <v>25</v>
      </c>
      <c r="H54" s="8">
        <v>20900</v>
      </c>
      <c r="I54" s="95">
        <f t="shared" si="2"/>
        <v>12540</v>
      </c>
    </row>
    <row r="55" spans="1:9" ht="18" customHeight="1" x14ac:dyDescent="0.35">
      <c r="A55" s="300" t="s">
        <v>108</v>
      </c>
      <c r="B55" s="300"/>
      <c r="C55" s="300"/>
      <c r="D55" s="300"/>
      <c r="E55" s="300"/>
      <c r="F55" s="300"/>
      <c r="G55" s="300"/>
      <c r="H55" s="287" t="s">
        <v>109</v>
      </c>
      <c r="I55" s="315" t="s">
        <v>502</v>
      </c>
    </row>
    <row r="56" spans="1:9" ht="18" customHeight="1" x14ac:dyDescent="0.35">
      <c r="A56" s="287" t="s">
        <v>2</v>
      </c>
      <c r="B56" s="287" t="s">
        <v>3</v>
      </c>
      <c r="C56" s="298" t="s">
        <v>4</v>
      </c>
      <c r="D56" s="287" t="s">
        <v>5</v>
      </c>
      <c r="E56" s="287"/>
      <c r="F56" s="287" t="s">
        <v>6</v>
      </c>
      <c r="G56" s="287"/>
      <c r="H56" s="287"/>
      <c r="I56" s="315"/>
    </row>
    <row r="57" spans="1:9" ht="18" customHeight="1" x14ac:dyDescent="0.35">
      <c r="A57" s="287"/>
      <c r="B57" s="287"/>
      <c r="C57" s="298"/>
      <c r="D57" s="11" t="s">
        <v>9</v>
      </c>
      <c r="E57" s="11" t="s">
        <v>10</v>
      </c>
      <c r="F57" s="11" t="s">
        <v>11</v>
      </c>
      <c r="G57" s="11" t="s">
        <v>12</v>
      </c>
      <c r="H57" s="287"/>
      <c r="I57" s="315"/>
    </row>
    <row r="58" spans="1:9" ht="18" customHeight="1" x14ac:dyDescent="0.35">
      <c r="A58" s="6">
        <v>1</v>
      </c>
      <c r="B58" s="6" t="s">
        <v>110</v>
      </c>
      <c r="C58" s="14" t="s">
        <v>111</v>
      </c>
      <c r="D58" s="303">
        <v>0.5</v>
      </c>
      <c r="E58" s="303">
        <v>0.37</v>
      </c>
      <c r="F58" s="2">
        <v>25</v>
      </c>
      <c r="G58" s="2">
        <v>25</v>
      </c>
      <c r="H58" s="8">
        <v>4680</v>
      </c>
      <c r="I58" s="96">
        <f>H58*0.6</f>
        <v>2808</v>
      </c>
    </row>
    <row r="59" spans="1:9" ht="18" customHeight="1" x14ac:dyDescent="0.35">
      <c r="A59" s="6">
        <v>2</v>
      </c>
      <c r="B59" s="6" t="s">
        <v>112</v>
      </c>
      <c r="C59" s="14" t="s">
        <v>113</v>
      </c>
      <c r="D59" s="303"/>
      <c r="E59" s="303"/>
      <c r="F59" s="2">
        <v>40</v>
      </c>
      <c r="G59" s="2">
        <v>40</v>
      </c>
      <c r="H59" s="8">
        <v>6430</v>
      </c>
      <c r="I59" s="96">
        <f t="shared" ref="I59:I113" si="3">H59*0.6</f>
        <v>3858</v>
      </c>
    </row>
    <row r="60" spans="1:9" ht="18" customHeight="1" x14ac:dyDescent="0.35">
      <c r="A60" s="4">
        <v>3</v>
      </c>
      <c r="B60" s="4" t="s">
        <v>114</v>
      </c>
      <c r="C60" s="18" t="s">
        <v>115</v>
      </c>
      <c r="D60" s="2">
        <v>0.75</v>
      </c>
      <c r="E60" s="2">
        <v>0.56000000000000005</v>
      </c>
      <c r="F60" s="2">
        <v>40</v>
      </c>
      <c r="G60" s="2">
        <v>40</v>
      </c>
      <c r="H60" s="5">
        <v>6240</v>
      </c>
      <c r="I60" s="96">
        <f t="shared" si="3"/>
        <v>3744</v>
      </c>
    </row>
    <row r="61" spans="1:9" ht="18" customHeight="1" x14ac:dyDescent="0.35">
      <c r="A61" s="6">
        <v>4</v>
      </c>
      <c r="B61" s="6" t="s">
        <v>116</v>
      </c>
      <c r="C61" s="14" t="s">
        <v>117</v>
      </c>
      <c r="D61" s="301">
        <v>1</v>
      </c>
      <c r="E61" s="301">
        <v>0.75</v>
      </c>
      <c r="F61" s="1">
        <v>25</v>
      </c>
      <c r="G61" s="1">
        <v>25</v>
      </c>
      <c r="H61" s="8">
        <v>7572</v>
      </c>
      <c r="I61" s="96">
        <f t="shared" si="3"/>
        <v>4543.2</v>
      </c>
    </row>
    <row r="62" spans="1:9" ht="18" customHeight="1" x14ac:dyDescent="0.35">
      <c r="A62" s="6">
        <v>5</v>
      </c>
      <c r="B62" s="6" t="s">
        <v>118</v>
      </c>
      <c r="C62" s="14" t="s">
        <v>119</v>
      </c>
      <c r="D62" s="301"/>
      <c r="E62" s="301"/>
      <c r="F62" s="1">
        <v>50</v>
      </c>
      <c r="G62" s="1">
        <v>50</v>
      </c>
      <c r="H62" s="8">
        <v>8900</v>
      </c>
      <c r="I62" s="96">
        <f t="shared" si="3"/>
        <v>5340</v>
      </c>
    </row>
    <row r="63" spans="1:9" ht="18" customHeight="1" x14ac:dyDescent="0.35">
      <c r="A63" s="4">
        <v>6</v>
      </c>
      <c r="B63" s="6" t="s">
        <v>120</v>
      </c>
      <c r="C63" s="14" t="s">
        <v>121</v>
      </c>
      <c r="D63" s="301"/>
      <c r="E63" s="301"/>
      <c r="F63" s="1">
        <v>50</v>
      </c>
      <c r="G63" s="1">
        <v>50</v>
      </c>
      <c r="H63" s="5">
        <v>9100</v>
      </c>
      <c r="I63" s="96">
        <f t="shared" si="3"/>
        <v>5460</v>
      </c>
    </row>
    <row r="64" spans="1:9" ht="18" customHeight="1" x14ac:dyDescent="0.35">
      <c r="A64" s="6">
        <v>7</v>
      </c>
      <c r="B64" s="4" t="s">
        <v>122</v>
      </c>
      <c r="C64" s="18" t="s">
        <v>123</v>
      </c>
      <c r="D64" s="301"/>
      <c r="E64" s="301"/>
      <c r="F64" s="1">
        <v>50</v>
      </c>
      <c r="G64" s="1">
        <v>50</v>
      </c>
      <c r="H64" s="5">
        <v>9000</v>
      </c>
      <c r="I64" s="96">
        <f t="shared" si="3"/>
        <v>5400</v>
      </c>
    </row>
    <row r="65" spans="1:9" ht="18" customHeight="1" x14ac:dyDescent="0.35">
      <c r="A65" s="6">
        <v>8</v>
      </c>
      <c r="B65" s="4" t="s">
        <v>124</v>
      </c>
      <c r="C65" s="19" t="s">
        <v>125</v>
      </c>
      <c r="D65" s="301"/>
      <c r="E65" s="301"/>
      <c r="F65" s="1">
        <v>75</v>
      </c>
      <c r="G65" s="1">
        <v>75</v>
      </c>
      <c r="H65" s="8">
        <v>10000</v>
      </c>
      <c r="I65" s="96">
        <f t="shared" si="3"/>
        <v>6000</v>
      </c>
    </row>
    <row r="66" spans="1:9" ht="18" customHeight="1" x14ac:dyDescent="0.35">
      <c r="A66" s="4">
        <v>9</v>
      </c>
      <c r="B66" s="4"/>
      <c r="C66" s="18" t="s">
        <v>126</v>
      </c>
      <c r="D66" s="301"/>
      <c r="E66" s="301"/>
      <c r="F66" s="1">
        <v>75</v>
      </c>
      <c r="G66" s="1">
        <v>75</v>
      </c>
      <c r="H66" s="5">
        <v>10200</v>
      </c>
      <c r="I66" s="96">
        <f t="shared" si="3"/>
        <v>6120</v>
      </c>
    </row>
    <row r="67" spans="1:9" ht="18" customHeight="1" x14ac:dyDescent="0.35">
      <c r="A67" s="6">
        <v>10</v>
      </c>
      <c r="B67" s="4" t="s">
        <v>127</v>
      </c>
      <c r="C67" s="19" t="s">
        <v>128</v>
      </c>
      <c r="D67" s="301">
        <v>1.5</v>
      </c>
      <c r="E67" s="301">
        <v>1.1000000000000001</v>
      </c>
      <c r="F67" s="1">
        <v>50</v>
      </c>
      <c r="G67" s="1">
        <v>50</v>
      </c>
      <c r="H67" s="5">
        <v>10420</v>
      </c>
      <c r="I67" s="96">
        <f t="shared" si="3"/>
        <v>6252</v>
      </c>
    </row>
    <row r="68" spans="1:9" ht="18" customHeight="1" x14ac:dyDescent="0.35">
      <c r="A68" s="6">
        <v>11</v>
      </c>
      <c r="B68" s="4" t="s">
        <v>129</v>
      </c>
      <c r="C68" s="18" t="s">
        <v>130</v>
      </c>
      <c r="D68" s="301"/>
      <c r="E68" s="301"/>
      <c r="F68" s="1">
        <v>50</v>
      </c>
      <c r="G68" s="1">
        <v>50</v>
      </c>
      <c r="H68" s="5">
        <v>10600</v>
      </c>
      <c r="I68" s="96">
        <f t="shared" si="3"/>
        <v>6360</v>
      </c>
    </row>
    <row r="69" spans="1:9" ht="18" customHeight="1" x14ac:dyDescent="0.35">
      <c r="A69" s="4">
        <v>12</v>
      </c>
      <c r="B69" s="4" t="s">
        <v>131</v>
      </c>
      <c r="C69" s="19" t="s">
        <v>132</v>
      </c>
      <c r="D69" s="301"/>
      <c r="E69" s="301"/>
      <c r="F69" s="1">
        <v>65</v>
      </c>
      <c r="G69" s="1">
        <v>50</v>
      </c>
      <c r="H69" s="5">
        <v>10600</v>
      </c>
      <c r="I69" s="96">
        <f t="shared" si="3"/>
        <v>6360</v>
      </c>
    </row>
    <row r="70" spans="1:9" ht="18" customHeight="1" x14ac:dyDescent="0.35">
      <c r="A70" s="6">
        <v>13</v>
      </c>
      <c r="B70" s="4" t="s">
        <v>133</v>
      </c>
      <c r="C70" s="18" t="s">
        <v>134</v>
      </c>
      <c r="D70" s="301"/>
      <c r="E70" s="301"/>
      <c r="F70" s="1">
        <v>65</v>
      </c>
      <c r="G70" s="1">
        <v>50</v>
      </c>
      <c r="H70" s="5">
        <v>10800</v>
      </c>
      <c r="I70" s="96">
        <f t="shared" si="3"/>
        <v>6480</v>
      </c>
    </row>
    <row r="71" spans="1:9" ht="18" customHeight="1" x14ac:dyDescent="0.35">
      <c r="A71" s="6">
        <v>14</v>
      </c>
      <c r="B71" s="4" t="s">
        <v>135</v>
      </c>
      <c r="C71" s="19" t="s">
        <v>136</v>
      </c>
      <c r="D71" s="301"/>
      <c r="E71" s="301"/>
      <c r="F71" s="1">
        <v>75</v>
      </c>
      <c r="G71" s="1">
        <v>75</v>
      </c>
      <c r="H71" s="8">
        <v>11000</v>
      </c>
      <c r="I71" s="96">
        <f t="shared" si="3"/>
        <v>6600</v>
      </c>
    </row>
    <row r="72" spans="1:9" ht="18" customHeight="1" x14ac:dyDescent="0.35">
      <c r="A72" s="4">
        <v>15</v>
      </c>
      <c r="B72" s="4" t="s">
        <v>137</v>
      </c>
      <c r="C72" s="18" t="s">
        <v>138</v>
      </c>
      <c r="D72" s="301"/>
      <c r="E72" s="301"/>
      <c r="F72" s="1">
        <v>75</v>
      </c>
      <c r="G72" s="1">
        <v>75</v>
      </c>
      <c r="H72" s="5">
        <v>11200</v>
      </c>
      <c r="I72" s="96">
        <f t="shared" si="3"/>
        <v>6720</v>
      </c>
    </row>
    <row r="73" spans="1:9" ht="18" customHeight="1" x14ac:dyDescent="0.35">
      <c r="A73" s="6">
        <v>16</v>
      </c>
      <c r="B73" s="4" t="s">
        <v>139</v>
      </c>
      <c r="C73" s="18" t="s">
        <v>140</v>
      </c>
      <c r="D73" s="301"/>
      <c r="E73" s="301"/>
      <c r="F73" s="1">
        <v>75</v>
      </c>
      <c r="G73" s="1">
        <v>75</v>
      </c>
      <c r="H73" s="5">
        <v>11200</v>
      </c>
      <c r="I73" s="96">
        <f t="shared" si="3"/>
        <v>6720</v>
      </c>
    </row>
    <row r="74" spans="1:9" ht="18" customHeight="1" x14ac:dyDescent="0.35">
      <c r="A74" s="6">
        <v>17</v>
      </c>
      <c r="B74" s="4" t="s">
        <v>141</v>
      </c>
      <c r="C74" s="19" t="s">
        <v>142</v>
      </c>
      <c r="D74" s="301">
        <v>2</v>
      </c>
      <c r="E74" s="301">
        <v>1.5</v>
      </c>
      <c r="F74" s="1">
        <v>50</v>
      </c>
      <c r="G74" s="1">
        <v>40</v>
      </c>
      <c r="H74" s="8">
        <v>15000</v>
      </c>
      <c r="I74" s="96">
        <f t="shared" si="3"/>
        <v>9000</v>
      </c>
    </row>
    <row r="75" spans="1:9" ht="18" customHeight="1" x14ac:dyDescent="0.35">
      <c r="A75" s="4">
        <v>18</v>
      </c>
      <c r="B75" s="4" t="s">
        <v>143</v>
      </c>
      <c r="C75" s="18" t="s">
        <v>144</v>
      </c>
      <c r="D75" s="301"/>
      <c r="E75" s="301"/>
      <c r="F75" s="1">
        <v>50</v>
      </c>
      <c r="G75" s="1">
        <v>40</v>
      </c>
      <c r="H75" s="5">
        <v>15200</v>
      </c>
      <c r="I75" s="96">
        <f t="shared" si="3"/>
        <v>9120</v>
      </c>
    </row>
    <row r="76" spans="1:9" ht="18" customHeight="1" x14ac:dyDescent="0.35">
      <c r="A76" s="6">
        <v>19</v>
      </c>
      <c r="B76" s="6" t="s">
        <v>145</v>
      </c>
      <c r="C76" s="14" t="s">
        <v>146</v>
      </c>
      <c r="D76" s="301"/>
      <c r="E76" s="301"/>
      <c r="F76" s="1">
        <v>50</v>
      </c>
      <c r="G76" s="1">
        <v>50</v>
      </c>
      <c r="H76" s="8">
        <v>13000</v>
      </c>
      <c r="I76" s="96">
        <f t="shared" si="3"/>
        <v>7800</v>
      </c>
    </row>
    <row r="77" spans="1:9" ht="18" customHeight="1" x14ac:dyDescent="0.35">
      <c r="A77" s="6">
        <v>20</v>
      </c>
      <c r="B77" s="4" t="s">
        <v>147</v>
      </c>
      <c r="C77" s="18" t="s">
        <v>148</v>
      </c>
      <c r="D77" s="301"/>
      <c r="E77" s="301"/>
      <c r="F77" s="1">
        <v>50</v>
      </c>
      <c r="G77" s="1">
        <v>50</v>
      </c>
      <c r="H77" s="5">
        <v>13200</v>
      </c>
      <c r="I77" s="96">
        <f t="shared" si="3"/>
        <v>7920</v>
      </c>
    </row>
    <row r="78" spans="1:9" ht="18" customHeight="1" x14ac:dyDescent="0.35">
      <c r="A78" s="4">
        <v>21</v>
      </c>
      <c r="B78" s="6" t="s">
        <v>149</v>
      </c>
      <c r="C78" s="14" t="s">
        <v>150</v>
      </c>
      <c r="D78" s="301"/>
      <c r="E78" s="301"/>
      <c r="F78" s="1">
        <v>65</v>
      </c>
      <c r="G78" s="1">
        <v>50</v>
      </c>
      <c r="H78" s="8">
        <v>13300</v>
      </c>
      <c r="I78" s="96">
        <f t="shared" si="3"/>
        <v>7980</v>
      </c>
    </row>
    <row r="79" spans="1:9" ht="18" customHeight="1" x14ac:dyDescent="0.35">
      <c r="A79" s="6">
        <v>22</v>
      </c>
      <c r="B79" s="6" t="s">
        <v>151</v>
      </c>
      <c r="C79" s="14" t="s">
        <v>152</v>
      </c>
      <c r="D79" s="301"/>
      <c r="E79" s="301"/>
      <c r="F79" s="1">
        <v>65</v>
      </c>
      <c r="G79" s="1">
        <v>50</v>
      </c>
      <c r="H79" s="5">
        <v>13500</v>
      </c>
      <c r="I79" s="96">
        <f t="shared" si="3"/>
        <v>8100</v>
      </c>
    </row>
    <row r="80" spans="1:9" ht="18" customHeight="1" x14ac:dyDescent="0.35">
      <c r="A80" s="6">
        <v>23</v>
      </c>
      <c r="B80" s="4" t="s">
        <v>153</v>
      </c>
      <c r="C80" s="18" t="s">
        <v>154</v>
      </c>
      <c r="D80" s="301"/>
      <c r="E80" s="301"/>
      <c r="F80" s="1">
        <v>65</v>
      </c>
      <c r="G80" s="1">
        <v>50</v>
      </c>
      <c r="H80" s="5">
        <v>13340</v>
      </c>
      <c r="I80" s="96">
        <f t="shared" si="3"/>
        <v>8004</v>
      </c>
    </row>
    <row r="81" spans="1:9" ht="18" customHeight="1" x14ac:dyDescent="0.35">
      <c r="A81" s="4">
        <v>24</v>
      </c>
      <c r="B81" s="6"/>
      <c r="C81" s="14" t="s">
        <v>155</v>
      </c>
      <c r="D81" s="301"/>
      <c r="E81" s="301"/>
      <c r="F81" s="1">
        <v>65</v>
      </c>
      <c r="G81" s="1">
        <v>50</v>
      </c>
      <c r="H81" s="8">
        <v>13300</v>
      </c>
      <c r="I81" s="96">
        <f t="shared" si="3"/>
        <v>7980</v>
      </c>
    </row>
    <row r="82" spans="1:9" ht="18" customHeight="1" x14ac:dyDescent="0.35">
      <c r="A82" s="6">
        <v>25</v>
      </c>
      <c r="B82" s="4" t="s">
        <v>156</v>
      </c>
      <c r="C82" s="18" t="s">
        <v>157</v>
      </c>
      <c r="D82" s="301"/>
      <c r="E82" s="301"/>
      <c r="F82" s="1">
        <v>75</v>
      </c>
      <c r="G82" s="1">
        <v>75</v>
      </c>
      <c r="H82" s="5">
        <v>13600</v>
      </c>
      <c r="I82" s="96">
        <f t="shared" si="3"/>
        <v>8160</v>
      </c>
    </row>
    <row r="83" spans="1:9" ht="18" customHeight="1" x14ac:dyDescent="0.35">
      <c r="A83" s="6">
        <v>26</v>
      </c>
      <c r="B83" s="6" t="s">
        <v>158</v>
      </c>
      <c r="C83" s="14" t="s">
        <v>159</v>
      </c>
      <c r="D83" s="301"/>
      <c r="E83" s="301"/>
      <c r="F83" s="1">
        <v>75</v>
      </c>
      <c r="G83" s="1">
        <v>75</v>
      </c>
      <c r="H83" s="8">
        <v>13450</v>
      </c>
      <c r="I83" s="96">
        <f t="shared" si="3"/>
        <v>8070</v>
      </c>
    </row>
    <row r="84" spans="1:9" ht="18" customHeight="1" x14ac:dyDescent="0.35">
      <c r="A84" s="4">
        <v>27</v>
      </c>
      <c r="B84" s="6" t="s">
        <v>160</v>
      </c>
      <c r="C84" s="14" t="s">
        <v>161</v>
      </c>
      <c r="D84" s="301"/>
      <c r="E84" s="301"/>
      <c r="F84" s="1">
        <v>75</v>
      </c>
      <c r="G84" s="1">
        <v>75</v>
      </c>
      <c r="H84" s="5">
        <v>13800</v>
      </c>
      <c r="I84" s="96">
        <f t="shared" si="3"/>
        <v>8280</v>
      </c>
    </row>
    <row r="85" spans="1:9" ht="18" customHeight="1" x14ac:dyDescent="0.35">
      <c r="A85" s="6">
        <v>28</v>
      </c>
      <c r="B85" s="6" t="s">
        <v>162</v>
      </c>
      <c r="C85" s="14" t="s">
        <v>163</v>
      </c>
      <c r="D85" s="301"/>
      <c r="E85" s="301"/>
      <c r="F85" s="1">
        <v>75</v>
      </c>
      <c r="G85" s="1">
        <v>75</v>
      </c>
      <c r="H85" s="5">
        <v>14000</v>
      </c>
      <c r="I85" s="96">
        <f t="shared" si="3"/>
        <v>8400</v>
      </c>
    </row>
    <row r="86" spans="1:9" ht="18" customHeight="1" x14ac:dyDescent="0.35">
      <c r="A86" s="6">
        <v>29</v>
      </c>
      <c r="B86" s="6" t="s">
        <v>164</v>
      </c>
      <c r="C86" s="14" t="s">
        <v>165</v>
      </c>
      <c r="D86" s="301"/>
      <c r="E86" s="301"/>
      <c r="F86" s="1">
        <v>75</v>
      </c>
      <c r="G86" s="1">
        <v>75</v>
      </c>
      <c r="H86" s="5">
        <v>14500</v>
      </c>
      <c r="I86" s="96">
        <f t="shared" si="3"/>
        <v>8700</v>
      </c>
    </row>
    <row r="87" spans="1:9" ht="18" customHeight="1" x14ac:dyDescent="0.35">
      <c r="A87" s="4">
        <v>30</v>
      </c>
      <c r="B87" s="4" t="s">
        <v>166</v>
      </c>
      <c r="C87" s="18" t="s">
        <v>167</v>
      </c>
      <c r="D87" s="301"/>
      <c r="E87" s="301"/>
      <c r="F87" s="1">
        <v>75</v>
      </c>
      <c r="G87" s="1">
        <v>75</v>
      </c>
      <c r="H87" s="5">
        <v>13550</v>
      </c>
      <c r="I87" s="96">
        <f t="shared" si="3"/>
        <v>8130</v>
      </c>
    </row>
    <row r="88" spans="1:9" ht="18" customHeight="1" x14ac:dyDescent="0.35">
      <c r="A88" s="6">
        <v>31</v>
      </c>
      <c r="B88" s="6" t="s">
        <v>168</v>
      </c>
      <c r="C88" s="14" t="s">
        <v>169</v>
      </c>
      <c r="D88" s="301"/>
      <c r="E88" s="301"/>
      <c r="F88" s="1">
        <v>75</v>
      </c>
      <c r="G88" s="1">
        <v>65</v>
      </c>
      <c r="H88" s="8">
        <v>13450</v>
      </c>
      <c r="I88" s="96">
        <f t="shared" si="3"/>
        <v>8070</v>
      </c>
    </row>
    <row r="89" spans="1:9" ht="18" customHeight="1" x14ac:dyDescent="0.35">
      <c r="A89" s="6">
        <v>32</v>
      </c>
      <c r="B89" s="6" t="s">
        <v>170</v>
      </c>
      <c r="C89" s="14" t="s">
        <v>171</v>
      </c>
      <c r="D89" s="301"/>
      <c r="E89" s="301"/>
      <c r="F89" s="1">
        <v>75</v>
      </c>
      <c r="G89" s="1">
        <v>65</v>
      </c>
      <c r="H89" s="5">
        <v>13740</v>
      </c>
      <c r="I89" s="96">
        <f t="shared" si="3"/>
        <v>8244</v>
      </c>
    </row>
    <row r="90" spans="1:9" ht="18" customHeight="1" x14ac:dyDescent="0.35">
      <c r="A90" s="4">
        <v>33</v>
      </c>
      <c r="B90" s="4"/>
      <c r="C90" s="19" t="s">
        <v>172</v>
      </c>
      <c r="D90" s="301"/>
      <c r="E90" s="301"/>
      <c r="F90" s="1">
        <v>100</v>
      </c>
      <c r="G90" s="1">
        <v>100</v>
      </c>
      <c r="H90" s="8">
        <v>15000</v>
      </c>
      <c r="I90" s="96">
        <f t="shared" si="3"/>
        <v>9000</v>
      </c>
    </row>
    <row r="91" spans="1:9" ht="18" customHeight="1" x14ac:dyDescent="0.35">
      <c r="A91" s="6">
        <v>34</v>
      </c>
      <c r="B91" s="4"/>
      <c r="C91" s="18" t="s">
        <v>173</v>
      </c>
      <c r="D91" s="301"/>
      <c r="E91" s="301"/>
      <c r="F91" s="1">
        <v>100</v>
      </c>
      <c r="G91" s="1">
        <v>100</v>
      </c>
      <c r="H91" s="5">
        <v>15200</v>
      </c>
      <c r="I91" s="96">
        <f t="shared" si="3"/>
        <v>9120</v>
      </c>
    </row>
    <row r="92" spans="1:9" ht="18" customHeight="1" x14ac:dyDescent="0.35">
      <c r="A92" s="6">
        <v>35</v>
      </c>
      <c r="B92" s="4"/>
      <c r="C92" s="19" t="s">
        <v>174</v>
      </c>
      <c r="D92" s="301">
        <v>3</v>
      </c>
      <c r="E92" s="301">
        <v>2.25</v>
      </c>
      <c r="F92" s="1">
        <v>50</v>
      </c>
      <c r="G92" s="1">
        <v>40</v>
      </c>
      <c r="H92" s="8">
        <v>18000</v>
      </c>
      <c r="I92" s="96">
        <f t="shared" si="3"/>
        <v>10800</v>
      </c>
    </row>
    <row r="93" spans="1:9" ht="18" customHeight="1" x14ac:dyDescent="0.35">
      <c r="A93" s="4">
        <v>36</v>
      </c>
      <c r="B93" s="4" t="s">
        <v>175</v>
      </c>
      <c r="C93" s="18" t="s">
        <v>176</v>
      </c>
      <c r="D93" s="301"/>
      <c r="E93" s="301"/>
      <c r="F93" s="1">
        <v>50</v>
      </c>
      <c r="G93" s="1">
        <v>40</v>
      </c>
      <c r="H93" s="5">
        <v>18560</v>
      </c>
      <c r="I93" s="96">
        <f t="shared" si="3"/>
        <v>11136</v>
      </c>
    </row>
    <row r="94" spans="1:9" ht="18" customHeight="1" x14ac:dyDescent="0.35">
      <c r="A94" s="6">
        <v>37</v>
      </c>
      <c r="B94" s="4" t="s">
        <v>177</v>
      </c>
      <c r="C94" s="19" t="s">
        <v>178</v>
      </c>
      <c r="D94" s="301"/>
      <c r="E94" s="301"/>
      <c r="F94" s="1">
        <v>50</v>
      </c>
      <c r="G94" s="1">
        <v>50</v>
      </c>
      <c r="H94" s="8">
        <v>18250</v>
      </c>
      <c r="I94" s="96">
        <f t="shared" si="3"/>
        <v>10950</v>
      </c>
    </row>
    <row r="95" spans="1:9" ht="18" customHeight="1" x14ac:dyDescent="0.35">
      <c r="A95" s="6">
        <v>38</v>
      </c>
      <c r="B95" s="4" t="s">
        <v>179</v>
      </c>
      <c r="C95" s="18" t="s">
        <v>180</v>
      </c>
      <c r="D95" s="301"/>
      <c r="E95" s="301"/>
      <c r="F95" s="1">
        <v>50</v>
      </c>
      <c r="G95" s="1">
        <v>50</v>
      </c>
      <c r="H95" s="5">
        <v>18670</v>
      </c>
      <c r="I95" s="96">
        <f t="shared" si="3"/>
        <v>11202</v>
      </c>
    </row>
    <row r="96" spans="1:9" ht="18" customHeight="1" x14ac:dyDescent="0.35">
      <c r="A96" s="4">
        <v>39</v>
      </c>
      <c r="B96" s="6" t="s">
        <v>181</v>
      </c>
      <c r="C96" s="14" t="s">
        <v>182</v>
      </c>
      <c r="D96" s="301"/>
      <c r="E96" s="301"/>
      <c r="F96" s="1">
        <v>65</v>
      </c>
      <c r="G96" s="1">
        <v>50</v>
      </c>
      <c r="H96" s="8">
        <v>18100</v>
      </c>
      <c r="I96" s="96">
        <f t="shared" si="3"/>
        <v>10860</v>
      </c>
    </row>
    <row r="97" spans="1:9" ht="18" customHeight="1" x14ac:dyDescent="0.35">
      <c r="A97" s="6">
        <v>40</v>
      </c>
      <c r="B97" s="6" t="s">
        <v>183</v>
      </c>
      <c r="C97" s="14" t="s">
        <v>184</v>
      </c>
      <c r="D97" s="301"/>
      <c r="E97" s="301"/>
      <c r="F97" s="1">
        <v>65</v>
      </c>
      <c r="G97" s="1">
        <v>50</v>
      </c>
      <c r="H97" s="5">
        <v>18770</v>
      </c>
      <c r="I97" s="96">
        <f t="shared" si="3"/>
        <v>11262</v>
      </c>
    </row>
    <row r="98" spans="1:9" ht="18" customHeight="1" x14ac:dyDescent="0.35">
      <c r="A98" s="6">
        <v>41</v>
      </c>
      <c r="B98" s="6" t="s">
        <v>185</v>
      </c>
      <c r="C98" s="14" t="s">
        <v>186</v>
      </c>
      <c r="D98" s="301"/>
      <c r="E98" s="301"/>
      <c r="F98" s="1">
        <v>75</v>
      </c>
      <c r="G98" s="1">
        <v>75</v>
      </c>
      <c r="H98" s="8">
        <v>18020</v>
      </c>
      <c r="I98" s="96">
        <f t="shared" si="3"/>
        <v>10812</v>
      </c>
    </row>
    <row r="99" spans="1:9" ht="18" customHeight="1" x14ac:dyDescent="0.35">
      <c r="A99" s="4">
        <v>42</v>
      </c>
      <c r="B99" s="6" t="s">
        <v>187</v>
      </c>
      <c r="C99" s="14" t="s">
        <v>188</v>
      </c>
      <c r="D99" s="301"/>
      <c r="E99" s="301"/>
      <c r="F99" s="1">
        <v>75</v>
      </c>
      <c r="G99" s="1">
        <v>75</v>
      </c>
      <c r="H99" s="5">
        <v>18680</v>
      </c>
      <c r="I99" s="96">
        <f t="shared" si="3"/>
        <v>11208</v>
      </c>
    </row>
    <row r="100" spans="1:9" ht="18" customHeight="1" x14ac:dyDescent="0.35">
      <c r="A100" s="6">
        <v>43</v>
      </c>
      <c r="B100" s="6" t="s">
        <v>189</v>
      </c>
      <c r="C100" s="14" t="s">
        <v>190</v>
      </c>
      <c r="D100" s="301"/>
      <c r="E100" s="301"/>
      <c r="F100" s="1">
        <v>100</v>
      </c>
      <c r="G100" s="1">
        <v>100</v>
      </c>
      <c r="H100" s="8">
        <v>19100</v>
      </c>
      <c r="I100" s="96">
        <f t="shared" si="3"/>
        <v>11460</v>
      </c>
    </row>
    <row r="101" spans="1:9" ht="18" customHeight="1" x14ac:dyDescent="0.35">
      <c r="A101" s="6">
        <v>44</v>
      </c>
      <c r="B101" s="6" t="s">
        <v>191</v>
      </c>
      <c r="C101" s="14" t="s">
        <v>192</v>
      </c>
      <c r="D101" s="301"/>
      <c r="E101" s="301"/>
      <c r="F101" s="1">
        <v>100</v>
      </c>
      <c r="G101" s="1">
        <v>100</v>
      </c>
      <c r="H101" s="5">
        <v>19500</v>
      </c>
      <c r="I101" s="96">
        <f t="shared" si="3"/>
        <v>11700</v>
      </c>
    </row>
    <row r="102" spans="1:9" ht="18" customHeight="1" x14ac:dyDescent="0.35">
      <c r="A102" s="4">
        <v>45</v>
      </c>
      <c r="B102" s="6" t="s">
        <v>193</v>
      </c>
      <c r="C102" s="14" t="s">
        <v>194</v>
      </c>
      <c r="D102" s="301"/>
      <c r="E102" s="301"/>
      <c r="F102" s="1">
        <v>100</v>
      </c>
      <c r="G102" s="1">
        <v>100</v>
      </c>
      <c r="H102" s="5">
        <v>14800</v>
      </c>
      <c r="I102" s="96">
        <f t="shared" si="3"/>
        <v>8880</v>
      </c>
    </row>
    <row r="103" spans="1:9" ht="18" customHeight="1" x14ac:dyDescent="0.35">
      <c r="A103" s="6">
        <v>46</v>
      </c>
      <c r="B103" s="4" t="s">
        <v>195</v>
      </c>
      <c r="C103" s="18" t="s">
        <v>196</v>
      </c>
      <c r="D103" s="301"/>
      <c r="E103" s="301"/>
      <c r="F103" s="1">
        <v>100</v>
      </c>
      <c r="G103" s="1">
        <v>100</v>
      </c>
      <c r="H103" s="5">
        <v>15000</v>
      </c>
      <c r="I103" s="96">
        <f t="shared" si="3"/>
        <v>9000</v>
      </c>
    </row>
    <row r="104" spans="1:9" ht="18" customHeight="1" x14ac:dyDescent="0.35">
      <c r="A104" s="6">
        <v>47</v>
      </c>
      <c r="B104" s="6" t="s">
        <v>197</v>
      </c>
      <c r="C104" s="14" t="s">
        <v>198</v>
      </c>
      <c r="D104" s="301">
        <v>5</v>
      </c>
      <c r="E104" s="301">
        <v>3.75</v>
      </c>
      <c r="F104" s="1">
        <v>80</v>
      </c>
      <c r="G104" s="1">
        <v>65</v>
      </c>
      <c r="H104" s="5">
        <v>24600</v>
      </c>
      <c r="I104" s="96">
        <f t="shared" si="3"/>
        <v>14760</v>
      </c>
    </row>
    <row r="105" spans="1:9" ht="18" customHeight="1" x14ac:dyDescent="0.35">
      <c r="A105" s="4">
        <v>48</v>
      </c>
      <c r="B105" s="4"/>
      <c r="C105" s="20" t="s">
        <v>199</v>
      </c>
      <c r="D105" s="301"/>
      <c r="E105" s="301"/>
      <c r="F105" s="1">
        <v>80</v>
      </c>
      <c r="G105" s="1">
        <v>65</v>
      </c>
      <c r="H105" s="5">
        <v>26000</v>
      </c>
      <c r="I105" s="96">
        <f t="shared" si="3"/>
        <v>15600</v>
      </c>
    </row>
    <row r="106" spans="1:9" ht="18" customHeight="1" x14ac:dyDescent="0.35">
      <c r="A106" s="6">
        <v>49</v>
      </c>
      <c r="B106" s="6" t="s">
        <v>200</v>
      </c>
      <c r="C106" s="20" t="s">
        <v>201</v>
      </c>
      <c r="D106" s="301"/>
      <c r="E106" s="301"/>
      <c r="F106" s="1">
        <v>80</v>
      </c>
      <c r="G106" s="1">
        <v>65</v>
      </c>
      <c r="H106" s="5">
        <v>23600</v>
      </c>
      <c r="I106" s="96">
        <f t="shared" si="3"/>
        <v>14160</v>
      </c>
    </row>
    <row r="107" spans="1:9" ht="18" customHeight="1" x14ac:dyDescent="0.35">
      <c r="A107" s="6">
        <v>50</v>
      </c>
      <c r="B107" s="4" t="s">
        <v>202</v>
      </c>
      <c r="C107" s="18" t="s">
        <v>203</v>
      </c>
      <c r="D107" s="7">
        <v>0.75</v>
      </c>
      <c r="E107" s="7">
        <v>0.56000000000000005</v>
      </c>
      <c r="F107" s="2">
        <v>25</v>
      </c>
      <c r="G107" s="2">
        <v>25</v>
      </c>
      <c r="H107" s="5">
        <v>5170</v>
      </c>
      <c r="I107" s="96">
        <f t="shared" si="3"/>
        <v>3102</v>
      </c>
    </row>
    <row r="108" spans="1:9" ht="18" customHeight="1" x14ac:dyDescent="0.35">
      <c r="A108" s="4">
        <v>51</v>
      </c>
      <c r="B108" s="4" t="s">
        <v>204</v>
      </c>
      <c r="C108" s="18" t="s">
        <v>205</v>
      </c>
      <c r="D108" s="301">
        <v>1</v>
      </c>
      <c r="E108" s="301">
        <v>0.75</v>
      </c>
      <c r="F108" s="1">
        <v>40</v>
      </c>
      <c r="G108" s="1">
        <v>40</v>
      </c>
      <c r="H108" s="5">
        <v>9000</v>
      </c>
      <c r="I108" s="96">
        <f t="shared" si="3"/>
        <v>5400</v>
      </c>
    </row>
    <row r="109" spans="1:9" ht="18" customHeight="1" x14ac:dyDescent="0.35">
      <c r="A109" s="6">
        <v>52</v>
      </c>
      <c r="B109" s="4"/>
      <c r="C109" s="18" t="s">
        <v>206</v>
      </c>
      <c r="D109" s="301"/>
      <c r="E109" s="301"/>
      <c r="F109" s="1">
        <v>40</v>
      </c>
      <c r="G109" s="1">
        <v>40</v>
      </c>
      <c r="H109" s="5">
        <v>9000</v>
      </c>
      <c r="I109" s="96">
        <f t="shared" si="3"/>
        <v>5400</v>
      </c>
    </row>
    <row r="110" spans="1:9" ht="18" customHeight="1" x14ac:dyDescent="0.35">
      <c r="A110" s="6">
        <v>53</v>
      </c>
      <c r="B110" s="4"/>
      <c r="C110" s="20" t="s">
        <v>207</v>
      </c>
      <c r="D110" s="301">
        <v>2</v>
      </c>
      <c r="E110" s="301">
        <v>1.5</v>
      </c>
      <c r="F110" s="1">
        <v>75</v>
      </c>
      <c r="G110" s="1">
        <v>75</v>
      </c>
      <c r="H110" s="5">
        <v>12500</v>
      </c>
      <c r="I110" s="96">
        <f t="shared" si="3"/>
        <v>7500</v>
      </c>
    </row>
    <row r="111" spans="1:9" ht="18" customHeight="1" x14ac:dyDescent="0.35">
      <c r="A111" s="4">
        <v>54</v>
      </c>
      <c r="B111" s="4" t="s">
        <v>208</v>
      </c>
      <c r="C111" s="20" t="s">
        <v>209</v>
      </c>
      <c r="D111" s="301"/>
      <c r="E111" s="301"/>
      <c r="F111" s="1">
        <v>75</v>
      </c>
      <c r="G111" s="1">
        <v>75</v>
      </c>
      <c r="H111" s="5">
        <v>12500</v>
      </c>
      <c r="I111" s="96">
        <f t="shared" si="3"/>
        <v>7500</v>
      </c>
    </row>
    <row r="112" spans="1:9" ht="18" customHeight="1" x14ac:dyDescent="0.35">
      <c r="A112" s="6">
        <v>55</v>
      </c>
      <c r="B112" s="4" t="s">
        <v>210</v>
      </c>
      <c r="C112" s="20" t="s">
        <v>211</v>
      </c>
      <c r="D112" s="301"/>
      <c r="E112" s="301"/>
      <c r="F112" s="1">
        <v>65</v>
      </c>
      <c r="G112" s="1">
        <v>50</v>
      </c>
      <c r="H112" s="5">
        <v>12200</v>
      </c>
      <c r="I112" s="96">
        <f t="shared" si="3"/>
        <v>7320</v>
      </c>
    </row>
    <row r="113" spans="1:9" ht="18" customHeight="1" x14ac:dyDescent="0.35">
      <c r="A113" s="6">
        <v>56</v>
      </c>
      <c r="B113" s="4" t="s">
        <v>212</v>
      </c>
      <c r="C113" s="20" t="s">
        <v>213</v>
      </c>
      <c r="D113" s="301"/>
      <c r="E113" s="301"/>
      <c r="F113" s="1">
        <v>50</v>
      </c>
      <c r="G113" s="1">
        <v>50</v>
      </c>
      <c r="H113" s="5">
        <v>12200</v>
      </c>
      <c r="I113" s="96">
        <f t="shared" si="3"/>
        <v>7320</v>
      </c>
    </row>
    <row r="114" spans="1:9" ht="18" customHeight="1" x14ac:dyDescent="0.35">
      <c r="A114" s="300" t="s">
        <v>214</v>
      </c>
      <c r="B114" s="300"/>
      <c r="C114" s="300"/>
      <c r="D114" s="300"/>
      <c r="E114" s="300"/>
      <c r="F114" s="300"/>
      <c r="G114" s="300"/>
      <c r="H114" s="287" t="s">
        <v>109</v>
      </c>
      <c r="I114" s="315" t="s">
        <v>497</v>
      </c>
    </row>
    <row r="115" spans="1:9" ht="18" customHeight="1" x14ac:dyDescent="0.35">
      <c r="A115" s="287" t="s">
        <v>2</v>
      </c>
      <c r="B115" s="287" t="s">
        <v>3</v>
      </c>
      <c r="C115" s="298" t="s">
        <v>4</v>
      </c>
      <c r="D115" s="287" t="s">
        <v>5</v>
      </c>
      <c r="E115" s="287"/>
      <c r="F115" s="287" t="s">
        <v>6</v>
      </c>
      <c r="G115" s="287"/>
      <c r="H115" s="287"/>
      <c r="I115" s="315"/>
    </row>
    <row r="116" spans="1:9" ht="18" customHeight="1" x14ac:dyDescent="0.35">
      <c r="A116" s="287"/>
      <c r="B116" s="287"/>
      <c r="C116" s="298"/>
      <c r="D116" s="11" t="s">
        <v>9</v>
      </c>
      <c r="E116" s="11" t="s">
        <v>10</v>
      </c>
      <c r="F116" s="11" t="s">
        <v>11</v>
      </c>
      <c r="G116" s="11" t="s">
        <v>12</v>
      </c>
      <c r="H116" s="287"/>
      <c r="I116" s="315"/>
    </row>
    <row r="117" spans="1:9" ht="18" customHeight="1" x14ac:dyDescent="0.35">
      <c r="A117" s="4">
        <v>1</v>
      </c>
      <c r="B117" s="4" t="s">
        <v>215</v>
      </c>
      <c r="C117" s="12" t="s">
        <v>216</v>
      </c>
      <c r="D117" s="2">
        <v>0.5</v>
      </c>
      <c r="E117" s="2">
        <v>0.37</v>
      </c>
      <c r="F117" s="2">
        <v>25</v>
      </c>
      <c r="G117" s="2">
        <v>25</v>
      </c>
      <c r="H117" s="13">
        <v>5370</v>
      </c>
      <c r="I117" s="96">
        <f t="shared" ref="I117:I128" si="4">H117*0.63</f>
        <v>3383.1</v>
      </c>
    </row>
    <row r="118" spans="1:9" ht="18" customHeight="1" x14ac:dyDescent="0.35">
      <c r="A118" s="4">
        <v>2</v>
      </c>
      <c r="B118" s="4" t="s">
        <v>217</v>
      </c>
      <c r="C118" s="12" t="s">
        <v>218</v>
      </c>
      <c r="D118" s="2">
        <v>1</v>
      </c>
      <c r="E118" s="2">
        <v>0.75</v>
      </c>
      <c r="F118" s="2">
        <v>25</v>
      </c>
      <c r="G118" s="2">
        <v>25</v>
      </c>
      <c r="H118" s="13">
        <v>7070</v>
      </c>
      <c r="I118" s="149">
        <v>4793</v>
      </c>
    </row>
    <row r="119" spans="1:9" ht="18" customHeight="1" x14ac:dyDescent="0.35">
      <c r="A119" s="4">
        <v>3</v>
      </c>
      <c r="B119" s="21" t="s">
        <v>219</v>
      </c>
      <c r="C119" s="22" t="s">
        <v>220</v>
      </c>
      <c r="D119" s="23">
        <v>2</v>
      </c>
      <c r="E119" s="4">
        <v>1.5</v>
      </c>
      <c r="F119" s="4">
        <v>50</v>
      </c>
      <c r="G119" s="4">
        <v>50</v>
      </c>
      <c r="H119" s="4">
        <v>12200</v>
      </c>
      <c r="I119" s="96">
        <f t="shared" si="4"/>
        <v>7686</v>
      </c>
    </row>
    <row r="120" spans="1:9" ht="18" customHeight="1" x14ac:dyDescent="0.35">
      <c r="A120" s="4">
        <v>4</v>
      </c>
      <c r="B120" s="21" t="s">
        <v>221</v>
      </c>
      <c r="C120" s="22" t="s">
        <v>222</v>
      </c>
      <c r="D120" s="23">
        <v>2</v>
      </c>
      <c r="E120" s="4">
        <v>1.5</v>
      </c>
      <c r="F120" s="4">
        <v>50</v>
      </c>
      <c r="G120" s="4">
        <v>50</v>
      </c>
      <c r="H120" s="4">
        <v>12200</v>
      </c>
      <c r="I120" s="96">
        <f t="shared" si="4"/>
        <v>7686</v>
      </c>
    </row>
    <row r="121" spans="1:9" ht="18" customHeight="1" x14ac:dyDescent="0.35">
      <c r="A121" s="4">
        <v>5</v>
      </c>
      <c r="B121" s="21" t="s">
        <v>223</v>
      </c>
      <c r="C121" s="22" t="s">
        <v>224</v>
      </c>
      <c r="D121" s="23">
        <v>2</v>
      </c>
      <c r="E121" s="4">
        <v>1.5</v>
      </c>
      <c r="F121" s="4">
        <v>65</v>
      </c>
      <c r="G121" s="4">
        <v>50</v>
      </c>
      <c r="H121" s="4">
        <v>12300</v>
      </c>
      <c r="I121" s="96">
        <f t="shared" si="4"/>
        <v>7749</v>
      </c>
    </row>
    <row r="122" spans="1:9" ht="18" customHeight="1" x14ac:dyDescent="0.35">
      <c r="A122" s="4">
        <v>6</v>
      </c>
      <c r="B122" s="21" t="s">
        <v>225</v>
      </c>
      <c r="C122" s="22" t="s">
        <v>226</v>
      </c>
      <c r="D122" s="23">
        <v>2</v>
      </c>
      <c r="E122" s="4">
        <v>1.5</v>
      </c>
      <c r="F122" s="4">
        <v>65</v>
      </c>
      <c r="G122" s="4">
        <v>50</v>
      </c>
      <c r="H122" s="4">
        <v>12300</v>
      </c>
      <c r="I122" s="96">
        <f t="shared" si="4"/>
        <v>7749</v>
      </c>
    </row>
    <row r="123" spans="1:9" ht="18" customHeight="1" x14ac:dyDescent="0.35">
      <c r="A123" s="4">
        <v>7</v>
      </c>
      <c r="B123" s="21" t="s">
        <v>227</v>
      </c>
      <c r="C123" s="22" t="s">
        <v>228</v>
      </c>
      <c r="D123" s="21">
        <v>3</v>
      </c>
      <c r="E123" s="4">
        <v>2.25</v>
      </c>
      <c r="F123" s="4">
        <v>65</v>
      </c>
      <c r="G123" s="4">
        <v>50</v>
      </c>
      <c r="H123" s="4">
        <v>12900</v>
      </c>
      <c r="I123" s="96">
        <f t="shared" si="4"/>
        <v>8127</v>
      </c>
    </row>
    <row r="124" spans="1:9" ht="18" customHeight="1" x14ac:dyDescent="0.35">
      <c r="A124" s="4">
        <v>8</v>
      </c>
      <c r="B124" s="21" t="s">
        <v>229</v>
      </c>
      <c r="C124" s="24" t="s">
        <v>230</v>
      </c>
      <c r="D124" s="21">
        <v>3</v>
      </c>
      <c r="E124" s="4">
        <v>2.25</v>
      </c>
      <c r="F124" s="4">
        <v>65</v>
      </c>
      <c r="G124" s="4">
        <v>50</v>
      </c>
      <c r="H124" s="4">
        <v>13000</v>
      </c>
      <c r="I124" s="96">
        <f t="shared" si="4"/>
        <v>8190</v>
      </c>
    </row>
    <row r="125" spans="1:9" ht="18" customHeight="1" x14ac:dyDescent="0.35">
      <c r="A125" s="4">
        <v>9</v>
      </c>
      <c r="B125" s="21" t="s">
        <v>231</v>
      </c>
      <c r="C125" s="24" t="s">
        <v>232</v>
      </c>
      <c r="D125" s="21">
        <v>3</v>
      </c>
      <c r="E125" s="4">
        <v>2.25</v>
      </c>
      <c r="F125" s="4">
        <v>65</v>
      </c>
      <c r="G125" s="4">
        <v>50</v>
      </c>
      <c r="H125" s="4">
        <v>12900</v>
      </c>
      <c r="I125" s="96">
        <f t="shared" si="4"/>
        <v>8127</v>
      </c>
    </row>
    <row r="126" spans="1:9" ht="18" customHeight="1" x14ac:dyDescent="0.35">
      <c r="A126" s="4">
        <v>10</v>
      </c>
      <c r="B126" s="21" t="s">
        <v>233</v>
      </c>
      <c r="C126" s="24" t="s">
        <v>234</v>
      </c>
      <c r="D126" s="21">
        <v>3</v>
      </c>
      <c r="E126" s="4">
        <v>2.25</v>
      </c>
      <c r="F126" s="4">
        <v>65</v>
      </c>
      <c r="G126" s="4">
        <v>50</v>
      </c>
      <c r="H126" s="4">
        <v>19300</v>
      </c>
      <c r="I126" s="96">
        <f t="shared" si="4"/>
        <v>12159</v>
      </c>
    </row>
    <row r="127" spans="1:9" ht="18" customHeight="1" x14ac:dyDescent="0.35">
      <c r="A127" s="4">
        <v>11</v>
      </c>
      <c r="B127" s="21" t="s">
        <v>235</v>
      </c>
      <c r="C127" s="24" t="s">
        <v>236</v>
      </c>
      <c r="D127" s="21">
        <v>5</v>
      </c>
      <c r="E127" s="1">
        <v>3.75</v>
      </c>
      <c r="F127" s="4">
        <v>65</v>
      </c>
      <c r="G127" s="4">
        <v>50</v>
      </c>
      <c r="H127" s="4">
        <v>18700</v>
      </c>
      <c r="I127" s="96">
        <f t="shared" si="4"/>
        <v>11781</v>
      </c>
    </row>
    <row r="128" spans="1:9" ht="18" customHeight="1" x14ac:dyDescent="0.35">
      <c r="A128" s="4">
        <v>12</v>
      </c>
      <c r="B128" s="21" t="s">
        <v>237</v>
      </c>
      <c r="C128" s="24" t="s">
        <v>238</v>
      </c>
      <c r="D128" s="21">
        <v>5</v>
      </c>
      <c r="E128" s="1">
        <v>3.75</v>
      </c>
      <c r="F128" s="4">
        <v>65</v>
      </c>
      <c r="G128" s="4">
        <v>50</v>
      </c>
      <c r="H128" s="4">
        <v>22900</v>
      </c>
      <c r="I128" s="96">
        <f t="shared" si="4"/>
        <v>14427</v>
      </c>
    </row>
    <row r="129" spans="1:9" ht="18" customHeight="1" x14ac:dyDescent="0.35">
      <c r="A129" s="300" t="s">
        <v>239</v>
      </c>
      <c r="B129" s="300"/>
      <c r="C129" s="300"/>
      <c r="D129" s="300"/>
      <c r="E129" s="300"/>
      <c r="F129" s="300"/>
      <c r="G129" s="300"/>
      <c r="H129" s="287" t="s">
        <v>109</v>
      </c>
      <c r="I129" s="315" t="s">
        <v>497</v>
      </c>
    </row>
    <row r="130" spans="1:9" ht="18" customHeight="1" x14ac:dyDescent="0.35">
      <c r="A130" s="287" t="s">
        <v>2</v>
      </c>
      <c r="B130" s="287" t="s">
        <v>3</v>
      </c>
      <c r="C130" s="298" t="s">
        <v>4</v>
      </c>
      <c r="D130" s="287" t="s">
        <v>5</v>
      </c>
      <c r="E130" s="287"/>
      <c r="F130" s="287" t="s">
        <v>6</v>
      </c>
      <c r="G130" s="287"/>
      <c r="H130" s="287"/>
      <c r="I130" s="315"/>
    </row>
    <row r="131" spans="1:9" ht="18" customHeight="1" x14ac:dyDescent="0.35">
      <c r="A131" s="287"/>
      <c r="B131" s="287"/>
      <c r="C131" s="298"/>
      <c r="D131" s="11" t="s">
        <v>9</v>
      </c>
      <c r="E131" s="11" t="s">
        <v>10</v>
      </c>
      <c r="F131" s="287"/>
      <c r="G131" s="287"/>
      <c r="H131" s="287"/>
      <c r="I131" s="315"/>
    </row>
    <row r="132" spans="1:9" ht="18" customHeight="1" x14ac:dyDescent="0.35">
      <c r="A132" s="4">
        <v>1</v>
      </c>
      <c r="B132" s="4" t="s">
        <v>240</v>
      </c>
      <c r="C132" s="25" t="s">
        <v>241</v>
      </c>
      <c r="D132" s="4">
        <v>0.5</v>
      </c>
      <c r="E132" s="4"/>
      <c r="F132" s="292">
        <v>32</v>
      </c>
      <c r="G132" s="292"/>
      <c r="H132" s="4">
        <v>8240</v>
      </c>
      <c r="I132" s="96">
        <f t="shared" ref="I132:I154" si="5">H132*0.63</f>
        <v>5191.2</v>
      </c>
    </row>
    <row r="133" spans="1:9" ht="18" customHeight="1" x14ac:dyDescent="0.35">
      <c r="A133" s="4">
        <v>2</v>
      </c>
      <c r="B133" s="4" t="s">
        <v>242</v>
      </c>
      <c r="C133" s="25" t="s">
        <v>243</v>
      </c>
      <c r="D133" s="4">
        <v>0.5</v>
      </c>
      <c r="E133" s="4"/>
      <c r="F133" s="292">
        <v>32</v>
      </c>
      <c r="G133" s="292"/>
      <c r="H133" s="4">
        <v>8450</v>
      </c>
      <c r="I133" s="96">
        <f t="shared" si="5"/>
        <v>5323.5</v>
      </c>
    </row>
    <row r="134" spans="1:9" ht="18" customHeight="1" x14ac:dyDescent="0.35">
      <c r="A134" s="4">
        <v>3</v>
      </c>
      <c r="B134" s="4" t="s">
        <v>244</v>
      </c>
      <c r="C134" s="25" t="s">
        <v>245</v>
      </c>
      <c r="D134" s="4">
        <v>0.75</v>
      </c>
      <c r="E134" s="4"/>
      <c r="F134" s="292">
        <v>32</v>
      </c>
      <c r="G134" s="292"/>
      <c r="H134" s="4">
        <v>8550</v>
      </c>
      <c r="I134" s="96">
        <f t="shared" si="5"/>
        <v>5386.5</v>
      </c>
    </row>
    <row r="135" spans="1:9" ht="18" customHeight="1" x14ac:dyDescent="0.35">
      <c r="A135" s="4">
        <v>4</v>
      </c>
      <c r="B135" s="4" t="s">
        <v>246</v>
      </c>
      <c r="C135" s="25" t="s">
        <v>247</v>
      </c>
      <c r="D135" s="4">
        <v>0.75</v>
      </c>
      <c r="E135" s="4"/>
      <c r="F135" s="292">
        <v>32</v>
      </c>
      <c r="G135" s="292"/>
      <c r="H135" s="4">
        <v>8750</v>
      </c>
      <c r="I135" s="96">
        <f t="shared" si="5"/>
        <v>5512.5</v>
      </c>
    </row>
    <row r="136" spans="1:9" ht="18" customHeight="1" x14ac:dyDescent="0.35">
      <c r="A136" s="4">
        <v>5</v>
      </c>
      <c r="B136" s="4" t="s">
        <v>248</v>
      </c>
      <c r="C136" s="25" t="s">
        <v>249</v>
      </c>
      <c r="D136" s="4">
        <v>1</v>
      </c>
      <c r="E136" s="4"/>
      <c r="F136" s="292">
        <v>32</v>
      </c>
      <c r="G136" s="292"/>
      <c r="H136" s="26">
        <v>8800</v>
      </c>
      <c r="I136" s="96">
        <f t="shared" si="5"/>
        <v>5544</v>
      </c>
    </row>
    <row r="137" spans="1:9" ht="18" customHeight="1" x14ac:dyDescent="0.35">
      <c r="A137" s="4">
        <v>6</v>
      </c>
      <c r="B137" s="4" t="s">
        <v>250</v>
      </c>
      <c r="C137" s="25" t="s">
        <v>251</v>
      </c>
      <c r="D137" s="4">
        <v>1</v>
      </c>
      <c r="E137" s="4"/>
      <c r="F137" s="292">
        <v>32</v>
      </c>
      <c r="G137" s="292"/>
      <c r="H137" s="26">
        <v>9000</v>
      </c>
      <c r="I137" s="96">
        <f t="shared" si="5"/>
        <v>5670</v>
      </c>
    </row>
    <row r="138" spans="1:9" ht="18" customHeight="1" x14ac:dyDescent="0.35">
      <c r="A138" s="4">
        <v>7</v>
      </c>
      <c r="B138" s="4" t="s">
        <v>252</v>
      </c>
      <c r="C138" s="25" t="s">
        <v>253</v>
      </c>
      <c r="D138" s="4">
        <v>1</v>
      </c>
      <c r="E138" s="4"/>
      <c r="F138" s="292">
        <v>32</v>
      </c>
      <c r="G138" s="292"/>
      <c r="H138" s="4">
        <v>9480</v>
      </c>
      <c r="I138" s="96">
        <f t="shared" si="5"/>
        <v>5972.4</v>
      </c>
    </row>
    <row r="139" spans="1:9" ht="18" customHeight="1" x14ac:dyDescent="0.35">
      <c r="A139" s="4">
        <v>8</v>
      </c>
      <c r="B139" s="4" t="s">
        <v>254</v>
      </c>
      <c r="C139" s="25" t="s">
        <v>255</v>
      </c>
      <c r="D139" s="4">
        <v>1</v>
      </c>
      <c r="E139" s="4"/>
      <c r="F139" s="292">
        <v>32</v>
      </c>
      <c r="G139" s="292"/>
      <c r="H139" s="4">
        <v>9790</v>
      </c>
      <c r="I139" s="96">
        <f t="shared" si="5"/>
        <v>6167.7</v>
      </c>
    </row>
    <row r="140" spans="1:9" ht="18" customHeight="1" x14ac:dyDescent="0.35">
      <c r="A140" s="4">
        <v>9</v>
      </c>
      <c r="B140" s="4" t="s">
        <v>256</v>
      </c>
      <c r="C140" s="25" t="s">
        <v>257</v>
      </c>
      <c r="D140" s="4">
        <v>1.5</v>
      </c>
      <c r="E140" s="4"/>
      <c r="F140" s="292">
        <v>32</v>
      </c>
      <c r="G140" s="292"/>
      <c r="H140" s="4">
        <v>11330</v>
      </c>
      <c r="I140" s="96">
        <f t="shared" si="5"/>
        <v>7137.9</v>
      </c>
    </row>
    <row r="141" spans="1:9" ht="18" customHeight="1" x14ac:dyDescent="0.35">
      <c r="A141" s="4">
        <v>10</v>
      </c>
      <c r="B141" s="4" t="s">
        <v>258</v>
      </c>
      <c r="C141" s="25" t="s">
        <v>259</v>
      </c>
      <c r="D141" s="4">
        <v>1.5</v>
      </c>
      <c r="E141" s="4"/>
      <c r="F141" s="292">
        <v>32</v>
      </c>
      <c r="G141" s="292"/>
      <c r="H141" s="4">
        <v>11640</v>
      </c>
      <c r="I141" s="96">
        <f t="shared" si="5"/>
        <v>7333.2</v>
      </c>
    </row>
    <row r="142" spans="1:9" ht="18" customHeight="1" x14ac:dyDescent="0.35">
      <c r="A142" s="4">
        <v>11</v>
      </c>
      <c r="B142" s="4" t="s">
        <v>260</v>
      </c>
      <c r="C142" s="25" t="s">
        <v>261</v>
      </c>
      <c r="D142" s="4">
        <v>1.5</v>
      </c>
      <c r="E142" s="4"/>
      <c r="F142" s="292">
        <v>32</v>
      </c>
      <c r="G142" s="292"/>
      <c r="H142" s="4">
        <v>11800</v>
      </c>
      <c r="I142" s="96">
        <f t="shared" si="5"/>
        <v>7434</v>
      </c>
    </row>
    <row r="143" spans="1:9" ht="18" customHeight="1" x14ac:dyDescent="0.35">
      <c r="A143" s="4">
        <v>12</v>
      </c>
      <c r="B143" s="4" t="s">
        <v>262</v>
      </c>
      <c r="C143" s="25" t="s">
        <v>263</v>
      </c>
      <c r="D143" s="4">
        <v>1.5</v>
      </c>
      <c r="E143" s="4"/>
      <c r="F143" s="292">
        <v>32</v>
      </c>
      <c r="G143" s="292"/>
      <c r="H143" s="4">
        <v>12670</v>
      </c>
      <c r="I143" s="96">
        <f t="shared" si="5"/>
        <v>7982.1</v>
      </c>
    </row>
    <row r="144" spans="1:9" ht="18" customHeight="1" x14ac:dyDescent="0.35">
      <c r="A144" s="4">
        <v>13</v>
      </c>
      <c r="B144" s="4" t="s">
        <v>264</v>
      </c>
      <c r="C144" s="25" t="s">
        <v>265</v>
      </c>
      <c r="D144" s="4">
        <v>2</v>
      </c>
      <c r="E144" s="4"/>
      <c r="F144" s="292">
        <v>40</v>
      </c>
      <c r="G144" s="292"/>
      <c r="H144" s="4">
        <v>14730</v>
      </c>
      <c r="I144" s="96">
        <f t="shared" si="5"/>
        <v>9279.9</v>
      </c>
    </row>
    <row r="145" spans="1:9" ht="18" customHeight="1" x14ac:dyDescent="0.35">
      <c r="A145" s="4">
        <v>14</v>
      </c>
      <c r="B145" s="4" t="s">
        <v>266</v>
      </c>
      <c r="C145" s="25" t="s">
        <v>267</v>
      </c>
      <c r="D145" s="4">
        <v>2</v>
      </c>
      <c r="E145" s="4"/>
      <c r="F145" s="292">
        <v>32</v>
      </c>
      <c r="G145" s="292"/>
      <c r="H145" s="4">
        <v>15250</v>
      </c>
      <c r="I145" s="96">
        <f t="shared" si="5"/>
        <v>9607.5</v>
      </c>
    </row>
    <row r="146" spans="1:9" ht="18" customHeight="1" x14ac:dyDescent="0.35">
      <c r="A146" s="4">
        <v>15</v>
      </c>
      <c r="B146" s="4" t="s">
        <v>268</v>
      </c>
      <c r="C146" s="25" t="s">
        <v>269</v>
      </c>
      <c r="D146" s="4">
        <v>2</v>
      </c>
      <c r="E146" s="4"/>
      <c r="F146" s="292">
        <v>32</v>
      </c>
      <c r="G146" s="292"/>
      <c r="H146" s="4">
        <v>15860</v>
      </c>
      <c r="I146" s="96">
        <f t="shared" si="5"/>
        <v>9991.7999999999993</v>
      </c>
    </row>
    <row r="147" spans="1:9" ht="18" customHeight="1" x14ac:dyDescent="0.35">
      <c r="A147" s="4">
        <v>16</v>
      </c>
      <c r="B147" s="4" t="s">
        <v>270</v>
      </c>
      <c r="C147" s="25" t="s">
        <v>271</v>
      </c>
      <c r="D147" s="4">
        <v>2</v>
      </c>
      <c r="E147" s="4"/>
      <c r="F147" s="292">
        <v>32</v>
      </c>
      <c r="G147" s="292"/>
      <c r="H147" s="4">
        <v>15970</v>
      </c>
      <c r="I147" s="96">
        <f t="shared" si="5"/>
        <v>10061.1</v>
      </c>
    </row>
    <row r="148" spans="1:9" ht="18" customHeight="1" x14ac:dyDescent="0.35">
      <c r="A148" s="4">
        <v>17</v>
      </c>
      <c r="B148" s="4" t="s">
        <v>272</v>
      </c>
      <c r="C148" s="25" t="s">
        <v>273</v>
      </c>
      <c r="D148" s="4">
        <v>2</v>
      </c>
      <c r="E148" s="4"/>
      <c r="F148" s="292">
        <v>32</v>
      </c>
      <c r="G148" s="292"/>
      <c r="H148" s="4">
        <v>16480</v>
      </c>
      <c r="I148" s="96">
        <f t="shared" si="5"/>
        <v>10382.4</v>
      </c>
    </row>
    <row r="149" spans="1:9" ht="18" customHeight="1" x14ac:dyDescent="0.35">
      <c r="A149" s="4">
        <v>18</v>
      </c>
      <c r="B149" s="4" t="s">
        <v>274</v>
      </c>
      <c r="C149" s="25" t="s">
        <v>275</v>
      </c>
      <c r="D149" s="4">
        <v>2</v>
      </c>
      <c r="E149" s="4"/>
      <c r="F149" s="292">
        <v>65</v>
      </c>
      <c r="G149" s="292"/>
      <c r="H149" s="4">
        <v>14940</v>
      </c>
      <c r="I149" s="96">
        <f t="shared" si="5"/>
        <v>9412.2000000000007</v>
      </c>
    </row>
    <row r="150" spans="1:9" ht="18" customHeight="1" x14ac:dyDescent="0.35">
      <c r="A150" s="4">
        <v>19</v>
      </c>
      <c r="B150" s="4" t="s">
        <v>276</v>
      </c>
      <c r="C150" s="25" t="s">
        <v>277</v>
      </c>
      <c r="D150" s="4">
        <v>3</v>
      </c>
      <c r="E150" s="4"/>
      <c r="F150" s="292">
        <v>32</v>
      </c>
      <c r="G150" s="292"/>
      <c r="H150" s="4">
        <v>23500</v>
      </c>
      <c r="I150" s="96">
        <f t="shared" si="5"/>
        <v>14805</v>
      </c>
    </row>
    <row r="151" spans="1:9" ht="18" customHeight="1" x14ac:dyDescent="0.35">
      <c r="A151" s="4">
        <v>20</v>
      </c>
      <c r="B151" s="4" t="s">
        <v>278</v>
      </c>
      <c r="C151" s="25" t="s">
        <v>279</v>
      </c>
      <c r="D151" s="4">
        <v>3</v>
      </c>
      <c r="E151" s="4"/>
      <c r="F151" s="292">
        <v>32</v>
      </c>
      <c r="G151" s="292"/>
      <c r="H151" s="4">
        <v>24000</v>
      </c>
      <c r="I151" s="96">
        <f t="shared" si="5"/>
        <v>15120</v>
      </c>
    </row>
    <row r="152" spans="1:9" ht="18" customHeight="1" x14ac:dyDescent="0.35">
      <c r="A152" s="4">
        <v>21</v>
      </c>
      <c r="B152" s="4" t="s">
        <v>280</v>
      </c>
      <c r="C152" s="25" t="s">
        <v>281</v>
      </c>
      <c r="D152" s="4">
        <v>3</v>
      </c>
      <c r="E152" s="4"/>
      <c r="F152" s="292">
        <v>32</v>
      </c>
      <c r="G152" s="292"/>
      <c r="H152" s="4">
        <v>24500</v>
      </c>
      <c r="I152" s="96">
        <f t="shared" si="5"/>
        <v>15435</v>
      </c>
    </row>
    <row r="153" spans="1:9" ht="18" customHeight="1" x14ac:dyDescent="0.35">
      <c r="A153" s="4">
        <v>22</v>
      </c>
      <c r="B153" s="4" t="s">
        <v>282</v>
      </c>
      <c r="C153" s="25" t="s">
        <v>283</v>
      </c>
      <c r="D153" s="4">
        <v>3</v>
      </c>
      <c r="E153" s="4"/>
      <c r="F153" s="292">
        <v>65</v>
      </c>
      <c r="G153" s="292"/>
      <c r="H153" s="4">
        <v>23690</v>
      </c>
      <c r="I153" s="96">
        <f t="shared" si="5"/>
        <v>14924.7</v>
      </c>
    </row>
    <row r="154" spans="1:9" ht="18" customHeight="1" x14ac:dyDescent="0.35">
      <c r="A154" s="4">
        <v>23</v>
      </c>
      <c r="B154" s="4" t="s">
        <v>284</v>
      </c>
      <c r="C154" s="25" t="s">
        <v>283</v>
      </c>
      <c r="D154" s="4">
        <v>3</v>
      </c>
      <c r="E154" s="4"/>
      <c r="F154" s="292">
        <v>65</v>
      </c>
      <c r="G154" s="292"/>
      <c r="H154" s="4">
        <v>15450</v>
      </c>
      <c r="I154" s="96">
        <f t="shared" si="5"/>
        <v>9733.5</v>
      </c>
    </row>
    <row r="155" spans="1:9" ht="18" customHeight="1" x14ac:dyDescent="0.35">
      <c r="A155" s="300" t="s">
        <v>285</v>
      </c>
      <c r="B155" s="300"/>
      <c r="C155" s="300"/>
      <c r="D155" s="300"/>
      <c r="E155" s="300"/>
      <c r="F155" s="300"/>
      <c r="G155" s="300"/>
      <c r="H155" s="287" t="s">
        <v>109</v>
      </c>
      <c r="I155" s="315" t="s">
        <v>497</v>
      </c>
    </row>
    <row r="156" spans="1:9" ht="18" customHeight="1" x14ac:dyDescent="0.35">
      <c r="A156" s="287" t="s">
        <v>2</v>
      </c>
      <c r="B156" s="287" t="s">
        <v>3</v>
      </c>
      <c r="C156" s="298" t="s">
        <v>4</v>
      </c>
      <c r="D156" s="287" t="s">
        <v>5</v>
      </c>
      <c r="E156" s="287"/>
      <c r="F156" s="287" t="s">
        <v>6</v>
      </c>
      <c r="G156" s="287"/>
      <c r="H156" s="287"/>
      <c r="I156" s="315"/>
    </row>
    <row r="157" spans="1:9" ht="18" customHeight="1" x14ac:dyDescent="0.35">
      <c r="A157" s="287"/>
      <c r="B157" s="287"/>
      <c r="C157" s="298"/>
      <c r="D157" s="11" t="s">
        <v>9</v>
      </c>
      <c r="E157" s="11" t="s">
        <v>10</v>
      </c>
      <c r="F157" s="11" t="s">
        <v>11</v>
      </c>
      <c r="G157" s="11" t="s">
        <v>12</v>
      </c>
      <c r="H157" s="287"/>
      <c r="I157" s="315"/>
    </row>
    <row r="158" spans="1:9" ht="18" customHeight="1" x14ac:dyDescent="0.35">
      <c r="A158" s="4">
        <v>1</v>
      </c>
      <c r="B158" s="4" t="s">
        <v>286</v>
      </c>
      <c r="C158" s="25" t="s">
        <v>287</v>
      </c>
      <c r="D158" s="4">
        <v>0.5</v>
      </c>
      <c r="E158" s="4"/>
      <c r="F158" s="292">
        <v>32</v>
      </c>
      <c r="G158" s="292"/>
      <c r="H158" s="4">
        <v>6800</v>
      </c>
      <c r="I158" s="96">
        <f>H158*0.63</f>
        <v>4284</v>
      </c>
    </row>
    <row r="159" spans="1:9" ht="18" customHeight="1" x14ac:dyDescent="0.35">
      <c r="A159" s="4">
        <v>2</v>
      </c>
      <c r="B159" s="4" t="s">
        <v>288</v>
      </c>
      <c r="C159" s="25" t="s">
        <v>289</v>
      </c>
      <c r="D159" s="4">
        <v>0.5</v>
      </c>
      <c r="E159" s="4"/>
      <c r="F159" s="292">
        <v>32</v>
      </c>
      <c r="G159" s="292"/>
      <c r="H159" s="4">
        <v>7600</v>
      </c>
      <c r="I159" s="96">
        <f t="shared" ref="I159:I172" si="6">H159*0.63</f>
        <v>4788</v>
      </c>
    </row>
    <row r="160" spans="1:9" ht="18" customHeight="1" x14ac:dyDescent="0.35">
      <c r="A160" s="4">
        <v>3</v>
      </c>
      <c r="B160" s="4" t="s">
        <v>290</v>
      </c>
      <c r="C160" s="25" t="s">
        <v>291</v>
      </c>
      <c r="D160" s="4">
        <v>0.75</v>
      </c>
      <c r="E160" s="4"/>
      <c r="F160" s="292">
        <v>32</v>
      </c>
      <c r="G160" s="292"/>
      <c r="H160" s="4">
        <v>7800</v>
      </c>
      <c r="I160" s="96">
        <f t="shared" si="6"/>
        <v>4914</v>
      </c>
    </row>
    <row r="161" spans="1:9" ht="18" customHeight="1" x14ac:dyDescent="0.35">
      <c r="A161" s="4">
        <v>4</v>
      </c>
      <c r="B161" s="4" t="s">
        <v>292</v>
      </c>
      <c r="C161" s="25" t="s">
        <v>293</v>
      </c>
      <c r="D161" s="4">
        <v>0.75</v>
      </c>
      <c r="E161" s="4"/>
      <c r="F161" s="292">
        <v>32</v>
      </c>
      <c r="G161" s="292"/>
      <c r="H161" s="4">
        <v>8000</v>
      </c>
      <c r="I161" s="96">
        <f t="shared" si="6"/>
        <v>5040</v>
      </c>
    </row>
    <row r="162" spans="1:9" ht="18" customHeight="1" x14ac:dyDescent="0.35">
      <c r="A162" s="4">
        <v>5</v>
      </c>
      <c r="B162" s="4" t="s">
        <v>294</v>
      </c>
      <c r="C162" s="25" t="s">
        <v>295</v>
      </c>
      <c r="D162" s="4">
        <v>1</v>
      </c>
      <c r="E162" s="4"/>
      <c r="F162" s="292">
        <v>32</v>
      </c>
      <c r="G162" s="292"/>
      <c r="H162" s="4">
        <v>8200</v>
      </c>
      <c r="I162" s="96">
        <f t="shared" si="6"/>
        <v>5166</v>
      </c>
    </row>
    <row r="163" spans="1:9" ht="18" customHeight="1" x14ac:dyDescent="0.35">
      <c r="A163" s="4">
        <v>6</v>
      </c>
      <c r="B163" s="4" t="s">
        <v>296</v>
      </c>
      <c r="C163" s="25" t="s">
        <v>297</v>
      </c>
      <c r="D163" s="4">
        <v>1</v>
      </c>
      <c r="E163" s="4"/>
      <c r="F163" s="292">
        <v>32</v>
      </c>
      <c r="G163" s="292"/>
      <c r="H163" s="4">
        <v>8400</v>
      </c>
      <c r="I163" s="96">
        <f t="shared" si="6"/>
        <v>5292</v>
      </c>
    </row>
    <row r="164" spans="1:9" ht="18" customHeight="1" x14ac:dyDescent="0.35">
      <c r="A164" s="4">
        <v>7</v>
      </c>
      <c r="B164" s="4" t="s">
        <v>298</v>
      </c>
      <c r="C164" s="25" t="s">
        <v>299</v>
      </c>
      <c r="D164" s="4">
        <v>1</v>
      </c>
      <c r="E164" s="4"/>
      <c r="F164" s="292">
        <v>32</v>
      </c>
      <c r="G164" s="292"/>
      <c r="H164" s="4">
        <v>8600</v>
      </c>
      <c r="I164" s="96">
        <f t="shared" si="6"/>
        <v>5418</v>
      </c>
    </row>
    <row r="165" spans="1:9" ht="18" customHeight="1" x14ac:dyDescent="0.35">
      <c r="A165" s="4">
        <v>8</v>
      </c>
      <c r="B165" s="4" t="s">
        <v>300</v>
      </c>
      <c r="C165" s="25" t="s">
        <v>301</v>
      </c>
      <c r="D165" s="4">
        <v>1.5</v>
      </c>
      <c r="E165" s="4"/>
      <c r="F165" s="292">
        <v>32</v>
      </c>
      <c r="G165" s="292"/>
      <c r="H165" s="4">
        <v>9000</v>
      </c>
      <c r="I165" s="96">
        <f t="shared" si="6"/>
        <v>5670</v>
      </c>
    </row>
    <row r="166" spans="1:9" ht="18" customHeight="1" x14ac:dyDescent="0.35">
      <c r="A166" s="4">
        <v>9</v>
      </c>
      <c r="B166" s="4" t="s">
        <v>302</v>
      </c>
      <c r="C166" s="25" t="s">
        <v>303</v>
      </c>
      <c r="D166" s="4">
        <v>1.5</v>
      </c>
      <c r="E166" s="4"/>
      <c r="F166" s="292">
        <v>32</v>
      </c>
      <c r="G166" s="292"/>
      <c r="H166" s="4">
        <v>10600</v>
      </c>
      <c r="I166" s="96">
        <f t="shared" si="6"/>
        <v>6678</v>
      </c>
    </row>
    <row r="167" spans="1:9" ht="18" customHeight="1" x14ac:dyDescent="0.35">
      <c r="A167" s="4">
        <v>10</v>
      </c>
      <c r="B167" s="4" t="s">
        <v>304</v>
      </c>
      <c r="C167" s="25" t="s">
        <v>305</v>
      </c>
      <c r="D167" s="4">
        <v>1.5</v>
      </c>
      <c r="E167" s="4"/>
      <c r="F167" s="292">
        <v>32</v>
      </c>
      <c r="G167" s="292"/>
      <c r="H167" s="4">
        <v>11000</v>
      </c>
      <c r="I167" s="96">
        <f t="shared" si="6"/>
        <v>6930</v>
      </c>
    </row>
    <row r="168" spans="1:9" ht="18" customHeight="1" x14ac:dyDescent="0.35">
      <c r="A168" s="4">
        <v>11</v>
      </c>
      <c r="B168" s="4" t="s">
        <v>306</v>
      </c>
      <c r="C168" s="25" t="s">
        <v>307</v>
      </c>
      <c r="D168" s="4">
        <v>2</v>
      </c>
      <c r="E168" s="4"/>
      <c r="F168" s="292">
        <v>32</v>
      </c>
      <c r="G168" s="292"/>
      <c r="H168" s="4">
        <v>13000</v>
      </c>
      <c r="I168" s="96">
        <f t="shared" si="6"/>
        <v>8190</v>
      </c>
    </row>
    <row r="169" spans="1:9" ht="18" customHeight="1" x14ac:dyDescent="0.35">
      <c r="A169" s="4">
        <v>12</v>
      </c>
      <c r="B169" s="4" t="s">
        <v>308</v>
      </c>
      <c r="C169" s="25" t="s">
        <v>309</v>
      </c>
      <c r="D169" s="4">
        <v>2</v>
      </c>
      <c r="E169" s="4"/>
      <c r="F169" s="292">
        <v>32</v>
      </c>
      <c r="G169" s="292"/>
      <c r="H169" s="4">
        <v>15500</v>
      </c>
      <c r="I169" s="96">
        <f t="shared" si="6"/>
        <v>9765</v>
      </c>
    </row>
    <row r="170" spans="1:9" ht="18" customHeight="1" x14ac:dyDescent="0.35">
      <c r="A170" s="4">
        <v>13</v>
      </c>
      <c r="B170" s="4" t="s">
        <v>310</v>
      </c>
      <c r="C170" s="25" t="s">
        <v>311</v>
      </c>
      <c r="D170" s="4">
        <v>3</v>
      </c>
      <c r="E170" s="4"/>
      <c r="F170" s="292">
        <v>32</v>
      </c>
      <c r="G170" s="292"/>
      <c r="H170" s="4">
        <v>19000</v>
      </c>
      <c r="I170" s="96">
        <f t="shared" si="6"/>
        <v>11970</v>
      </c>
    </row>
    <row r="171" spans="1:9" ht="18" customHeight="1" x14ac:dyDescent="0.35">
      <c r="A171" s="4">
        <v>14</v>
      </c>
      <c r="B171" s="4" t="s">
        <v>312</v>
      </c>
      <c r="C171" s="25" t="s">
        <v>313</v>
      </c>
      <c r="D171" s="4">
        <v>3</v>
      </c>
      <c r="E171" s="4"/>
      <c r="F171" s="292">
        <v>32</v>
      </c>
      <c r="G171" s="292"/>
      <c r="H171" s="4">
        <v>20000</v>
      </c>
      <c r="I171" s="96">
        <f t="shared" si="6"/>
        <v>12600</v>
      </c>
    </row>
    <row r="172" spans="1:9" ht="18" customHeight="1" x14ac:dyDescent="0.35">
      <c r="A172" s="4">
        <v>15</v>
      </c>
      <c r="B172" s="4" t="s">
        <v>314</v>
      </c>
      <c r="C172" s="25" t="s">
        <v>315</v>
      </c>
      <c r="D172" s="4">
        <v>3</v>
      </c>
      <c r="E172" s="4"/>
      <c r="F172" s="292">
        <v>32</v>
      </c>
      <c r="G172" s="292"/>
      <c r="H172" s="4">
        <v>20500</v>
      </c>
      <c r="I172" s="96">
        <f t="shared" si="6"/>
        <v>12915</v>
      </c>
    </row>
  </sheetData>
  <mergeCells count="95">
    <mergeCell ref="A1:I3"/>
    <mergeCell ref="A4:I4"/>
    <mergeCell ref="A5:A6"/>
    <mergeCell ref="B5:B6"/>
    <mergeCell ref="C5:C6"/>
    <mergeCell ref="D5:E5"/>
    <mergeCell ref="F5:G5"/>
    <mergeCell ref="H5:H6"/>
    <mergeCell ref="I5:I6"/>
    <mergeCell ref="A55:G55"/>
    <mergeCell ref="H55:H57"/>
    <mergeCell ref="I55:I57"/>
    <mergeCell ref="A56:A57"/>
    <mergeCell ref="B56:B57"/>
    <mergeCell ref="C56:C57"/>
    <mergeCell ref="D56:E56"/>
    <mergeCell ref="F56:G56"/>
    <mergeCell ref="D58:D59"/>
    <mergeCell ref="E58:E59"/>
    <mergeCell ref="D61:D66"/>
    <mergeCell ref="E61:E66"/>
    <mergeCell ref="D67:D73"/>
    <mergeCell ref="E67:E73"/>
    <mergeCell ref="D74:D91"/>
    <mergeCell ref="E74:E91"/>
    <mergeCell ref="D92:D103"/>
    <mergeCell ref="E92:E103"/>
    <mergeCell ref="D104:D106"/>
    <mergeCell ref="E104:E106"/>
    <mergeCell ref="D108:D109"/>
    <mergeCell ref="E108:E109"/>
    <mergeCell ref="D110:D113"/>
    <mergeCell ref="E110:E113"/>
    <mergeCell ref="A114:G114"/>
    <mergeCell ref="I114:I116"/>
    <mergeCell ref="A115:A116"/>
    <mergeCell ref="B115:B116"/>
    <mergeCell ref="C115:C116"/>
    <mergeCell ref="D115:E115"/>
    <mergeCell ref="F115:G115"/>
    <mergeCell ref="H114:H116"/>
    <mergeCell ref="F137:G137"/>
    <mergeCell ref="A129:G129"/>
    <mergeCell ref="H129:H131"/>
    <mergeCell ref="I129:I131"/>
    <mergeCell ref="A130:A131"/>
    <mergeCell ref="B130:B131"/>
    <mergeCell ref="C130:C131"/>
    <mergeCell ref="D130:E130"/>
    <mergeCell ref="F130:G131"/>
    <mergeCell ref="F132:G132"/>
    <mergeCell ref="F133:G133"/>
    <mergeCell ref="F134:G134"/>
    <mergeCell ref="F135:G135"/>
    <mergeCell ref="F136:G136"/>
    <mergeCell ref="F149:G149"/>
    <mergeCell ref="F138:G138"/>
    <mergeCell ref="F139:G139"/>
    <mergeCell ref="F140:G140"/>
    <mergeCell ref="F141:G141"/>
    <mergeCell ref="F142:G142"/>
    <mergeCell ref="F143:G143"/>
    <mergeCell ref="F144:G144"/>
    <mergeCell ref="F145:G145"/>
    <mergeCell ref="F146:G146"/>
    <mergeCell ref="F147:G147"/>
    <mergeCell ref="F148:G148"/>
    <mergeCell ref="F150:G150"/>
    <mergeCell ref="F151:G151"/>
    <mergeCell ref="F152:G152"/>
    <mergeCell ref="F153:G153"/>
    <mergeCell ref="F154:G154"/>
    <mergeCell ref="F163:G163"/>
    <mergeCell ref="H155:H157"/>
    <mergeCell ref="I155:I157"/>
    <mergeCell ref="A156:A157"/>
    <mergeCell ref="B156:B157"/>
    <mergeCell ref="C156:C157"/>
    <mergeCell ref="D156:E156"/>
    <mergeCell ref="F156:G156"/>
    <mergeCell ref="A155:G155"/>
    <mergeCell ref="F158:G158"/>
    <mergeCell ref="F159:G159"/>
    <mergeCell ref="F160:G160"/>
    <mergeCell ref="F161:G161"/>
    <mergeCell ref="F162:G162"/>
    <mergeCell ref="F170:G170"/>
    <mergeCell ref="F171:G171"/>
    <mergeCell ref="F172:G172"/>
    <mergeCell ref="F164:G164"/>
    <mergeCell ref="F165:G165"/>
    <mergeCell ref="F166:G166"/>
    <mergeCell ref="F167:G167"/>
    <mergeCell ref="F168:G168"/>
    <mergeCell ref="F169:G169"/>
  </mergeCells>
  <conditionalFormatting sqref="B1:B172">
    <cfRule type="duplicateValues" dxfId="29" priority="1"/>
    <cfRule type="duplicateValues" dxfId="28" priority="2"/>
  </conditionalFormatting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9" tint="0.39997558519241921"/>
  </sheetPr>
  <dimension ref="A1:I172"/>
  <sheetViews>
    <sheetView workbookViewId="0">
      <selection activeCell="L8" sqref="L8"/>
    </sheetView>
  </sheetViews>
  <sheetFormatPr defaultRowHeight="18.75" customHeight="1" x14ac:dyDescent="0.35"/>
  <cols>
    <col min="2" max="2" width="12.1796875" customWidth="1"/>
    <col min="3" max="3" width="16" customWidth="1"/>
    <col min="4" max="8" width="9.1796875" customWidth="1"/>
  </cols>
  <sheetData>
    <row r="1" spans="1:9" ht="18.75" customHeight="1" x14ac:dyDescent="0.35">
      <c r="A1" s="318" t="s">
        <v>0</v>
      </c>
      <c r="B1" s="318"/>
      <c r="C1" s="318"/>
      <c r="D1" s="318"/>
      <c r="E1" s="318"/>
      <c r="F1" s="318"/>
      <c r="G1" s="318"/>
      <c r="H1" s="318"/>
      <c r="I1" s="318"/>
    </row>
    <row r="2" spans="1:9" ht="18.75" customHeight="1" x14ac:dyDescent="0.35">
      <c r="A2" s="318"/>
      <c r="B2" s="318"/>
      <c r="C2" s="318"/>
      <c r="D2" s="318"/>
      <c r="E2" s="318"/>
      <c r="F2" s="318"/>
      <c r="G2" s="318"/>
      <c r="H2" s="318"/>
      <c r="I2" s="318"/>
    </row>
    <row r="3" spans="1:9" ht="11.25" customHeight="1" x14ac:dyDescent="0.35">
      <c r="A3" s="318"/>
      <c r="B3" s="318"/>
      <c r="C3" s="318"/>
      <c r="D3" s="318"/>
      <c r="E3" s="318"/>
      <c r="F3" s="318"/>
      <c r="G3" s="318"/>
      <c r="H3" s="318"/>
      <c r="I3" s="318"/>
    </row>
    <row r="4" spans="1:9" ht="24.75" customHeight="1" x14ac:dyDescent="0.35">
      <c r="A4" s="319" t="s">
        <v>536</v>
      </c>
      <c r="B4" s="319"/>
      <c r="C4" s="319"/>
      <c r="D4" s="319"/>
      <c r="E4" s="319"/>
      <c r="F4" s="319"/>
      <c r="G4" s="319"/>
      <c r="H4" s="319"/>
      <c r="I4" s="319"/>
    </row>
    <row r="5" spans="1:9" ht="18.75" customHeight="1" x14ac:dyDescent="0.35">
      <c r="A5" s="287" t="s">
        <v>2</v>
      </c>
      <c r="B5" s="287" t="s">
        <v>3</v>
      </c>
      <c r="C5" s="287" t="s">
        <v>4</v>
      </c>
      <c r="D5" s="287" t="s">
        <v>5</v>
      </c>
      <c r="E5" s="287"/>
      <c r="F5" s="287" t="s">
        <v>6</v>
      </c>
      <c r="G5" s="287"/>
      <c r="H5" s="287" t="s">
        <v>7</v>
      </c>
      <c r="I5" s="287" t="s">
        <v>504</v>
      </c>
    </row>
    <row r="6" spans="1:9" ht="18.75" customHeight="1" x14ac:dyDescent="0.35">
      <c r="A6" s="287"/>
      <c r="B6" s="287"/>
      <c r="C6" s="287"/>
      <c r="D6" s="11" t="s">
        <v>9</v>
      </c>
      <c r="E6" s="11" t="s">
        <v>10</v>
      </c>
      <c r="F6" s="11" t="s">
        <v>11</v>
      </c>
      <c r="G6" s="11" t="s">
        <v>12</v>
      </c>
      <c r="H6" s="287"/>
      <c r="I6" s="287"/>
    </row>
    <row r="7" spans="1:9" ht="18.75" customHeight="1" x14ac:dyDescent="0.35">
      <c r="A7" s="6">
        <v>1</v>
      </c>
      <c r="B7" s="4" t="s">
        <v>13</v>
      </c>
      <c r="C7" s="12" t="s">
        <v>14</v>
      </c>
      <c r="D7" s="2">
        <v>0.5</v>
      </c>
      <c r="E7" s="2">
        <v>0.37</v>
      </c>
      <c r="F7" s="2">
        <v>25</v>
      </c>
      <c r="G7" s="2">
        <v>25</v>
      </c>
      <c r="H7" s="13">
        <v>2640</v>
      </c>
      <c r="I7" s="96">
        <f>+H7*0.6565</f>
        <v>1733.1599999999999</v>
      </c>
    </row>
    <row r="8" spans="1:9" ht="18.75" customHeight="1" x14ac:dyDescent="0.35">
      <c r="A8" s="6">
        <v>2</v>
      </c>
      <c r="B8" s="4" t="s">
        <v>15</v>
      </c>
      <c r="C8" s="12" t="s">
        <v>16</v>
      </c>
      <c r="D8" s="2">
        <v>1</v>
      </c>
      <c r="E8" s="2">
        <v>0.75</v>
      </c>
      <c r="F8" s="2">
        <v>25</v>
      </c>
      <c r="G8" s="2">
        <v>25</v>
      </c>
      <c r="H8" s="13">
        <v>3420</v>
      </c>
      <c r="I8" s="96">
        <f t="shared" ref="I8:I71" si="0">+H8*0.6565</f>
        <v>2245.23</v>
      </c>
    </row>
    <row r="9" spans="1:9" ht="18.75" customHeight="1" x14ac:dyDescent="0.35">
      <c r="A9" s="4">
        <v>3</v>
      </c>
      <c r="B9" s="4" t="s">
        <v>17</v>
      </c>
      <c r="C9" s="12" t="s">
        <v>18</v>
      </c>
      <c r="D9" s="2">
        <v>0.5</v>
      </c>
      <c r="E9" s="2">
        <v>0.37</v>
      </c>
      <c r="F9" s="2">
        <v>25</v>
      </c>
      <c r="G9" s="2">
        <v>25</v>
      </c>
      <c r="H9" s="13">
        <v>2840</v>
      </c>
      <c r="I9" s="96">
        <f t="shared" si="0"/>
        <v>1864.4599999999998</v>
      </c>
    </row>
    <row r="10" spans="1:9" ht="18.75" customHeight="1" x14ac:dyDescent="0.35">
      <c r="A10" s="6">
        <v>4</v>
      </c>
      <c r="B10" s="4" t="s">
        <v>19</v>
      </c>
      <c r="C10" s="12" t="s">
        <v>20</v>
      </c>
      <c r="D10" s="2">
        <v>1</v>
      </c>
      <c r="E10" s="2">
        <v>0.75</v>
      </c>
      <c r="F10" s="2">
        <v>25</v>
      </c>
      <c r="G10" s="2">
        <v>25</v>
      </c>
      <c r="H10" s="13">
        <v>3660</v>
      </c>
      <c r="I10" s="96">
        <f t="shared" si="0"/>
        <v>2402.79</v>
      </c>
    </row>
    <row r="11" spans="1:9" ht="18.75" customHeight="1" x14ac:dyDescent="0.35">
      <c r="A11" s="6">
        <v>5</v>
      </c>
      <c r="B11" s="6" t="s">
        <v>21</v>
      </c>
      <c r="C11" s="14" t="s">
        <v>22</v>
      </c>
      <c r="D11" s="2">
        <v>0.5</v>
      </c>
      <c r="E11" s="2">
        <v>0.37</v>
      </c>
      <c r="F11" s="2">
        <v>25</v>
      </c>
      <c r="G11" s="2">
        <v>25</v>
      </c>
      <c r="H11" s="8">
        <v>3160</v>
      </c>
      <c r="I11" s="96">
        <f t="shared" si="0"/>
        <v>2074.54</v>
      </c>
    </row>
    <row r="12" spans="1:9" ht="18.75" customHeight="1" x14ac:dyDescent="0.35">
      <c r="A12" s="6">
        <v>6</v>
      </c>
      <c r="B12" s="6" t="s">
        <v>23</v>
      </c>
      <c r="C12" s="14" t="s">
        <v>24</v>
      </c>
      <c r="D12" s="2">
        <v>1</v>
      </c>
      <c r="E12" s="2">
        <v>0.75</v>
      </c>
      <c r="F12" s="2">
        <v>25</v>
      </c>
      <c r="G12" s="2">
        <v>25</v>
      </c>
      <c r="H12" s="8">
        <v>4120</v>
      </c>
      <c r="I12" s="96">
        <f t="shared" si="0"/>
        <v>2704.7799999999997</v>
      </c>
    </row>
    <row r="13" spans="1:9" ht="18.75" customHeight="1" x14ac:dyDescent="0.35">
      <c r="A13" s="4">
        <v>7</v>
      </c>
      <c r="B13" s="4" t="s">
        <v>25</v>
      </c>
      <c r="C13" s="12" t="s">
        <v>26</v>
      </c>
      <c r="D13" s="2">
        <v>1.5</v>
      </c>
      <c r="E13" s="2">
        <v>1</v>
      </c>
      <c r="F13" s="2">
        <v>25</v>
      </c>
      <c r="G13" s="2">
        <v>25</v>
      </c>
      <c r="H13" s="8">
        <v>5750</v>
      </c>
      <c r="I13" s="96">
        <f t="shared" si="0"/>
        <v>3774.875</v>
      </c>
    </row>
    <row r="14" spans="1:9" ht="18.75" customHeight="1" x14ac:dyDescent="0.35">
      <c r="A14" s="6">
        <v>8</v>
      </c>
      <c r="B14" s="6" t="s">
        <v>27</v>
      </c>
      <c r="C14" s="14" t="s">
        <v>28</v>
      </c>
      <c r="D14" s="2">
        <v>0.5</v>
      </c>
      <c r="E14" s="2">
        <v>0.37</v>
      </c>
      <c r="F14" s="2">
        <v>25</v>
      </c>
      <c r="G14" s="2">
        <v>25</v>
      </c>
      <c r="H14" s="8">
        <v>3520</v>
      </c>
      <c r="I14" s="96">
        <f t="shared" si="0"/>
        <v>2310.88</v>
      </c>
    </row>
    <row r="15" spans="1:9" ht="18.75" customHeight="1" x14ac:dyDescent="0.35">
      <c r="A15" s="6">
        <v>9</v>
      </c>
      <c r="B15" s="4" t="s">
        <v>29</v>
      </c>
      <c r="C15" s="15" t="s">
        <v>30</v>
      </c>
      <c r="D15" s="2">
        <v>1</v>
      </c>
      <c r="E15" s="2">
        <v>0.75</v>
      </c>
      <c r="F15" s="2">
        <v>25</v>
      </c>
      <c r="G15" s="2">
        <v>25</v>
      </c>
      <c r="H15" s="8">
        <v>3660</v>
      </c>
      <c r="I15" s="96">
        <f t="shared" si="0"/>
        <v>2402.79</v>
      </c>
    </row>
    <row r="16" spans="1:9" ht="18.75" customHeight="1" x14ac:dyDescent="0.35">
      <c r="A16" s="6">
        <v>10</v>
      </c>
      <c r="B16" s="4" t="s">
        <v>31</v>
      </c>
      <c r="C16" s="12" t="s">
        <v>32</v>
      </c>
      <c r="D16" s="2">
        <v>1</v>
      </c>
      <c r="E16" s="2">
        <v>0.75</v>
      </c>
      <c r="F16" s="2">
        <v>25</v>
      </c>
      <c r="G16" s="2">
        <v>25</v>
      </c>
      <c r="H16" s="8">
        <v>4220</v>
      </c>
      <c r="I16" s="96">
        <f t="shared" si="0"/>
        <v>2770.43</v>
      </c>
    </row>
    <row r="17" spans="1:9" ht="18.75" customHeight="1" x14ac:dyDescent="0.35">
      <c r="A17" s="4">
        <v>11</v>
      </c>
      <c r="B17" s="6" t="s">
        <v>33</v>
      </c>
      <c r="C17" s="14" t="s">
        <v>34</v>
      </c>
      <c r="D17" s="2">
        <v>0.75</v>
      </c>
      <c r="E17" s="2">
        <v>0.56000000000000005</v>
      </c>
      <c r="F17" s="2">
        <v>25</v>
      </c>
      <c r="G17" s="2">
        <v>25</v>
      </c>
      <c r="H17" s="8">
        <v>4080</v>
      </c>
      <c r="I17" s="96">
        <f t="shared" si="0"/>
        <v>2678.52</v>
      </c>
    </row>
    <row r="18" spans="1:9" ht="18.75" customHeight="1" x14ac:dyDescent="0.35">
      <c r="A18" s="6">
        <v>12</v>
      </c>
      <c r="B18" s="4" t="s">
        <v>35</v>
      </c>
      <c r="C18" s="16" t="s">
        <v>36</v>
      </c>
      <c r="D18" s="2">
        <v>1</v>
      </c>
      <c r="E18" s="2">
        <v>0.75</v>
      </c>
      <c r="F18" s="2">
        <v>25</v>
      </c>
      <c r="G18" s="2">
        <v>25</v>
      </c>
      <c r="H18" s="8">
        <v>4730</v>
      </c>
      <c r="I18" s="96">
        <f t="shared" si="0"/>
        <v>3105.2449999999999</v>
      </c>
    </row>
    <row r="19" spans="1:9" ht="18.75" customHeight="1" x14ac:dyDescent="0.35">
      <c r="A19" s="6">
        <v>13</v>
      </c>
      <c r="B19" s="4" t="s">
        <v>37</v>
      </c>
      <c r="C19" s="16" t="s">
        <v>38</v>
      </c>
      <c r="D19" s="2">
        <v>1</v>
      </c>
      <c r="E19" s="2">
        <v>0.75</v>
      </c>
      <c r="F19" s="2">
        <v>25</v>
      </c>
      <c r="G19" s="2">
        <v>25</v>
      </c>
      <c r="H19" s="8">
        <v>4730</v>
      </c>
      <c r="I19" s="96">
        <f t="shared" si="0"/>
        <v>3105.2449999999999</v>
      </c>
    </row>
    <row r="20" spans="1:9" ht="18.75" customHeight="1" x14ac:dyDescent="0.35">
      <c r="A20" s="6">
        <v>14</v>
      </c>
      <c r="B20" s="6" t="s">
        <v>39</v>
      </c>
      <c r="C20" s="14" t="s">
        <v>40</v>
      </c>
      <c r="D20" s="2">
        <v>1</v>
      </c>
      <c r="E20" s="2">
        <v>0.75</v>
      </c>
      <c r="F20" s="2">
        <v>25</v>
      </c>
      <c r="G20" s="2">
        <v>25</v>
      </c>
      <c r="H20" s="8">
        <v>5170</v>
      </c>
      <c r="I20" s="96">
        <f t="shared" si="0"/>
        <v>3394.105</v>
      </c>
    </row>
    <row r="21" spans="1:9" ht="18.75" customHeight="1" x14ac:dyDescent="0.35">
      <c r="A21" s="4">
        <v>15</v>
      </c>
      <c r="B21" s="6" t="s">
        <v>41</v>
      </c>
      <c r="C21" s="14" t="s">
        <v>42</v>
      </c>
      <c r="D21" s="2">
        <v>1</v>
      </c>
      <c r="E21" s="2">
        <v>0.75</v>
      </c>
      <c r="F21" s="2">
        <v>25</v>
      </c>
      <c r="G21" s="2">
        <v>25</v>
      </c>
      <c r="H21" s="8">
        <v>4670</v>
      </c>
      <c r="I21" s="96">
        <f t="shared" si="0"/>
        <v>3065.855</v>
      </c>
    </row>
    <row r="22" spans="1:9" ht="18.75" customHeight="1" x14ac:dyDescent="0.35">
      <c r="A22" s="6">
        <v>16</v>
      </c>
      <c r="B22" s="4" t="s">
        <v>43</v>
      </c>
      <c r="C22" s="12" t="s">
        <v>44</v>
      </c>
      <c r="D22" s="2">
        <v>1.2</v>
      </c>
      <c r="E22" s="2">
        <v>0.9</v>
      </c>
      <c r="F22" s="2">
        <v>25</v>
      </c>
      <c r="G22" s="2">
        <v>25</v>
      </c>
      <c r="H22" s="8">
        <v>6650</v>
      </c>
      <c r="I22" s="96">
        <f t="shared" si="0"/>
        <v>4365.7249999999995</v>
      </c>
    </row>
    <row r="23" spans="1:9" ht="18.75" customHeight="1" x14ac:dyDescent="0.35">
      <c r="A23" s="6">
        <v>17</v>
      </c>
      <c r="B23" s="6" t="s">
        <v>45</v>
      </c>
      <c r="C23" s="14" t="s">
        <v>46</v>
      </c>
      <c r="D23" s="2">
        <v>1.5</v>
      </c>
      <c r="E23" s="2">
        <v>1.1000000000000001</v>
      </c>
      <c r="F23" s="2">
        <v>25</v>
      </c>
      <c r="G23" s="2">
        <v>25</v>
      </c>
      <c r="H23" s="8">
        <v>8150</v>
      </c>
      <c r="I23" s="96">
        <f t="shared" si="0"/>
        <v>5350.4749999999995</v>
      </c>
    </row>
    <row r="24" spans="1:9" ht="18.75" customHeight="1" x14ac:dyDescent="0.35">
      <c r="A24" s="6">
        <v>18</v>
      </c>
      <c r="B24" s="6" t="s">
        <v>47</v>
      </c>
      <c r="C24" s="14" t="s">
        <v>48</v>
      </c>
      <c r="D24" s="2">
        <v>2</v>
      </c>
      <c r="E24" s="2">
        <v>1.5</v>
      </c>
      <c r="F24" s="2">
        <v>25</v>
      </c>
      <c r="G24" s="2">
        <v>25</v>
      </c>
      <c r="H24" s="8">
        <v>9190</v>
      </c>
      <c r="I24" s="96">
        <f t="shared" si="0"/>
        <v>6033.2349999999997</v>
      </c>
    </row>
    <row r="25" spans="1:9" ht="18.75" customHeight="1" x14ac:dyDescent="0.35">
      <c r="A25" s="4">
        <v>19</v>
      </c>
      <c r="B25" s="6" t="s">
        <v>49</v>
      </c>
      <c r="C25" s="14" t="s">
        <v>50</v>
      </c>
      <c r="D25" s="2">
        <v>0.5</v>
      </c>
      <c r="E25" s="2">
        <v>0.37</v>
      </c>
      <c r="F25" s="2">
        <v>25</v>
      </c>
      <c r="G25" s="2">
        <v>25</v>
      </c>
      <c r="H25" s="8">
        <v>3310</v>
      </c>
      <c r="I25" s="96">
        <f t="shared" si="0"/>
        <v>2173.0149999999999</v>
      </c>
    </row>
    <row r="26" spans="1:9" ht="18.75" customHeight="1" x14ac:dyDescent="0.35">
      <c r="A26" s="6">
        <v>20</v>
      </c>
      <c r="B26" s="4" t="s">
        <v>51</v>
      </c>
      <c r="C26" s="12" t="s">
        <v>52</v>
      </c>
      <c r="D26" s="2">
        <v>0.5</v>
      </c>
      <c r="E26" s="2">
        <v>0.37</v>
      </c>
      <c r="F26" s="2">
        <v>25</v>
      </c>
      <c r="G26" s="2">
        <v>25</v>
      </c>
      <c r="H26" s="10">
        <v>4380</v>
      </c>
      <c r="I26" s="96">
        <f t="shared" si="0"/>
        <v>2875.47</v>
      </c>
    </row>
    <row r="27" spans="1:9" ht="18.75" customHeight="1" x14ac:dyDescent="0.35">
      <c r="A27" s="6">
        <v>21</v>
      </c>
      <c r="B27" s="4" t="s">
        <v>53</v>
      </c>
      <c r="C27" s="12" t="s">
        <v>54</v>
      </c>
      <c r="D27" s="2">
        <v>1</v>
      </c>
      <c r="E27" s="2">
        <v>0.75</v>
      </c>
      <c r="F27" s="2">
        <v>25</v>
      </c>
      <c r="G27" s="2">
        <v>25</v>
      </c>
      <c r="H27" s="10">
        <v>5300</v>
      </c>
      <c r="I27" s="96">
        <f t="shared" si="0"/>
        <v>3479.45</v>
      </c>
    </row>
    <row r="28" spans="1:9" ht="18.75" customHeight="1" x14ac:dyDescent="0.35">
      <c r="A28" s="6">
        <v>22</v>
      </c>
      <c r="B28" s="6" t="s">
        <v>55</v>
      </c>
      <c r="C28" s="14" t="s">
        <v>56</v>
      </c>
      <c r="D28" s="2">
        <v>1.1000000000000001</v>
      </c>
      <c r="E28" s="2">
        <v>0.8</v>
      </c>
      <c r="F28" s="2">
        <v>25</v>
      </c>
      <c r="G28" s="2">
        <v>25</v>
      </c>
      <c r="H28" s="8">
        <v>5040</v>
      </c>
      <c r="I28" s="96">
        <f t="shared" si="0"/>
        <v>3308.7599999999998</v>
      </c>
    </row>
    <row r="29" spans="1:9" ht="18.75" customHeight="1" x14ac:dyDescent="0.35">
      <c r="A29" s="4">
        <v>23</v>
      </c>
      <c r="B29" s="6" t="s">
        <v>57</v>
      </c>
      <c r="C29" s="14" t="s">
        <v>58</v>
      </c>
      <c r="D29" s="2">
        <v>1.1000000000000001</v>
      </c>
      <c r="E29" s="2">
        <v>0.8</v>
      </c>
      <c r="F29" s="2">
        <v>25</v>
      </c>
      <c r="G29" s="2">
        <v>25</v>
      </c>
      <c r="H29" s="8">
        <v>5150</v>
      </c>
      <c r="I29" s="96">
        <f t="shared" si="0"/>
        <v>3380.9749999999999</v>
      </c>
    </row>
    <row r="30" spans="1:9" ht="18.75" customHeight="1" x14ac:dyDescent="0.35">
      <c r="A30" s="6">
        <v>24</v>
      </c>
      <c r="B30" s="4" t="s">
        <v>59</v>
      </c>
      <c r="C30" s="16" t="s">
        <v>60</v>
      </c>
      <c r="D30" s="2">
        <v>1.25</v>
      </c>
      <c r="E30" s="2">
        <v>0.94</v>
      </c>
      <c r="F30" s="2">
        <v>25</v>
      </c>
      <c r="G30" s="2">
        <v>25</v>
      </c>
      <c r="H30" s="8">
        <v>6630</v>
      </c>
      <c r="I30" s="96">
        <f t="shared" si="0"/>
        <v>4352.5950000000003</v>
      </c>
    </row>
    <row r="31" spans="1:9" ht="18.75" customHeight="1" x14ac:dyDescent="0.35">
      <c r="A31" s="6">
        <v>25</v>
      </c>
      <c r="B31" s="6" t="s">
        <v>61</v>
      </c>
      <c r="C31" s="14" t="s">
        <v>62</v>
      </c>
      <c r="D31" s="17">
        <v>0.5</v>
      </c>
      <c r="E31" s="17">
        <v>0.37</v>
      </c>
      <c r="F31" s="17">
        <v>25</v>
      </c>
      <c r="G31" s="17">
        <v>25</v>
      </c>
      <c r="H31" s="9">
        <v>4950</v>
      </c>
      <c r="I31" s="96">
        <f t="shared" si="0"/>
        <v>3249.6749999999997</v>
      </c>
    </row>
    <row r="32" spans="1:9" ht="18.75" customHeight="1" x14ac:dyDescent="0.35">
      <c r="A32" s="6">
        <v>26</v>
      </c>
      <c r="B32" s="6" t="s">
        <v>63</v>
      </c>
      <c r="C32" s="14" t="s">
        <v>64</v>
      </c>
      <c r="D32" s="17">
        <v>0.5</v>
      </c>
      <c r="E32" s="17">
        <v>0.37</v>
      </c>
      <c r="F32" s="17">
        <v>25</v>
      </c>
      <c r="G32" s="17">
        <v>25</v>
      </c>
      <c r="H32" s="9">
        <v>5000</v>
      </c>
      <c r="I32" s="96">
        <f t="shared" si="0"/>
        <v>3282.5</v>
      </c>
    </row>
    <row r="33" spans="1:9" ht="18.75" customHeight="1" x14ac:dyDescent="0.35">
      <c r="A33" s="4">
        <v>27</v>
      </c>
      <c r="B33" s="6" t="s">
        <v>65</v>
      </c>
      <c r="C33" s="14" t="s">
        <v>66</v>
      </c>
      <c r="D33" s="2">
        <v>1</v>
      </c>
      <c r="E33" s="2">
        <v>0.75</v>
      </c>
      <c r="F33" s="2">
        <v>25</v>
      </c>
      <c r="G33" s="2">
        <v>25</v>
      </c>
      <c r="H33" s="8">
        <v>5560</v>
      </c>
      <c r="I33" s="96">
        <f t="shared" si="0"/>
        <v>3650.14</v>
      </c>
    </row>
    <row r="34" spans="1:9" ht="18.75" customHeight="1" x14ac:dyDescent="0.35">
      <c r="A34" s="6">
        <v>28</v>
      </c>
      <c r="B34" s="6" t="s">
        <v>67</v>
      </c>
      <c r="C34" s="14" t="s">
        <v>68</v>
      </c>
      <c r="D34" s="2">
        <v>1</v>
      </c>
      <c r="E34" s="2">
        <v>0.75</v>
      </c>
      <c r="F34" s="2">
        <v>25</v>
      </c>
      <c r="G34" s="2">
        <v>25</v>
      </c>
      <c r="H34" s="8">
        <v>5650</v>
      </c>
      <c r="I34" s="96">
        <f t="shared" si="0"/>
        <v>3709.2249999999999</v>
      </c>
    </row>
    <row r="35" spans="1:9" ht="18.75" customHeight="1" x14ac:dyDescent="0.35">
      <c r="A35" s="6">
        <v>29</v>
      </c>
      <c r="B35" s="6" t="s">
        <v>69</v>
      </c>
      <c r="C35" s="14" t="s">
        <v>70</v>
      </c>
      <c r="D35" s="2">
        <v>1.5</v>
      </c>
      <c r="E35" s="2">
        <v>1.1000000000000001</v>
      </c>
      <c r="F35" s="2">
        <v>25</v>
      </c>
      <c r="G35" s="2">
        <v>25</v>
      </c>
      <c r="H35" s="8">
        <v>7840</v>
      </c>
      <c r="I35" s="96">
        <f t="shared" si="0"/>
        <v>5146.96</v>
      </c>
    </row>
    <row r="36" spans="1:9" ht="18.75" customHeight="1" x14ac:dyDescent="0.35">
      <c r="A36" s="6">
        <v>30</v>
      </c>
      <c r="B36" s="6" t="s">
        <v>71</v>
      </c>
      <c r="C36" s="14" t="s">
        <v>72</v>
      </c>
      <c r="D36" s="2">
        <v>1.5</v>
      </c>
      <c r="E36" s="2">
        <v>1.1000000000000001</v>
      </c>
      <c r="F36" s="2">
        <v>25</v>
      </c>
      <c r="G36" s="2">
        <v>25</v>
      </c>
      <c r="H36" s="8">
        <v>8170</v>
      </c>
      <c r="I36" s="96">
        <f t="shared" si="0"/>
        <v>5363.6049999999996</v>
      </c>
    </row>
    <row r="37" spans="1:9" ht="18.75" customHeight="1" x14ac:dyDescent="0.35">
      <c r="A37" s="4">
        <v>31</v>
      </c>
      <c r="B37" s="4" t="s">
        <v>73</v>
      </c>
      <c r="C37" s="12" t="s">
        <v>74</v>
      </c>
      <c r="D37" s="2">
        <v>0.5</v>
      </c>
      <c r="E37" s="2">
        <v>0.37</v>
      </c>
      <c r="F37" s="2">
        <v>25</v>
      </c>
      <c r="G37" s="2">
        <v>25</v>
      </c>
      <c r="H37" s="8">
        <v>6450</v>
      </c>
      <c r="I37" s="96">
        <f t="shared" si="0"/>
        <v>4234.4250000000002</v>
      </c>
    </row>
    <row r="38" spans="1:9" ht="18.75" customHeight="1" x14ac:dyDescent="0.35">
      <c r="A38" s="6">
        <v>32</v>
      </c>
      <c r="B38" s="6" t="s">
        <v>75</v>
      </c>
      <c r="C38" s="14" t="s">
        <v>76</v>
      </c>
      <c r="D38" s="3">
        <v>0.9</v>
      </c>
      <c r="E38" s="3">
        <v>0.7</v>
      </c>
      <c r="F38" s="3">
        <v>25</v>
      </c>
      <c r="G38" s="3">
        <v>25</v>
      </c>
      <c r="H38" s="8">
        <v>6640</v>
      </c>
      <c r="I38" s="96">
        <f t="shared" si="0"/>
        <v>4359.16</v>
      </c>
    </row>
    <row r="39" spans="1:9" ht="18.75" customHeight="1" x14ac:dyDescent="0.35">
      <c r="A39" s="6">
        <v>33</v>
      </c>
      <c r="B39" s="6" t="s">
        <v>77</v>
      </c>
      <c r="C39" s="14" t="s">
        <v>78</v>
      </c>
      <c r="D39" s="3">
        <v>1</v>
      </c>
      <c r="E39" s="3">
        <v>0.75</v>
      </c>
      <c r="F39" s="3">
        <v>25</v>
      </c>
      <c r="G39" s="3">
        <v>25</v>
      </c>
      <c r="H39" s="8">
        <v>7100</v>
      </c>
      <c r="I39" s="96">
        <f t="shared" si="0"/>
        <v>4661.1499999999996</v>
      </c>
    </row>
    <row r="40" spans="1:9" ht="18.75" customHeight="1" x14ac:dyDescent="0.35">
      <c r="A40" s="6">
        <v>34</v>
      </c>
      <c r="B40" s="4" t="s">
        <v>79</v>
      </c>
      <c r="C40" s="15" t="s">
        <v>80</v>
      </c>
      <c r="D40" s="3">
        <v>0.5</v>
      </c>
      <c r="E40" s="3">
        <v>0.37</v>
      </c>
      <c r="F40" s="3">
        <v>25</v>
      </c>
      <c r="G40" s="3">
        <v>25</v>
      </c>
      <c r="H40" s="8">
        <v>5500</v>
      </c>
      <c r="I40" s="96">
        <f t="shared" si="0"/>
        <v>3610.75</v>
      </c>
    </row>
    <row r="41" spans="1:9" ht="18.75" customHeight="1" x14ac:dyDescent="0.35">
      <c r="A41" s="4">
        <v>35</v>
      </c>
      <c r="B41" s="4"/>
      <c r="C41" s="15" t="s">
        <v>81</v>
      </c>
      <c r="D41" s="3">
        <v>1</v>
      </c>
      <c r="E41" s="3">
        <v>0.75</v>
      </c>
      <c r="F41" s="3">
        <v>25</v>
      </c>
      <c r="G41" s="3">
        <v>25</v>
      </c>
      <c r="H41" s="8">
        <v>6200</v>
      </c>
      <c r="I41" s="96">
        <f t="shared" si="0"/>
        <v>4070.2999999999997</v>
      </c>
    </row>
    <row r="42" spans="1:9" ht="18.75" customHeight="1" x14ac:dyDescent="0.35">
      <c r="A42" s="6">
        <v>36</v>
      </c>
      <c r="B42" s="4" t="s">
        <v>82</v>
      </c>
      <c r="C42" s="12" t="s">
        <v>83</v>
      </c>
      <c r="D42" s="1">
        <v>0.5</v>
      </c>
      <c r="E42" s="1">
        <v>0.37</v>
      </c>
      <c r="F42" s="1">
        <v>25</v>
      </c>
      <c r="G42" s="1">
        <v>25</v>
      </c>
      <c r="H42" s="8">
        <v>7140</v>
      </c>
      <c r="I42" s="96">
        <f t="shared" si="0"/>
        <v>4687.41</v>
      </c>
    </row>
    <row r="43" spans="1:9" ht="18.75" customHeight="1" x14ac:dyDescent="0.35">
      <c r="A43" s="6">
        <v>37</v>
      </c>
      <c r="B43" s="6" t="s">
        <v>84</v>
      </c>
      <c r="C43" s="14" t="s">
        <v>85</v>
      </c>
      <c r="D43" s="1">
        <v>1.1000000000000001</v>
      </c>
      <c r="E43" s="1">
        <v>0.8</v>
      </c>
      <c r="F43" s="1">
        <v>25</v>
      </c>
      <c r="G43" s="1">
        <v>25</v>
      </c>
      <c r="H43" s="8">
        <v>7700</v>
      </c>
      <c r="I43" s="96">
        <f t="shared" si="0"/>
        <v>5055.05</v>
      </c>
    </row>
    <row r="44" spans="1:9" ht="18.75" customHeight="1" x14ac:dyDescent="0.35">
      <c r="A44" s="6">
        <v>38</v>
      </c>
      <c r="B44" s="6" t="s">
        <v>86</v>
      </c>
      <c r="C44" s="14" t="s">
        <v>87</v>
      </c>
      <c r="D44" s="1">
        <v>1.5</v>
      </c>
      <c r="E44" s="1">
        <v>1.1000000000000001</v>
      </c>
      <c r="F44" s="1">
        <v>25</v>
      </c>
      <c r="G44" s="1">
        <v>25</v>
      </c>
      <c r="H44" s="8">
        <v>8690</v>
      </c>
      <c r="I44" s="96">
        <f t="shared" si="0"/>
        <v>5704.9849999999997</v>
      </c>
    </row>
    <row r="45" spans="1:9" ht="18.75" customHeight="1" x14ac:dyDescent="0.35">
      <c r="A45" s="4">
        <v>39</v>
      </c>
      <c r="B45" s="4" t="s">
        <v>88</v>
      </c>
      <c r="C45" s="12" t="s">
        <v>89</v>
      </c>
      <c r="D45" s="2">
        <v>0.5</v>
      </c>
      <c r="E45" s="2">
        <v>0.37</v>
      </c>
      <c r="F45" s="2">
        <v>25</v>
      </c>
      <c r="G45" s="2">
        <v>12</v>
      </c>
      <c r="H45" s="8">
        <v>4860</v>
      </c>
      <c r="I45" s="96">
        <f t="shared" si="0"/>
        <v>3190.5899999999997</v>
      </c>
    </row>
    <row r="46" spans="1:9" ht="18.75" customHeight="1" x14ac:dyDescent="0.35">
      <c r="A46" s="6">
        <v>40</v>
      </c>
      <c r="B46" s="4" t="s">
        <v>90</v>
      </c>
      <c r="C46" s="12" t="s">
        <v>91</v>
      </c>
      <c r="D46" s="2">
        <v>1</v>
      </c>
      <c r="E46" s="2">
        <v>0.75</v>
      </c>
      <c r="F46" s="2">
        <v>25</v>
      </c>
      <c r="G46" s="2">
        <v>25</v>
      </c>
      <c r="H46" s="8">
        <v>5600</v>
      </c>
      <c r="I46" s="96">
        <f t="shared" si="0"/>
        <v>3676.3999999999996</v>
      </c>
    </row>
    <row r="47" spans="1:9" ht="18.75" customHeight="1" x14ac:dyDescent="0.35">
      <c r="A47" s="6">
        <v>41</v>
      </c>
      <c r="B47" s="6" t="s">
        <v>92</v>
      </c>
      <c r="C47" s="14" t="s">
        <v>93</v>
      </c>
      <c r="D47" s="17">
        <v>1</v>
      </c>
      <c r="E47" s="17">
        <v>0.75</v>
      </c>
      <c r="F47" s="17">
        <v>25</v>
      </c>
      <c r="G47" s="17">
        <v>25</v>
      </c>
      <c r="H47" s="9">
        <v>8420</v>
      </c>
      <c r="I47" s="96">
        <f t="shared" si="0"/>
        <v>5527.73</v>
      </c>
    </row>
    <row r="48" spans="1:9" ht="18.75" customHeight="1" x14ac:dyDescent="0.35">
      <c r="A48" s="6">
        <v>42</v>
      </c>
      <c r="B48" s="6" t="s">
        <v>94</v>
      </c>
      <c r="C48" s="14" t="s">
        <v>95</v>
      </c>
      <c r="D48" s="2">
        <v>1.1000000000000001</v>
      </c>
      <c r="E48" s="2">
        <v>0.8</v>
      </c>
      <c r="F48" s="2">
        <v>25</v>
      </c>
      <c r="G48" s="2">
        <v>25</v>
      </c>
      <c r="H48" s="8">
        <v>12020</v>
      </c>
      <c r="I48" s="96">
        <f t="shared" si="0"/>
        <v>7891.13</v>
      </c>
    </row>
    <row r="49" spans="1:9" ht="18.75" customHeight="1" x14ac:dyDescent="0.35">
      <c r="A49" s="4">
        <v>43</v>
      </c>
      <c r="B49" s="4" t="s">
        <v>96</v>
      </c>
      <c r="C49" s="12" t="s">
        <v>97</v>
      </c>
      <c r="D49" s="2">
        <v>0.5</v>
      </c>
      <c r="E49" s="2">
        <v>0.37</v>
      </c>
      <c r="F49" s="2">
        <v>25</v>
      </c>
      <c r="G49" s="2">
        <v>25</v>
      </c>
      <c r="H49" s="8">
        <v>7530</v>
      </c>
      <c r="I49" s="96">
        <f t="shared" si="0"/>
        <v>4943.4449999999997</v>
      </c>
    </row>
    <row r="50" spans="1:9" ht="18.75" customHeight="1" x14ac:dyDescent="0.35">
      <c r="A50" s="6">
        <v>44</v>
      </c>
      <c r="B50" s="4" t="s">
        <v>98</v>
      </c>
      <c r="C50" s="12" t="s">
        <v>99</v>
      </c>
      <c r="D50" s="2">
        <v>1</v>
      </c>
      <c r="E50" s="2">
        <v>0.75</v>
      </c>
      <c r="F50" s="2">
        <v>25</v>
      </c>
      <c r="G50" s="2">
        <v>25</v>
      </c>
      <c r="H50" s="8">
        <v>9150</v>
      </c>
      <c r="I50" s="96">
        <f t="shared" si="0"/>
        <v>6006.9749999999995</v>
      </c>
    </row>
    <row r="51" spans="1:9" ht="18.75" customHeight="1" x14ac:dyDescent="0.35">
      <c r="A51" s="6">
        <v>45</v>
      </c>
      <c r="B51" s="4" t="s">
        <v>100</v>
      </c>
      <c r="C51" s="12" t="s">
        <v>101</v>
      </c>
      <c r="D51" s="2">
        <v>1</v>
      </c>
      <c r="E51" s="2">
        <v>0.75</v>
      </c>
      <c r="F51" s="2">
        <v>25</v>
      </c>
      <c r="G51" s="2">
        <v>25</v>
      </c>
      <c r="H51" s="5">
        <v>16800</v>
      </c>
      <c r="I51" s="96">
        <f t="shared" si="0"/>
        <v>11029.199999999999</v>
      </c>
    </row>
    <row r="52" spans="1:9" ht="18.75" customHeight="1" x14ac:dyDescent="0.35">
      <c r="A52" s="6">
        <v>46</v>
      </c>
      <c r="B52" s="6" t="s">
        <v>102</v>
      </c>
      <c r="C52" s="14" t="s">
        <v>103</v>
      </c>
      <c r="D52" s="2">
        <v>0.5</v>
      </c>
      <c r="E52" s="2">
        <v>0.37</v>
      </c>
      <c r="F52" s="2">
        <v>25</v>
      </c>
      <c r="G52" s="2">
        <v>25</v>
      </c>
      <c r="H52" s="8">
        <v>17760</v>
      </c>
      <c r="I52" s="96">
        <f t="shared" si="0"/>
        <v>11659.439999999999</v>
      </c>
    </row>
    <row r="53" spans="1:9" ht="18.75" customHeight="1" x14ac:dyDescent="0.35">
      <c r="A53" s="4">
        <v>47</v>
      </c>
      <c r="B53" s="6" t="s">
        <v>104</v>
      </c>
      <c r="C53" s="14" t="s">
        <v>105</v>
      </c>
      <c r="D53" s="2">
        <v>1</v>
      </c>
      <c r="E53" s="2">
        <v>0.75</v>
      </c>
      <c r="F53" s="2">
        <v>25</v>
      </c>
      <c r="G53" s="2">
        <v>25</v>
      </c>
      <c r="H53" s="8">
        <v>19120</v>
      </c>
      <c r="I53" s="96">
        <f t="shared" si="0"/>
        <v>12552.279999999999</v>
      </c>
    </row>
    <row r="54" spans="1:9" ht="18.75" customHeight="1" x14ac:dyDescent="0.35">
      <c r="A54" s="6">
        <v>48</v>
      </c>
      <c r="B54" s="6" t="s">
        <v>106</v>
      </c>
      <c r="C54" s="14" t="s">
        <v>107</v>
      </c>
      <c r="D54" s="2">
        <v>1.1000000000000001</v>
      </c>
      <c r="E54" s="2">
        <v>0.8</v>
      </c>
      <c r="F54" s="2">
        <v>25</v>
      </c>
      <c r="G54" s="2">
        <v>25</v>
      </c>
      <c r="H54" s="8">
        <v>20900</v>
      </c>
      <c r="I54" s="96">
        <f t="shared" si="0"/>
        <v>13720.849999999999</v>
      </c>
    </row>
    <row r="55" spans="1:9" ht="18.75" customHeight="1" x14ac:dyDescent="0.35">
      <c r="A55" s="300" t="s">
        <v>108</v>
      </c>
      <c r="B55" s="300"/>
      <c r="C55" s="300"/>
      <c r="D55" s="300"/>
      <c r="E55" s="300"/>
      <c r="F55" s="300"/>
      <c r="G55" s="300"/>
      <c r="H55" s="287" t="s">
        <v>109</v>
      </c>
      <c r="I55" s="207" t="s">
        <v>504</v>
      </c>
    </row>
    <row r="56" spans="1:9" ht="18.75" customHeight="1" x14ac:dyDescent="0.35">
      <c r="A56" s="287" t="s">
        <v>2</v>
      </c>
      <c r="B56" s="287" t="s">
        <v>3</v>
      </c>
      <c r="C56" s="298" t="s">
        <v>4</v>
      </c>
      <c r="D56" s="287" t="s">
        <v>5</v>
      </c>
      <c r="E56" s="287"/>
      <c r="F56" s="287" t="s">
        <v>6</v>
      </c>
      <c r="G56" s="287"/>
      <c r="H56" s="287"/>
      <c r="I56" s="259"/>
    </row>
    <row r="57" spans="1:9" ht="18.75" customHeight="1" x14ac:dyDescent="0.35">
      <c r="A57" s="287"/>
      <c r="B57" s="287"/>
      <c r="C57" s="298"/>
      <c r="D57" s="11" t="s">
        <v>9</v>
      </c>
      <c r="E57" s="11" t="s">
        <v>10</v>
      </c>
      <c r="F57" s="11" t="s">
        <v>11</v>
      </c>
      <c r="G57" s="11" t="s">
        <v>12</v>
      </c>
      <c r="H57" s="287"/>
      <c r="I57" s="208"/>
    </row>
    <row r="58" spans="1:9" ht="18.75" customHeight="1" x14ac:dyDescent="0.35">
      <c r="A58" s="6">
        <v>1</v>
      </c>
      <c r="B58" s="6" t="s">
        <v>110</v>
      </c>
      <c r="C58" s="14" t="s">
        <v>111</v>
      </c>
      <c r="D58" s="303">
        <v>0.5</v>
      </c>
      <c r="E58" s="303">
        <v>0.37</v>
      </c>
      <c r="F58" s="2">
        <v>25</v>
      </c>
      <c r="G58" s="2">
        <v>25</v>
      </c>
      <c r="H58" s="8">
        <v>4680</v>
      </c>
      <c r="I58" s="96">
        <f t="shared" si="0"/>
        <v>3072.42</v>
      </c>
    </row>
    <row r="59" spans="1:9" ht="18.75" customHeight="1" x14ac:dyDescent="0.35">
      <c r="A59" s="6">
        <v>2</v>
      </c>
      <c r="B59" s="6" t="s">
        <v>112</v>
      </c>
      <c r="C59" s="14" t="s">
        <v>113</v>
      </c>
      <c r="D59" s="303"/>
      <c r="E59" s="303"/>
      <c r="F59" s="2">
        <v>40</v>
      </c>
      <c r="G59" s="2">
        <v>40</v>
      </c>
      <c r="H59" s="8">
        <v>6430</v>
      </c>
      <c r="I59" s="96">
        <f t="shared" si="0"/>
        <v>4221.2950000000001</v>
      </c>
    </row>
    <row r="60" spans="1:9" ht="18.75" customHeight="1" x14ac:dyDescent="0.35">
      <c r="A60" s="4">
        <v>3</v>
      </c>
      <c r="B60" s="4" t="s">
        <v>114</v>
      </c>
      <c r="C60" s="18" t="s">
        <v>115</v>
      </c>
      <c r="D60" s="2">
        <v>0.75</v>
      </c>
      <c r="E60" s="2">
        <v>0.56000000000000005</v>
      </c>
      <c r="F60" s="2">
        <v>40</v>
      </c>
      <c r="G60" s="2">
        <v>40</v>
      </c>
      <c r="H60" s="5">
        <v>6240</v>
      </c>
      <c r="I60" s="96">
        <f t="shared" si="0"/>
        <v>4096.5599999999995</v>
      </c>
    </row>
    <row r="61" spans="1:9" ht="18.75" customHeight="1" x14ac:dyDescent="0.35">
      <c r="A61" s="6">
        <v>4</v>
      </c>
      <c r="B61" s="6" t="s">
        <v>116</v>
      </c>
      <c r="C61" s="14" t="s">
        <v>117</v>
      </c>
      <c r="D61" s="301">
        <v>1</v>
      </c>
      <c r="E61" s="301">
        <v>0.75</v>
      </c>
      <c r="F61" s="1">
        <v>25</v>
      </c>
      <c r="G61" s="1">
        <v>25</v>
      </c>
      <c r="H61" s="8">
        <v>7572</v>
      </c>
      <c r="I61" s="96">
        <f t="shared" si="0"/>
        <v>4971.018</v>
      </c>
    </row>
    <row r="62" spans="1:9" ht="18.75" customHeight="1" x14ac:dyDescent="0.35">
      <c r="A62" s="6">
        <v>5</v>
      </c>
      <c r="B62" s="6" t="s">
        <v>118</v>
      </c>
      <c r="C62" s="14" t="s">
        <v>119</v>
      </c>
      <c r="D62" s="301"/>
      <c r="E62" s="301"/>
      <c r="F62" s="1">
        <v>50</v>
      </c>
      <c r="G62" s="1">
        <v>50</v>
      </c>
      <c r="H62" s="8">
        <v>8900</v>
      </c>
      <c r="I62" s="96">
        <f t="shared" si="0"/>
        <v>5842.8499999999995</v>
      </c>
    </row>
    <row r="63" spans="1:9" ht="18.75" customHeight="1" x14ac:dyDescent="0.35">
      <c r="A63" s="4">
        <v>6</v>
      </c>
      <c r="B63" s="6" t="s">
        <v>120</v>
      </c>
      <c r="C63" s="14" t="s">
        <v>121</v>
      </c>
      <c r="D63" s="301"/>
      <c r="E63" s="301"/>
      <c r="F63" s="1">
        <v>50</v>
      </c>
      <c r="G63" s="1">
        <v>50</v>
      </c>
      <c r="H63" s="5">
        <v>9100</v>
      </c>
      <c r="I63" s="96">
        <f t="shared" si="0"/>
        <v>5974.15</v>
      </c>
    </row>
    <row r="64" spans="1:9" ht="18.75" customHeight="1" x14ac:dyDescent="0.35">
      <c r="A64" s="6">
        <v>7</v>
      </c>
      <c r="B64" s="4" t="s">
        <v>122</v>
      </c>
      <c r="C64" s="18" t="s">
        <v>123</v>
      </c>
      <c r="D64" s="301"/>
      <c r="E64" s="301"/>
      <c r="F64" s="1">
        <v>50</v>
      </c>
      <c r="G64" s="1">
        <v>50</v>
      </c>
      <c r="H64" s="5">
        <v>9000</v>
      </c>
      <c r="I64" s="96">
        <f t="shared" si="0"/>
        <v>5908.5</v>
      </c>
    </row>
    <row r="65" spans="1:9" ht="18.75" customHeight="1" x14ac:dyDescent="0.35">
      <c r="A65" s="6">
        <v>8</v>
      </c>
      <c r="B65" s="4" t="s">
        <v>124</v>
      </c>
      <c r="C65" s="19" t="s">
        <v>125</v>
      </c>
      <c r="D65" s="301"/>
      <c r="E65" s="301"/>
      <c r="F65" s="1">
        <v>75</v>
      </c>
      <c r="G65" s="1">
        <v>75</v>
      </c>
      <c r="H65" s="8">
        <v>10000</v>
      </c>
      <c r="I65" s="96">
        <f t="shared" si="0"/>
        <v>6565</v>
      </c>
    </row>
    <row r="66" spans="1:9" ht="18.75" customHeight="1" x14ac:dyDescent="0.35">
      <c r="A66" s="4">
        <v>9</v>
      </c>
      <c r="B66" s="4"/>
      <c r="C66" s="18" t="s">
        <v>126</v>
      </c>
      <c r="D66" s="301"/>
      <c r="E66" s="301"/>
      <c r="F66" s="1">
        <v>75</v>
      </c>
      <c r="G66" s="1">
        <v>75</v>
      </c>
      <c r="H66" s="5">
        <v>10200</v>
      </c>
      <c r="I66" s="96">
        <f t="shared" si="0"/>
        <v>6696.2999999999993</v>
      </c>
    </row>
    <row r="67" spans="1:9" ht="18.75" customHeight="1" x14ac:dyDescent="0.35">
      <c r="A67" s="6">
        <v>10</v>
      </c>
      <c r="B67" s="4" t="s">
        <v>127</v>
      </c>
      <c r="C67" s="19" t="s">
        <v>128</v>
      </c>
      <c r="D67" s="301">
        <v>1.5</v>
      </c>
      <c r="E67" s="301">
        <v>1.1000000000000001</v>
      </c>
      <c r="F67" s="1">
        <v>50</v>
      </c>
      <c r="G67" s="1">
        <v>50</v>
      </c>
      <c r="H67" s="5">
        <v>10420</v>
      </c>
      <c r="I67" s="96">
        <f t="shared" si="0"/>
        <v>6840.73</v>
      </c>
    </row>
    <row r="68" spans="1:9" ht="18.75" customHeight="1" x14ac:dyDescent="0.35">
      <c r="A68" s="6">
        <v>11</v>
      </c>
      <c r="B68" s="4" t="s">
        <v>129</v>
      </c>
      <c r="C68" s="18" t="s">
        <v>130</v>
      </c>
      <c r="D68" s="301"/>
      <c r="E68" s="301"/>
      <c r="F68" s="1">
        <v>50</v>
      </c>
      <c r="G68" s="1">
        <v>50</v>
      </c>
      <c r="H68" s="5">
        <v>10600</v>
      </c>
      <c r="I68" s="96">
        <f t="shared" si="0"/>
        <v>6958.9</v>
      </c>
    </row>
    <row r="69" spans="1:9" ht="18.75" customHeight="1" x14ac:dyDescent="0.35">
      <c r="A69" s="4">
        <v>12</v>
      </c>
      <c r="B69" s="4" t="s">
        <v>131</v>
      </c>
      <c r="C69" s="19" t="s">
        <v>132</v>
      </c>
      <c r="D69" s="301"/>
      <c r="E69" s="301"/>
      <c r="F69" s="1">
        <v>65</v>
      </c>
      <c r="G69" s="1">
        <v>50</v>
      </c>
      <c r="H69" s="5">
        <v>10600</v>
      </c>
      <c r="I69" s="96">
        <f t="shared" si="0"/>
        <v>6958.9</v>
      </c>
    </row>
    <row r="70" spans="1:9" ht="18.75" customHeight="1" x14ac:dyDescent="0.35">
      <c r="A70" s="6">
        <v>13</v>
      </c>
      <c r="B70" s="4" t="s">
        <v>133</v>
      </c>
      <c r="C70" s="18" t="s">
        <v>134</v>
      </c>
      <c r="D70" s="301"/>
      <c r="E70" s="301"/>
      <c r="F70" s="1">
        <v>65</v>
      </c>
      <c r="G70" s="1">
        <v>50</v>
      </c>
      <c r="H70" s="5">
        <v>10800</v>
      </c>
      <c r="I70" s="96">
        <f t="shared" si="0"/>
        <v>7090.2</v>
      </c>
    </row>
    <row r="71" spans="1:9" ht="18.75" customHeight="1" x14ac:dyDescent="0.35">
      <c r="A71" s="6">
        <v>14</v>
      </c>
      <c r="B71" s="4" t="s">
        <v>135</v>
      </c>
      <c r="C71" s="19" t="s">
        <v>136</v>
      </c>
      <c r="D71" s="301"/>
      <c r="E71" s="301"/>
      <c r="F71" s="1">
        <v>75</v>
      </c>
      <c r="G71" s="1">
        <v>75</v>
      </c>
      <c r="H71" s="8">
        <v>11000</v>
      </c>
      <c r="I71" s="96">
        <f t="shared" si="0"/>
        <v>7221.5</v>
      </c>
    </row>
    <row r="72" spans="1:9" ht="18.75" customHeight="1" x14ac:dyDescent="0.35">
      <c r="A72" s="4">
        <v>15</v>
      </c>
      <c r="B72" s="4" t="s">
        <v>137</v>
      </c>
      <c r="C72" s="18" t="s">
        <v>138</v>
      </c>
      <c r="D72" s="301"/>
      <c r="E72" s="301"/>
      <c r="F72" s="1">
        <v>75</v>
      </c>
      <c r="G72" s="1">
        <v>75</v>
      </c>
      <c r="H72" s="5">
        <v>11200</v>
      </c>
      <c r="I72" s="96">
        <f t="shared" ref="I72:I113" si="1">+H72*0.6565</f>
        <v>7352.7999999999993</v>
      </c>
    </row>
    <row r="73" spans="1:9" ht="18.75" customHeight="1" x14ac:dyDescent="0.35">
      <c r="A73" s="6">
        <v>16</v>
      </c>
      <c r="B73" s="4" t="s">
        <v>135</v>
      </c>
      <c r="C73" s="18" t="s">
        <v>140</v>
      </c>
      <c r="D73" s="301"/>
      <c r="E73" s="301"/>
      <c r="F73" s="1">
        <v>75</v>
      </c>
      <c r="G73" s="1">
        <v>75</v>
      </c>
      <c r="H73" s="5">
        <v>11200</v>
      </c>
      <c r="I73" s="96">
        <f t="shared" si="1"/>
        <v>7352.7999999999993</v>
      </c>
    </row>
    <row r="74" spans="1:9" ht="18.75" customHeight="1" x14ac:dyDescent="0.35">
      <c r="A74" s="6">
        <v>17</v>
      </c>
      <c r="B74" s="4" t="s">
        <v>141</v>
      </c>
      <c r="C74" s="19" t="s">
        <v>142</v>
      </c>
      <c r="D74" s="301">
        <v>2</v>
      </c>
      <c r="E74" s="301">
        <v>1.5</v>
      </c>
      <c r="F74" s="1">
        <v>50</v>
      </c>
      <c r="G74" s="1">
        <v>40</v>
      </c>
      <c r="H74" s="8">
        <v>15000</v>
      </c>
      <c r="I74" s="96">
        <f t="shared" si="1"/>
        <v>9847.5</v>
      </c>
    </row>
    <row r="75" spans="1:9" ht="18.75" customHeight="1" x14ac:dyDescent="0.35">
      <c r="A75" s="4">
        <v>18</v>
      </c>
      <c r="B75" s="4" t="s">
        <v>143</v>
      </c>
      <c r="C75" s="18" t="s">
        <v>144</v>
      </c>
      <c r="D75" s="301"/>
      <c r="E75" s="301"/>
      <c r="F75" s="1">
        <v>50</v>
      </c>
      <c r="G75" s="1">
        <v>40</v>
      </c>
      <c r="H75" s="5">
        <v>15200</v>
      </c>
      <c r="I75" s="96">
        <f t="shared" si="1"/>
        <v>9978.7999999999993</v>
      </c>
    </row>
    <row r="76" spans="1:9" ht="18.75" customHeight="1" x14ac:dyDescent="0.35">
      <c r="A76" s="6">
        <v>19</v>
      </c>
      <c r="B76" s="6" t="s">
        <v>145</v>
      </c>
      <c r="C76" s="14" t="s">
        <v>146</v>
      </c>
      <c r="D76" s="301"/>
      <c r="E76" s="301"/>
      <c r="F76" s="1">
        <v>50</v>
      </c>
      <c r="G76" s="1">
        <v>50</v>
      </c>
      <c r="H76" s="8">
        <v>13000</v>
      </c>
      <c r="I76" s="96">
        <f t="shared" si="1"/>
        <v>8534.5</v>
      </c>
    </row>
    <row r="77" spans="1:9" ht="18.75" customHeight="1" x14ac:dyDescent="0.35">
      <c r="A77" s="6">
        <v>20</v>
      </c>
      <c r="B77" s="4" t="s">
        <v>147</v>
      </c>
      <c r="C77" s="18" t="s">
        <v>148</v>
      </c>
      <c r="D77" s="301"/>
      <c r="E77" s="301"/>
      <c r="F77" s="1">
        <v>50</v>
      </c>
      <c r="G77" s="1">
        <v>50</v>
      </c>
      <c r="H77" s="5">
        <v>13200</v>
      </c>
      <c r="I77" s="96">
        <f t="shared" si="1"/>
        <v>8665.7999999999993</v>
      </c>
    </row>
    <row r="78" spans="1:9" ht="18.75" customHeight="1" x14ac:dyDescent="0.35">
      <c r="A78" s="4">
        <v>21</v>
      </c>
      <c r="B78" s="6" t="s">
        <v>149</v>
      </c>
      <c r="C78" s="14" t="s">
        <v>150</v>
      </c>
      <c r="D78" s="301"/>
      <c r="E78" s="301"/>
      <c r="F78" s="1">
        <v>65</v>
      </c>
      <c r="G78" s="1">
        <v>50</v>
      </c>
      <c r="H78" s="8">
        <v>13300</v>
      </c>
      <c r="I78" s="96">
        <f t="shared" si="1"/>
        <v>8731.4499999999989</v>
      </c>
    </row>
    <row r="79" spans="1:9" ht="18.75" customHeight="1" x14ac:dyDescent="0.35">
      <c r="A79" s="6">
        <v>22</v>
      </c>
      <c r="B79" s="6" t="s">
        <v>151</v>
      </c>
      <c r="C79" s="14" t="s">
        <v>152</v>
      </c>
      <c r="D79" s="301"/>
      <c r="E79" s="301"/>
      <c r="F79" s="1">
        <v>65</v>
      </c>
      <c r="G79" s="1">
        <v>50</v>
      </c>
      <c r="H79" s="5">
        <v>13500</v>
      </c>
      <c r="I79" s="96">
        <f t="shared" si="1"/>
        <v>8862.75</v>
      </c>
    </row>
    <row r="80" spans="1:9" ht="18.75" customHeight="1" x14ac:dyDescent="0.35">
      <c r="A80" s="6">
        <v>23</v>
      </c>
      <c r="B80" s="4" t="s">
        <v>153</v>
      </c>
      <c r="C80" s="18" t="s">
        <v>154</v>
      </c>
      <c r="D80" s="301"/>
      <c r="E80" s="301"/>
      <c r="F80" s="1">
        <v>65</v>
      </c>
      <c r="G80" s="1">
        <v>50</v>
      </c>
      <c r="H80" s="5">
        <v>13340</v>
      </c>
      <c r="I80" s="96">
        <f t="shared" si="1"/>
        <v>8757.7099999999991</v>
      </c>
    </row>
    <row r="81" spans="1:9" ht="18.75" customHeight="1" x14ac:dyDescent="0.35">
      <c r="A81" s="4">
        <v>24</v>
      </c>
      <c r="B81" s="6"/>
      <c r="C81" s="14" t="s">
        <v>155</v>
      </c>
      <c r="D81" s="301"/>
      <c r="E81" s="301"/>
      <c r="F81" s="1">
        <v>65</v>
      </c>
      <c r="G81" s="1">
        <v>50</v>
      </c>
      <c r="H81" s="8">
        <v>13300</v>
      </c>
      <c r="I81" s="96">
        <f t="shared" si="1"/>
        <v>8731.4499999999989</v>
      </c>
    </row>
    <row r="82" spans="1:9" ht="18.75" customHeight="1" x14ac:dyDescent="0.35">
      <c r="A82" s="6">
        <v>25</v>
      </c>
      <c r="B82" s="4" t="s">
        <v>156</v>
      </c>
      <c r="C82" s="18" t="s">
        <v>157</v>
      </c>
      <c r="D82" s="301"/>
      <c r="E82" s="301"/>
      <c r="F82" s="1">
        <v>75</v>
      </c>
      <c r="G82" s="1">
        <v>75</v>
      </c>
      <c r="H82" s="5">
        <v>13600</v>
      </c>
      <c r="I82" s="96">
        <f t="shared" si="1"/>
        <v>8928.4</v>
      </c>
    </row>
    <row r="83" spans="1:9" ht="18.75" customHeight="1" x14ac:dyDescent="0.35">
      <c r="A83" s="6">
        <v>26</v>
      </c>
      <c r="B83" s="6" t="s">
        <v>158</v>
      </c>
      <c r="C83" s="14" t="s">
        <v>159</v>
      </c>
      <c r="D83" s="301"/>
      <c r="E83" s="301"/>
      <c r="F83" s="1">
        <v>75</v>
      </c>
      <c r="G83" s="1">
        <v>75</v>
      </c>
      <c r="H83" s="8">
        <v>13450</v>
      </c>
      <c r="I83" s="96">
        <f t="shared" si="1"/>
        <v>8829.9249999999993</v>
      </c>
    </row>
    <row r="84" spans="1:9" ht="18.75" customHeight="1" x14ac:dyDescent="0.35">
      <c r="A84" s="4">
        <v>27</v>
      </c>
      <c r="B84" s="6" t="s">
        <v>160</v>
      </c>
      <c r="C84" s="14" t="s">
        <v>161</v>
      </c>
      <c r="D84" s="301"/>
      <c r="E84" s="301"/>
      <c r="F84" s="1">
        <v>75</v>
      </c>
      <c r="G84" s="1">
        <v>75</v>
      </c>
      <c r="H84" s="5">
        <v>13800</v>
      </c>
      <c r="I84" s="96">
        <f t="shared" si="1"/>
        <v>9059.6999999999989</v>
      </c>
    </row>
    <row r="85" spans="1:9" ht="18.75" customHeight="1" x14ac:dyDescent="0.35">
      <c r="A85" s="6">
        <v>28</v>
      </c>
      <c r="B85" s="6" t="s">
        <v>162</v>
      </c>
      <c r="C85" s="14" t="s">
        <v>163</v>
      </c>
      <c r="D85" s="301"/>
      <c r="E85" s="301"/>
      <c r="F85" s="1">
        <v>75</v>
      </c>
      <c r="G85" s="1">
        <v>75</v>
      </c>
      <c r="H85" s="5">
        <v>14000</v>
      </c>
      <c r="I85" s="96">
        <f t="shared" si="1"/>
        <v>9191</v>
      </c>
    </row>
    <row r="86" spans="1:9" ht="18.75" customHeight="1" x14ac:dyDescent="0.35">
      <c r="A86" s="6">
        <v>29</v>
      </c>
      <c r="B86" s="6" t="s">
        <v>164</v>
      </c>
      <c r="C86" s="14" t="s">
        <v>165</v>
      </c>
      <c r="D86" s="301"/>
      <c r="E86" s="301"/>
      <c r="F86" s="1">
        <v>75</v>
      </c>
      <c r="G86" s="1">
        <v>75</v>
      </c>
      <c r="H86" s="5">
        <v>14500</v>
      </c>
      <c r="I86" s="96">
        <f t="shared" si="1"/>
        <v>9519.25</v>
      </c>
    </row>
    <row r="87" spans="1:9" ht="18.75" customHeight="1" x14ac:dyDescent="0.35">
      <c r="A87" s="4">
        <v>30</v>
      </c>
      <c r="B87" s="4" t="s">
        <v>166</v>
      </c>
      <c r="C87" s="18" t="s">
        <v>167</v>
      </c>
      <c r="D87" s="301"/>
      <c r="E87" s="301"/>
      <c r="F87" s="1">
        <v>75</v>
      </c>
      <c r="G87" s="1">
        <v>75</v>
      </c>
      <c r="H87" s="5">
        <v>13550</v>
      </c>
      <c r="I87" s="96">
        <f t="shared" si="1"/>
        <v>8895.5749999999989</v>
      </c>
    </row>
    <row r="88" spans="1:9" ht="18.75" customHeight="1" x14ac:dyDescent="0.35">
      <c r="A88" s="6">
        <v>31</v>
      </c>
      <c r="B88" s="6" t="s">
        <v>168</v>
      </c>
      <c r="C88" s="14" t="s">
        <v>169</v>
      </c>
      <c r="D88" s="301"/>
      <c r="E88" s="301"/>
      <c r="F88" s="1">
        <v>75</v>
      </c>
      <c r="G88" s="1">
        <v>65</v>
      </c>
      <c r="H88" s="8">
        <v>13450</v>
      </c>
      <c r="I88" s="96">
        <f t="shared" si="1"/>
        <v>8829.9249999999993</v>
      </c>
    </row>
    <row r="89" spans="1:9" ht="18.75" customHeight="1" x14ac:dyDescent="0.35">
      <c r="A89" s="6">
        <v>32</v>
      </c>
      <c r="B89" s="6" t="s">
        <v>170</v>
      </c>
      <c r="C89" s="14" t="s">
        <v>171</v>
      </c>
      <c r="D89" s="301"/>
      <c r="E89" s="301"/>
      <c r="F89" s="1">
        <v>75</v>
      </c>
      <c r="G89" s="1">
        <v>65</v>
      </c>
      <c r="H89" s="5">
        <v>13740</v>
      </c>
      <c r="I89" s="96">
        <f t="shared" si="1"/>
        <v>9020.31</v>
      </c>
    </row>
    <row r="90" spans="1:9" ht="18.75" customHeight="1" x14ac:dyDescent="0.35">
      <c r="A90" s="4">
        <v>33</v>
      </c>
      <c r="B90" s="4"/>
      <c r="C90" s="19" t="s">
        <v>172</v>
      </c>
      <c r="D90" s="301"/>
      <c r="E90" s="301"/>
      <c r="F90" s="1">
        <v>100</v>
      </c>
      <c r="G90" s="1">
        <v>100</v>
      </c>
      <c r="H90" s="8">
        <v>15000</v>
      </c>
      <c r="I90" s="96">
        <f t="shared" si="1"/>
        <v>9847.5</v>
      </c>
    </row>
    <row r="91" spans="1:9" ht="18.75" customHeight="1" x14ac:dyDescent="0.35">
      <c r="A91" s="6">
        <v>34</v>
      </c>
      <c r="B91" s="4"/>
      <c r="C91" s="18" t="s">
        <v>173</v>
      </c>
      <c r="D91" s="301"/>
      <c r="E91" s="301"/>
      <c r="F91" s="1">
        <v>100</v>
      </c>
      <c r="G91" s="1">
        <v>100</v>
      </c>
      <c r="H91" s="5">
        <v>15200</v>
      </c>
      <c r="I91" s="96">
        <f t="shared" si="1"/>
        <v>9978.7999999999993</v>
      </c>
    </row>
    <row r="92" spans="1:9" ht="18.75" customHeight="1" x14ac:dyDescent="0.35">
      <c r="A92" s="6">
        <v>35</v>
      </c>
      <c r="B92" s="4"/>
      <c r="C92" s="19" t="s">
        <v>174</v>
      </c>
      <c r="D92" s="301">
        <v>3</v>
      </c>
      <c r="E92" s="301">
        <v>2.25</v>
      </c>
      <c r="F92" s="1">
        <v>50</v>
      </c>
      <c r="G92" s="1">
        <v>40</v>
      </c>
      <c r="H92" s="8">
        <v>18000</v>
      </c>
      <c r="I92" s="96">
        <f t="shared" si="1"/>
        <v>11817</v>
      </c>
    </row>
    <row r="93" spans="1:9" ht="18.75" customHeight="1" x14ac:dyDescent="0.35">
      <c r="A93" s="4">
        <v>36</v>
      </c>
      <c r="B93" s="4" t="s">
        <v>175</v>
      </c>
      <c r="C93" s="18" t="s">
        <v>176</v>
      </c>
      <c r="D93" s="301"/>
      <c r="E93" s="301"/>
      <c r="F93" s="1">
        <v>50</v>
      </c>
      <c r="G93" s="1">
        <v>40</v>
      </c>
      <c r="H93" s="5">
        <v>18560</v>
      </c>
      <c r="I93" s="96">
        <f t="shared" si="1"/>
        <v>12184.64</v>
      </c>
    </row>
    <row r="94" spans="1:9" ht="18.75" customHeight="1" x14ac:dyDescent="0.35">
      <c r="A94" s="6">
        <v>37</v>
      </c>
      <c r="B94" s="4" t="s">
        <v>177</v>
      </c>
      <c r="C94" s="19" t="s">
        <v>178</v>
      </c>
      <c r="D94" s="301"/>
      <c r="E94" s="301"/>
      <c r="F94" s="1">
        <v>50</v>
      </c>
      <c r="G94" s="1">
        <v>50</v>
      </c>
      <c r="H94" s="8">
        <v>18250</v>
      </c>
      <c r="I94" s="96">
        <f t="shared" si="1"/>
        <v>11981.125</v>
      </c>
    </row>
    <row r="95" spans="1:9" ht="18.75" customHeight="1" x14ac:dyDescent="0.35">
      <c r="A95" s="6">
        <v>38</v>
      </c>
      <c r="B95" s="4" t="s">
        <v>179</v>
      </c>
      <c r="C95" s="18" t="s">
        <v>180</v>
      </c>
      <c r="D95" s="301"/>
      <c r="E95" s="301"/>
      <c r="F95" s="1">
        <v>50</v>
      </c>
      <c r="G95" s="1">
        <v>50</v>
      </c>
      <c r="H95" s="5">
        <v>18670</v>
      </c>
      <c r="I95" s="96">
        <f t="shared" si="1"/>
        <v>12256.855</v>
      </c>
    </row>
    <row r="96" spans="1:9" ht="18.75" customHeight="1" x14ac:dyDescent="0.35">
      <c r="A96" s="4">
        <v>39</v>
      </c>
      <c r="B96" s="6" t="s">
        <v>181</v>
      </c>
      <c r="C96" s="14" t="s">
        <v>182</v>
      </c>
      <c r="D96" s="301"/>
      <c r="E96" s="301"/>
      <c r="F96" s="1">
        <v>65</v>
      </c>
      <c r="G96" s="1">
        <v>50</v>
      </c>
      <c r="H96" s="8">
        <v>18100</v>
      </c>
      <c r="I96" s="96">
        <f t="shared" si="1"/>
        <v>11882.65</v>
      </c>
    </row>
    <row r="97" spans="1:9" ht="18.75" customHeight="1" x14ac:dyDescent="0.35">
      <c r="A97" s="6">
        <v>40</v>
      </c>
      <c r="B97" s="6" t="s">
        <v>183</v>
      </c>
      <c r="C97" s="14" t="s">
        <v>184</v>
      </c>
      <c r="D97" s="301"/>
      <c r="E97" s="301"/>
      <c r="F97" s="1">
        <v>65</v>
      </c>
      <c r="G97" s="1">
        <v>50</v>
      </c>
      <c r="H97" s="5">
        <v>18770</v>
      </c>
      <c r="I97" s="96">
        <f t="shared" si="1"/>
        <v>12322.504999999999</v>
      </c>
    </row>
    <row r="98" spans="1:9" ht="18.75" customHeight="1" x14ac:dyDescent="0.35">
      <c r="A98" s="6">
        <v>41</v>
      </c>
      <c r="B98" s="6" t="s">
        <v>185</v>
      </c>
      <c r="C98" s="14" t="s">
        <v>186</v>
      </c>
      <c r="D98" s="301"/>
      <c r="E98" s="301"/>
      <c r="F98" s="1">
        <v>75</v>
      </c>
      <c r="G98" s="1">
        <v>75</v>
      </c>
      <c r="H98" s="8">
        <v>18020</v>
      </c>
      <c r="I98" s="96">
        <f t="shared" si="1"/>
        <v>11830.13</v>
      </c>
    </row>
    <row r="99" spans="1:9" ht="18.75" customHeight="1" x14ac:dyDescent="0.35">
      <c r="A99" s="4">
        <v>42</v>
      </c>
      <c r="B99" s="6" t="s">
        <v>187</v>
      </c>
      <c r="C99" s="14" t="s">
        <v>188</v>
      </c>
      <c r="D99" s="301"/>
      <c r="E99" s="301"/>
      <c r="F99" s="1">
        <v>75</v>
      </c>
      <c r="G99" s="1">
        <v>75</v>
      </c>
      <c r="H99" s="5">
        <v>18680</v>
      </c>
      <c r="I99" s="96">
        <f t="shared" si="1"/>
        <v>12263.42</v>
      </c>
    </row>
    <row r="100" spans="1:9" ht="18.75" customHeight="1" x14ac:dyDescent="0.35">
      <c r="A100" s="6">
        <v>43</v>
      </c>
      <c r="B100" s="6" t="s">
        <v>189</v>
      </c>
      <c r="C100" s="14" t="s">
        <v>190</v>
      </c>
      <c r="D100" s="301"/>
      <c r="E100" s="301"/>
      <c r="F100" s="1">
        <v>100</v>
      </c>
      <c r="G100" s="1">
        <v>100</v>
      </c>
      <c r="H100" s="8">
        <v>19100</v>
      </c>
      <c r="I100" s="96">
        <f t="shared" si="1"/>
        <v>12539.15</v>
      </c>
    </row>
    <row r="101" spans="1:9" ht="18.75" customHeight="1" x14ac:dyDescent="0.35">
      <c r="A101" s="6">
        <v>44</v>
      </c>
      <c r="B101" s="6" t="s">
        <v>191</v>
      </c>
      <c r="C101" s="14" t="s">
        <v>192</v>
      </c>
      <c r="D101" s="301"/>
      <c r="E101" s="301"/>
      <c r="F101" s="1">
        <v>100</v>
      </c>
      <c r="G101" s="1">
        <v>100</v>
      </c>
      <c r="H101" s="5">
        <v>19500</v>
      </c>
      <c r="I101" s="96">
        <f t="shared" si="1"/>
        <v>12801.75</v>
      </c>
    </row>
    <row r="102" spans="1:9" ht="18.75" customHeight="1" x14ac:dyDescent="0.35">
      <c r="A102" s="4">
        <v>45</v>
      </c>
      <c r="B102" s="6" t="s">
        <v>193</v>
      </c>
      <c r="C102" s="14" t="s">
        <v>194</v>
      </c>
      <c r="D102" s="301"/>
      <c r="E102" s="301"/>
      <c r="F102" s="1">
        <v>100</v>
      </c>
      <c r="G102" s="1">
        <v>100</v>
      </c>
      <c r="H102" s="5">
        <v>14800</v>
      </c>
      <c r="I102" s="96">
        <f t="shared" si="1"/>
        <v>9716.1999999999989</v>
      </c>
    </row>
    <row r="103" spans="1:9" ht="18.75" customHeight="1" x14ac:dyDescent="0.35">
      <c r="A103" s="6">
        <v>46</v>
      </c>
      <c r="B103" s="4" t="s">
        <v>195</v>
      </c>
      <c r="C103" s="18" t="s">
        <v>196</v>
      </c>
      <c r="D103" s="301"/>
      <c r="E103" s="301"/>
      <c r="F103" s="1">
        <v>100</v>
      </c>
      <c r="G103" s="1">
        <v>100</v>
      </c>
      <c r="H103" s="5">
        <v>15000</v>
      </c>
      <c r="I103" s="96">
        <f t="shared" si="1"/>
        <v>9847.5</v>
      </c>
    </row>
    <row r="104" spans="1:9" ht="18.75" customHeight="1" x14ac:dyDescent="0.35">
      <c r="A104" s="6">
        <v>47</v>
      </c>
      <c r="B104" s="6" t="s">
        <v>197</v>
      </c>
      <c r="C104" s="14" t="s">
        <v>198</v>
      </c>
      <c r="D104" s="301">
        <v>5</v>
      </c>
      <c r="E104" s="301">
        <v>3.75</v>
      </c>
      <c r="F104" s="1">
        <v>80</v>
      </c>
      <c r="G104" s="1">
        <v>65</v>
      </c>
      <c r="H104" s="5">
        <v>24600</v>
      </c>
      <c r="I104" s="96">
        <f t="shared" si="1"/>
        <v>16149.9</v>
      </c>
    </row>
    <row r="105" spans="1:9" ht="18.75" customHeight="1" x14ac:dyDescent="0.35">
      <c r="A105" s="4">
        <v>48</v>
      </c>
      <c r="B105" s="4"/>
      <c r="C105" s="20" t="s">
        <v>199</v>
      </c>
      <c r="D105" s="301"/>
      <c r="E105" s="301"/>
      <c r="F105" s="1">
        <v>80</v>
      </c>
      <c r="G105" s="1">
        <v>65</v>
      </c>
      <c r="H105" s="5">
        <v>26000</v>
      </c>
      <c r="I105" s="96">
        <f t="shared" si="1"/>
        <v>17069</v>
      </c>
    </row>
    <row r="106" spans="1:9" ht="18.75" customHeight="1" x14ac:dyDescent="0.35">
      <c r="A106" s="6">
        <v>49</v>
      </c>
      <c r="B106" s="6" t="s">
        <v>200</v>
      </c>
      <c r="C106" s="20" t="s">
        <v>201</v>
      </c>
      <c r="D106" s="301"/>
      <c r="E106" s="301"/>
      <c r="F106" s="1">
        <v>80</v>
      </c>
      <c r="G106" s="1">
        <v>65</v>
      </c>
      <c r="H106" s="5">
        <v>23600</v>
      </c>
      <c r="I106" s="96">
        <f t="shared" si="1"/>
        <v>15493.4</v>
      </c>
    </row>
    <row r="107" spans="1:9" ht="18.75" customHeight="1" x14ac:dyDescent="0.35">
      <c r="A107" s="6">
        <v>50</v>
      </c>
      <c r="B107" s="4" t="s">
        <v>202</v>
      </c>
      <c r="C107" s="18" t="s">
        <v>203</v>
      </c>
      <c r="D107" s="7">
        <v>0.75</v>
      </c>
      <c r="E107" s="7">
        <v>0.56000000000000005</v>
      </c>
      <c r="F107" s="2">
        <v>25</v>
      </c>
      <c r="G107" s="2">
        <v>25</v>
      </c>
      <c r="H107" s="5">
        <v>5170</v>
      </c>
      <c r="I107" s="96">
        <f t="shared" si="1"/>
        <v>3394.105</v>
      </c>
    </row>
    <row r="108" spans="1:9" ht="18.75" customHeight="1" x14ac:dyDescent="0.35">
      <c r="A108" s="4">
        <v>51</v>
      </c>
      <c r="B108" s="4" t="s">
        <v>204</v>
      </c>
      <c r="C108" s="18" t="s">
        <v>205</v>
      </c>
      <c r="D108" s="301">
        <v>1</v>
      </c>
      <c r="E108" s="301">
        <v>0.75</v>
      </c>
      <c r="F108" s="1">
        <v>40</v>
      </c>
      <c r="G108" s="1">
        <v>40</v>
      </c>
      <c r="H108" s="5">
        <v>9000</v>
      </c>
      <c r="I108" s="96">
        <f t="shared" si="1"/>
        <v>5908.5</v>
      </c>
    </row>
    <row r="109" spans="1:9" ht="18.75" customHeight="1" x14ac:dyDescent="0.35">
      <c r="A109" s="6">
        <v>52</v>
      </c>
      <c r="B109" s="4"/>
      <c r="C109" s="18" t="s">
        <v>206</v>
      </c>
      <c r="D109" s="301"/>
      <c r="E109" s="301"/>
      <c r="F109" s="1">
        <v>40</v>
      </c>
      <c r="G109" s="1">
        <v>40</v>
      </c>
      <c r="H109" s="5">
        <v>9000</v>
      </c>
      <c r="I109" s="96">
        <f t="shared" si="1"/>
        <v>5908.5</v>
      </c>
    </row>
    <row r="110" spans="1:9" ht="18.75" customHeight="1" x14ac:dyDescent="0.35">
      <c r="A110" s="6">
        <v>53</v>
      </c>
      <c r="B110" s="4"/>
      <c r="C110" s="20" t="s">
        <v>207</v>
      </c>
      <c r="D110" s="301">
        <v>2</v>
      </c>
      <c r="E110" s="301">
        <v>1.5</v>
      </c>
      <c r="F110" s="1">
        <v>75</v>
      </c>
      <c r="G110" s="1">
        <v>75</v>
      </c>
      <c r="H110" s="5">
        <v>12500</v>
      </c>
      <c r="I110" s="96">
        <f t="shared" si="1"/>
        <v>8206.25</v>
      </c>
    </row>
    <row r="111" spans="1:9" ht="18.75" customHeight="1" x14ac:dyDescent="0.35">
      <c r="A111" s="4">
        <v>54</v>
      </c>
      <c r="B111" s="4" t="s">
        <v>208</v>
      </c>
      <c r="C111" s="20" t="s">
        <v>209</v>
      </c>
      <c r="D111" s="301"/>
      <c r="E111" s="301"/>
      <c r="F111" s="1">
        <v>75</v>
      </c>
      <c r="G111" s="1">
        <v>75</v>
      </c>
      <c r="H111" s="5">
        <v>12500</v>
      </c>
      <c r="I111" s="96">
        <f t="shared" si="1"/>
        <v>8206.25</v>
      </c>
    </row>
    <row r="112" spans="1:9" ht="18.75" customHeight="1" x14ac:dyDescent="0.35">
      <c r="A112" s="6">
        <v>55</v>
      </c>
      <c r="B112" s="4" t="s">
        <v>210</v>
      </c>
      <c r="C112" s="20" t="s">
        <v>211</v>
      </c>
      <c r="D112" s="301"/>
      <c r="E112" s="301"/>
      <c r="F112" s="1">
        <v>65</v>
      </c>
      <c r="G112" s="1">
        <v>50</v>
      </c>
      <c r="H112" s="5">
        <v>12200</v>
      </c>
      <c r="I112" s="96">
        <f t="shared" si="1"/>
        <v>8009.2999999999993</v>
      </c>
    </row>
    <row r="113" spans="1:9" ht="18.75" customHeight="1" x14ac:dyDescent="0.35">
      <c r="A113" s="6">
        <v>56</v>
      </c>
      <c r="B113" s="4" t="s">
        <v>212</v>
      </c>
      <c r="C113" s="20" t="s">
        <v>213</v>
      </c>
      <c r="D113" s="301"/>
      <c r="E113" s="301"/>
      <c r="F113" s="1">
        <v>50</v>
      </c>
      <c r="G113" s="1">
        <v>50</v>
      </c>
      <c r="H113" s="5">
        <v>12200</v>
      </c>
      <c r="I113" s="96">
        <f t="shared" si="1"/>
        <v>8009.2999999999993</v>
      </c>
    </row>
    <row r="114" spans="1:9" ht="18.75" customHeight="1" x14ac:dyDescent="0.35">
      <c r="A114" s="300" t="s">
        <v>214</v>
      </c>
      <c r="B114" s="300"/>
      <c r="C114" s="300"/>
      <c r="D114" s="300"/>
      <c r="E114" s="300"/>
      <c r="F114" s="300"/>
      <c r="G114" s="300"/>
      <c r="H114" s="287" t="s">
        <v>109</v>
      </c>
      <c r="I114" s="207" t="s">
        <v>504</v>
      </c>
    </row>
    <row r="115" spans="1:9" ht="18.75" customHeight="1" x14ac:dyDescent="0.35">
      <c r="A115" s="287" t="s">
        <v>2</v>
      </c>
      <c r="B115" s="287" t="s">
        <v>3</v>
      </c>
      <c r="C115" s="298" t="s">
        <v>4</v>
      </c>
      <c r="D115" s="287" t="s">
        <v>5</v>
      </c>
      <c r="E115" s="287"/>
      <c r="F115" s="287" t="s">
        <v>6</v>
      </c>
      <c r="G115" s="287"/>
      <c r="H115" s="287"/>
      <c r="I115" s="259"/>
    </row>
    <row r="116" spans="1:9" ht="18.75" customHeight="1" x14ac:dyDescent="0.35">
      <c r="A116" s="287"/>
      <c r="B116" s="287"/>
      <c r="C116" s="298"/>
      <c r="D116" s="11" t="s">
        <v>9</v>
      </c>
      <c r="E116" s="11" t="s">
        <v>10</v>
      </c>
      <c r="F116" s="11" t="s">
        <v>11</v>
      </c>
      <c r="G116" s="11" t="s">
        <v>12</v>
      </c>
      <c r="H116" s="287"/>
      <c r="I116" s="208"/>
    </row>
    <row r="117" spans="1:9" ht="18.75" customHeight="1" x14ac:dyDescent="0.35">
      <c r="A117" s="4">
        <v>1</v>
      </c>
      <c r="B117" s="4" t="s">
        <v>215</v>
      </c>
      <c r="C117" s="12" t="s">
        <v>512</v>
      </c>
      <c r="D117" s="2">
        <v>0.5</v>
      </c>
      <c r="E117" s="2">
        <v>0.37</v>
      </c>
      <c r="F117" s="2">
        <v>25</v>
      </c>
      <c r="G117" s="2">
        <v>25</v>
      </c>
      <c r="H117" s="13">
        <v>5370</v>
      </c>
      <c r="I117" s="96">
        <f>+H117*0.6565+380</f>
        <v>3905.4049999999997</v>
      </c>
    </row>
    <row r="118" spans="1:9" ht="18.75" customHeight="1" x14ac:dyDescent="0.35">
      <c r="A118" s="4">
        <v>2</v>
      </c>
      <c r="B118" s="4" t="s">
        <v>217</v>
      </c>
      <c r="C118" s="12" t="s">
        <v>513</v>
      </c>
      <c r="D118" s="2">
        <v>1</v>
      </c>
      <c r="E118" s="2">
        <v>0.75</v>
      </c>
      <c r="F118" s="2">
        <v>25</v>
      </c>
      <c r="G118" s="2">
        <v>25</v>
      </c>
      <c r="H118" s="13">
        <v>7070</v>
      </c>
      <c r="I118" s="96">
        <f>+H118*0.6565+400</f>
        <v>5041.4549999999999</v>
      </c>
    </row>
    <row r="119" spans="1:9" ht="18.75" customHeight="1" x14ac:dyDescent="0.35">
      <c r="A119" s="4">
        <v>3</v>
      </c>
      <c r="B119" s="21" t="s">
        <v>219</v>
      </c>
      <c r="C119" s="22" t="s">
        <v>220</v>
      </c>
      <c r="D119" s="23">
        <v>2</v>
      </c>
      <c r="E119" s="4">
        <v>1.5</v>
      </c>
      <c r="F119" s="4">
        <v>50</v>
      </c>
      <c r="G119" s="4">
        <v>50</v>
      </c>
      <c r="H119" s="4">
        <v>12200</v>
      </c>
      <c r="I119" s="96">
        <f t="shared" ref="I119:I128" si="2">+H119*0.6565</f>
        <v>8009.2999999999993</v>
      </c>
    </row>
    <row r="120" spans="1:9" ht="18.75" customHeight="1" x14ac:dyDescent="0.35">
      <c r="A120" s="4">
        <v>4</v>
      </c>
      <c r="B120" s="21" t="s">
        <v>221</v>
      </c>
      <c r="C120" s="22" t="s">
        <v>222</v>
      </c>
      <c r="D120" s="23">
        <v>2</v>
      </c>
      <c r="E120" s="4">
        <v>1.5</v>
      </c>
      <c r="F120" s="4">
        <v>50</v>
      </c>
      <c r="G120" s="4">
        <v>50</v>
      </c>
      <c r="H120" s="4">
        <v>12200</v>
      </c>
      <c r="I120" s="96">
        <f t="shared" si="2"/>
        <v>8009.2999999999993</v>
      </c>
    </row>
    <row r="121" spans="1:9" ht="18.75" customHeight="1" x14ac:dyDescent="0.35">
      <c r="A121" s="4">
        <v>5</v>
      </c>
      <c r="B121" s="21" t="s">
        <v>223</v>
      </c>
      <c r="C121" s="22" t="s">
        <v>224</v>
      </c>
      <c r="D121" s="23">
        <v>2</v>
      </c>
      <c r="E121" s="4">
        <v>1.5</v>
      </c>
      <c r="F121" s="4">
        <v>65</v>
      </c>
      <c r="G121" s="4">
        <v>50</v>
      </c>
      <c r="H121" s="4">
        <v>12300</v>
      </c>
      <c r="I121" s="96">
        <f t="shared" si="2"/>
        <v>8074.95</v>
      </c>
    </row>
    <row r="122" spans="1:9" ht="18.75" customHeight="1" x14ac:dyDescent="0.35">
      <c r="A122" s="4">
        <v>6</v>
      </c>
      <c r="B122" s="21" t="s">
        <v>225</v>
      </c>
      <c r="C122" s="22" t="s">
        <v>226</v>
      </c>
      <c r="D122" s="23">
        <v>2</v>
      </c>
      <c r="E122" s="4">
        <v>1.5</v>
      </c>
      <c r="F122" s="4">
        <v>65</v>
      </c>
      <c r="G122" s="4">
        <v>50</v>
      </c>
      <c r="H122" s="4">
        <v>12300</v>
      </c>
      <c r="I122" s="96">
        <f t="shared" si="2"/>
        <v>8074.95</v>
      </c>
    </row>
    <row r="123" spans="1:9" ht="18.75" customHeight="1" x14ac:dyDescent="0.35">
      <c r="A123" s="4">
        <v>7</v>
      </c>
      <c r="B123" s="21" t="s">
        <v>227</v>
      </c>
      <c r="C123" s="22" t="s">
        <v>228</v>
      </c>
      <c r="D123" s="21">
        <v>3</v>
      </c>
      <c r="E123" s="4">
        <v>2.25</v>
      </c>
      <c r="F123" s="4">
        <v>65</v>
      </c>
      <c r="G123" s="4">
        <v>50</v>
      </c>
      <c r="H123" s="4">
        <v>12900</v>
      </c>
      <c r="I123" s="96">
        <f t="shared" si="2"/>
        <v>8468.85</v>
      </c>
    </row>
    <row r="124" spans="1:9" ht="18.75" customHeight="1" x14ac:dyDescent="0.35">
      <c r="A124" s="4">
        <v>8</v>
      </c>
      <c r="B124" s="21" t="s">
        <v>229</v>
      </c>
      <c r="C124" s="24" t="s">
        <v>230</v>
      </c>
      <c r="D124" s="21">
        <v>3</v>
      </c>
      <c r="E124" s="4">
        <v>2.25</v>
      </c>
      <c r="F124" s="4">
        <v>65</v>
      </c>
      <c r="G124" s="4">
        <v>50</v>
      </c>
      <c r="H124" s="4">
        <v>13000</v>
      </c>
      <c r="I124" s="96">
        <f t="shared" si="2"/>
        <v>8534.5</v>
      </c>
    </row>
    <row r="125" spans="1:9" ht="18.75" customHeight="1" x14ac:dyDescent="0.35">
      <c r="A125" s="4">
        <v>9</v>
      </c>
      <c r="B125" s="21" t="s">
        <v>231</v>
      </c>
      <c r="C125" s="24" t="s">
        <v>232</v>
      </c>
      <c r="D125" s="21">
        <v>3</v>
      </c>
      <c r="E125" s="4">
        <v>2.25</v>
      </c>
      <c r="F125" s="4">
        <v>65</v>
      </c>
      <c r="G125" s="4">
        <v>50</v>
      </c>
      <c r="H125" s="4">
        <v>12900</v>
      </c>
      <c r="I125" s="96">
        <f t="shared" si="2"/>
        <v>8468.85</v>
      </c>
    </row>
    <row r="126" spans="1:9" ht="18.75" customHeight="1" x14ac:dyDescent="0.35">
      <c r="A126" s="4">
        <v>10</v>
      </c>
      <c r="B126" s="21" t="s">
        <v>233</v>
      </c>
      <c r="C126" s="24" t="s">
        <v>234</v>
      </c>
      <c r="D126" s="21">
        <v>3</v>
      </c>
      <c r="E126" s="4">
        <v>2.25</v>
      </c>
      <c r="F126" s="4">
        <v>65</v>
      </c>
      <c r="G126" s="4">
        <v>50</v>
      </c>
      <c r="H126" s="4">
        <v>19300</v>
      </c>
      <c r="I126" s="96">
        <f t="shared" si="2"/>
        <v>12670.449999999999</v>
      </c>
    </row>
    <row r="127" spans="1:9" ht="18.75" customHeight="1" x14ac:dyDescent="0.35">
      <c r="A127" s="4">
        <v>11</v>
      </c>
      <c r="B127" s="21" t="s">
        <v>235</v>
      </c>
      <c r="C127" s="24" t="s">
        <v>236</v>
      </c>
      <c r="D127" s="21">
        <v>5</v>
      </c>
      <c r="E127" s="1">
        <v>3.75</v>
      </c>
      <c r="F127" s="4">
        <v>65</v>
      </c>
      <c r="G127" s="4">
        <v>50</v>
      </c>
      <c r="H127" s="4">
        <v>18700</v>
      </c>
      <c r="I127" s="96">
        <f t="shared" si="2"/>
        <v>12276.55</v>
      </c>
    </row>
    <row r="128" spans="1:9" ht="18.75" customHeight="1" x14ac:dyDescent="0.35">
      <c r="A128" s="4">
        <v>12</v>
      </c>
      <c r="B128" s="21" t="s">
        <v>237</v>
      </c>
      <c r="C128" s="24" t="s">
        <v>238</v>
      </c>
      <c r="D128" s="21">
        <v>5</v>
      </c>
      <c r="E128" s="1">
        <v>3.75</v>
      </c>
      <c r="F128" s="4">
        <v>65</v>
      </c>
      <c r="G128" s="4">
        <v>50</v>
      </c>
      <c r="H128" s="4">
        <v>22900</v>
      </c>
      <c r="I128" s="96">
        <f t="shared" si="2"/>
        <v>15033.849999999999</v>
      </c>
    </row>
    <row r="129" spans="1:9" ht="18.75" customHeight="1" x14ac:dyDescent="0.35">
      <c r="A129" s="300" t="s">
        <v>239</v>
      </c>
      <c r="B129" s="300"/>
      <c r="C129" s="300"/>
      <c r="D129" s="300"/>
      <c r="E129" s="300"/>
      <c r="F129" s="300"/>
      <c r="G129" s="300"/>
      <c r="H129" s="287" t="s">
        <v>109</v>
      </c>
      <c r="I129" s="207" t="s">
        <v>504</v>
      </c>
    </row>
    <row r="130" spans="1:9" ht="18.75" customHeight="1" x14ac:dyDescent="0.35">
      <c r="A130" s="287" t="s">
        <v>2</v>
      </c>
      <c r="B130" s="287" t="s">
        <v>3</v>
      </c>
      <c r="C130" s="298" t="s">
        <v>4</v>
      </c>
      <c r="D130" s="287" t="s">
        <v>5</v>
      </c>
      <c r="E130" s="287"/>
      <c r="F130" s="287" t="s">
        <v>6</v>
      </c>
      <c r="G130" s="287"/>
      <c r="H130" s="287"/>
      <c r="I130" s="259"/>
    </row>
    <row r="131" spans="1:9" ht="18.75" customHeight="1" x14ac:dyDescent="0.35">
      <c r="A131" s="287"/>
      <c r="B131" s="287"/>
      <c r="C131" s="298"/>
      <c r="D131" s="11" t="s">
        <v>9</v>
      </c>
      <c r="E131" s="11" t="s">
        <v>10</v>
      </c>
      <c r="F131" s="287"/>
      <c r="G131" s="287"/>
      <c r="H131" s="287"/>
      <c r="I131" s="208"/>
    </row>
    <row r="132" spans="1:9" ht="18.75" customHeight="1" x14ac:dyDescent="0.35">
      <c r="A132" s="4">
        <v>1</v>
      </c>
      <c r="B132" s="4" t="s">
        <v>240</v>
      </c>
      <c r="C132" s="25" t="s">
        <v>241</v>
      </c>
      <c r="D132" s="4">
        <v>0.5</v>
      </c>
      <c r="E132" s="4"/>
      <c r="F132" s="292">
        <v>32</v>
      </c>
      <c r="G132" s="292"/>
      <c r="H132" s="4">
        <v>8240</v>
      </c>
      <c r="I132" s="96">
        <f t="shared" ref="I132:I136" si="3">+H132*0.6565</f>
        <v>5409.5599999999995</v>
      </c>
    </row>
    <row r="133" spans="1:9" ht="18.75" customHeight="1" x14ac:dyDescent="0.35">
      <c r="A133" s="4">
        <v>2</v>
      </c>
      <c r="B133" s="4" t="s">
        <v>242</v>
      </c>
      <c r="C133" s="25" t="s">
        <v>243</v>
      </c>
      <c r="D133" s="4">
        <v>0.5</v>
      </c>
      <c r="E133" s="4"/>
      <c r="F133" s="292">
        <v>32</v>
      </c>
      <c r="G133" s="292"/>
      <c r="H133" s="4">
        <v>8450</v>
      </c>
      <c r="I133" s="96">
        <f t="shared" si="3"/>
        <v>5547.4250000000002</v>
      </c>
    </row>
    <row r="134" spans="1:9" ht="18.75" customHeight="1" x14ac:dyDescent="0.35">
      <c r="A134" s="4">
        <v>3</v>
      </c>
      <c r="B134" s="4" t="s">
        <v>244</v>
      </c>
      <c r="C134" s="25" t="s">
        <v>245</v>
      </c>
      <c r="D134" s="4">
        <v>0.75</v>
      </c>
      <c r="E134" s="4"/>
      <c r="F134" s="292">
        <v>32</v>
      </c>
      <c r="G134" s="292"/>
      <c r="H134" s="4">
        <v>8550</v>
      </c>
      <c r="I134" s="96">
        <f t="shared" si="3"/>
        <v>5613.0749999999998</v>
      </c>
    </row>
    <row r="135" spans="1:9" ht="18.75" customHeight="1" x14ac:dyDescent="0.35">
      <c r="A135" s="4">
        <v>4</v>
      </c>
      <c r="B135" s="4" t="s">
        <v>246</v>
      </c>
      <c r="C135" s="25" t="s">
        <v>247</v>
      </c>
      <c r="D135" s="4">
        <v>0.75</v>
      </c>
      <c r="E135" s="4"/>
      <c r="F135" s="292">
        <v>32</v>
      </c>
      <c r="G135" s="292"/>
      <c r="H135" s="4">
        <v>8750</v>
      </c>
      <c r="I135" s="96">
        <f t="shared" si="3"/>
        <v>5744.375</v>
      </c>
    </row>
    <row r="136" spans="1:9" ht="18.75" customHeight="1" x14ac:dyDescent="0.35">
      <c r="A136" s="4">
        <v>5</v>
      </c>
      <c r="B136" s="4" t="s">
        <v>248</v>
      </c>
      <c r="C136" s="25" t="s">
        <v>249</v>
      </c>
      <c r="D136" s="4">
        <v>1</v>
      </c>
      <c r="E136" s="4"/>
      <c r="F136" s="292">
        <v>32</v>
      </c>
      <c r="G136" s="292"/>
      <c r="H136" s="26">
        <v>8800</v>
      </c>
      <c r="I136" s="96">
        <f t="shared" si="3"/>
        <v>5777.2</v>
      </c>
    </row>
    <row r="137" spans="1:9" ht="18.75" customHeight="1" x14ac:dyDescent="0.35">
      <c r="A137" s="4">
        <v>6</v>
      </c>
      <c r="B137" s="4" t="s">
        <v>250</v>
      </c>
      <c r="C137" s="25" t="s">
        <v>251</v>
      </c>
      <c r="D137" s="4">
        <v>1</v>
      </c>
      <c r="E137" s="4"/>
      <c r="F137" s="292">
        <v>32</v>
      </c>
      <c r="G137" s="292"/>
      <c r="H137" s="26">
        <v>9000</v>
      </c>
      <c r="I137" s="103">
        <f>+H137*0.63</f>
        <v>5670</v>
      </c>
    </row>
    <row r="138" spans="1:9" ht="18.75" customHeight="1" x14ac:dyDescent="0.35">
      <c r="A138" s="4">
        <v>7</v>
      </c>
      <c r="B138" s="4" t="s">
        <v>252</v>
      </c>
      <c r="C138" s="25" t="s">
        <v>253</v>
      </c>
      <c r="D138" s="4">
        <v>1</v>
      </c>
      <c r="E138" s="4"/>
      <c r="F138" s="292">
        <v>32</v>
      </c>
      <c r="G138" s="292"/>
      <c r="H138" s="4">
        <v>9480</v>
      </c>
      <c r="I138" s="96">
        <f t="shared" ref="I138:I150" si="4">+H138*0.63</f>
        <v>5972.4</v>
      </c>
    </row>
    <row r="139" spans="1:9" ht="18.75" customHeight="1" x14ac:dyDescent="0.35">
      <c r="A139" s="4">
        <v>8</v>
      </c>
      <c r="B139" s="4" t="s">
        <v>254</v>
      </c>
      <c r="C139" s="25" t="s">
        <v>255</v>
      </c>
      <c r="D139" s="4">
        <v>1</v>
      </c>
      <c r="E139" s="4"/>
      <c r="F139" s="292">
        <v>32</v>
      </c>
      <c r="G139" s="292"/>
      <c r="H139" s="4">
        <v>9790</v>
      </c>
      <c r="I139" s="96">
        <f t="shared" si="4"/>
        <v>6167.7</v>
      </c>
    </row>
    <row r="140" spans="1:9" ht="18.75" customHeight="1" x14ac:dyDescent="0.35">
      <c r="A140" s="4">
        <v>9</v>
      </c>
      <c r="B140" s="4" t="s">
        <v>256</v>
      </c>
      <c r="C140" s="25" t="s">
        <v>257</v>
      </c>
      <c r="D140" s="4">
        <v>1.5</v>
      </c>
      <c r="E140" s="4"/>
      <c r="F140" s="292">
        <v>32</v>
      </c>
      <c r="G140" s="292"/>
      <c r="H140" s="4">
        <v>11330</v>
      </c>
      <c r="I140" s="96">
        <f t="shared" si="4"/>
        <v>7137.9</v>
      </c>
    </row>
    <row r="141" spans="1:9" ht="18.75" customHeight="1" x14ac:dyDescent="0.35">
      <c r="A141" s="4">
        <v>10</v>
      </c>
      <c r="B141" s="4" t="s">
        <v>258</v>
      </c>
      <c r="C141" s="25" t="s">
        <v>259</v>
      </c>
      <c r="D141" s="4">
        <v>1.5</v>
      </c>
      <c r="E141" s="4"/>
      <c r="F141" s="292">
        <v>32</v>
      </c>
      <c r="G141" s="292"/>
      <c r="H141" s="4">
        <v>11640</v>
      </c>
      <c r="I141" s="103">
        <f>+H141*0.63</f>
        <v>7333.2</v>
      </c>
    </row>
    <row r="142" spans="1:9" ht="18.75" customHeight="1" x14ac:dyDescent="0.35">
      <c r="A142" s="4">
        <v>11</v>
      </c>
      <c r="B142" s="4" t="s">
        <v>260</v>
      </c>
      <c r="C142" s="25" t="s">
        <v>261</v>
      </c>
      <c r="D142" s="4">
        <v>1.5</v>
      </c>
      <c r="E142" s="4"/>
      <c r="F142" s="292">
        <v>32</v>
      </c>
      <c r="G142" s="292"/>
      <c r="H142" s="4">
        <v>11800</v>
      </c>
      <c r="I142" s="96">
        <f t="shared" si="4"/>
        <v>7434</v>
      </c>
    </row>
    <row r="143" spans="1:9" ht="18.75" customHeight="1" x14ac:dyDescent="0.35">
      <c r="A143" s="4">
        <v>12</v>
      </c>
      <c r="B143" s="4" t="s">
        <v>262</v>
      </c>
      <c r="C143" s="25" t="s">
        <v>263</v>
      </c>
      <c r="D143" s="4">
        <v>1.5</v>
      </c>
      <c r="E143" s="4"/>
      <c r="F143" s="292">
        <v>32</v>
      </c>
      <c r="G143" s="292"/>
      <c r="H143" s="4">
        <v>12670</v>
      </c>
      <c r="I143" s="96">
        <f t="shared" si="4"/>
        <v>7982.1</v>
      </c>
    </row>
    <row r="144" spans="1:9" ht="18.75" customHeight="1" x14ac:dyDescent="0.35">
      <c r="A144" s="4">
        <v>13</v>
      </c>
      <c r="B144" s="4" t="s">
        <v>270</v>
      </c>
      <c r="C144" s="25" t="s">
        <v>265</v>
      </c>
      <c r="D144" s="4">
        <v>2</v>
      </c>
      <c r="E144" s="4"/>
      <c r="F144" s="292">
        <v>40</v>
      </c>
      <c r="G144" s="292"/>
      <c r="H144" s="4">
        <v>14730</v>
      </c>
      <c r="I144" s="96">
        <f t="shared" si="4"/>
        <v>9279.9</v>
      </c>
    </row>
    <row r="145" spans="1:9" ht="18.75" customHeight="1" x14ac:dyDescent="0.35">
      <c r="A145" s="4">
        <v>14</v>
      </c>
      <c r="B145" s="4" t="s">
        <v>266</v>
      </c>
      <c r="C145" s="25" t="s">
        <v>267</v>
      </c>
      <c r="D145" s="4">
        <v>2</v>
      </c>
      <c r="E145" s="4"/>
      <c r="F145" s="292">
        <v>32</v>
      </c>
      <c r="G145" s="292"/>
      <c r="H145" s="4">
        <v>15250</v>
      </c>
      <c r="I145" s="103">
        <f>+H145*0.63</f>
        <v>9607.5</v>
      </c>
    </row>
    <row r="146" spans="1:9" ht="18.75" customHeight="1" x14ac:dyDescent="0.35">
      <c r="A146" s="4">
        <v>15</v>
      </c>
      <c r="B146" s="4" t="s">
        <v>268</v>
      </c>
      <c r="C146" s="25" t="s">
        <v>269</v>
      </c>
      <c r="D146" s="4">
        <v>2</v>
      </c>
      <c r="E146" s="4"/>
      <c r="F146" s="292">
        <v>32</v>
      </c>
      <c r="G146" s="292"/>
      <c r="H146" s="4">
        <v>15860</v>
      </c>
      <c r="I146" s="96">
        <f t="shared" si="4"/>
        <v>9991.7999999999993</v>
      </c>
    </row>
    <row r="147" spans="1:9" ht="18.75" customHeight="1" x14ac:dyDescent="0.35">
      <c r="A147" s="4">
        <v>16</v>
      </c>
      <c r="B147" s="4" t="s">
        <v>270</v>
      </c>
      <c r="C147" s="25" t="s">
        <v>271</v>
      </c>
      <c r="D147" s="4">
        <v>2</v>
      </c>
      <c r="E147" s="4"/>
      <c r="F147" s="292">
        <v>32</v>
      </c>
      <c r="G147" s="292"/>
      <c r="H147" s="4">
        <v>15970</v>
      </c>
      <c r="I147" s="103">
        <f>+H147*0.63</f>
        <v>10061.1</v>
      </c>
    </row>
    <row r="148" spans="1:9" ht="18.75" customHeight="1" x14ac:dyDescent="0.35">
      <c r="A148" s="4">
        <v>17</v>
      </c>
      <c r="B148" s="4" t="s">
        <v>272</v>
      </c>
      <c r="C148" s="25" t="s">
        <v>273</v>
      </c>
      <c r="D148" s="4">
        <v>2</v>
      </c>
      <c r="E148" s="4"/>
      <c r="F148" s="292">
        <v>32</v>
      </c>
      <c r="G148" s="292"/>
      <c r="H148" s="4">
        <v>16480</v>
      </c>
      <c r="I148" s="96">
        <f t="shared" si="4"/>
        <v>10382.4</v>
      </c>
    </row>
    <row r="149" spans="1:9" ht="18.75" customHeight="1" x14ac:dyDescent="0.35">
      <c r="A149" s="4">
        <v>18</v>
      </c>
      <c r="B149" s="4" t="s">
        <v>274</v>
      </c>
      <c r="C149" s="25" t="s">
        <v>275</v>
      </c>
      <c r="D149" s="4">
        <v>2</v>
      </c>
      <c r="E149" s="4"/>
      <c r="F149" s="292">
        <v>65</v>
      </c>
      <c r="G149" s="292"/>
      <c r="H149" s="4">
        <v>14940</v>
      </c>
      <c r="I149" s="96">
        <f t="shared" si="4"/>
        <v>9412.2000000000007</v>
      </c>
    </row>
    <row r="150" spans="1:9" ht="18.75" customHeight="1" x14ac:dyDescent="0.35">
      <c r="A150" s="4">
        <v>19</v>
      </c>
      <c r="B150" s="4" t="s">
        <v>276</v>
      </c>
      <c r="C150" s="25" t="s">
        <v>277</v>
      </c>
      <c r="D150" s="4">
        <v>3</v>
      </c>
      <c r="E150" s="4"/>
      <c r="F150" s="292">
        <v>32</v>
      </c>
      <c r="G150" s="292"/>
      <c r="H150" s="4">
        <v>23500</v>
      </c>
      <c r="I150" s="96">
        <f t="shared" si="4"/>
        <v>14805</v>
      </c>
    </row>
    <row r="151" spans="1:9" ht="18.75" customHeight="1" x14ac:dyDescent="0.35">
      <c r="A151" s="4">
        <v>20</v>
      </c>
      <c r="B151" s="4" t="s">
        <v>278</v>
      </c>
      <c r="C151" s="25" t="s">
        <v>279</v>
      </c>
      <c r="D151" s="4">
        <v>3</v>
      </c>
      <c r="E151" s="4"/>
      <c r="F151" s="292">
        <v>32</v>
      </c>
      <c r="G151" s="292"/>
      <c r="H151" s="4">
        <v>24000</v>
      </c>
      <c r="I151" s="96">
        <f t="shared" ref="I151:I154" si="5">+H151*0.6565</f>
        <v>15756</v>
      </c>
    </row>
    <row r="152" spans="1:9" ht="18.75" customHeight="1" x14ac:dyDescent="0.35">
      <c r="A152" s="4">
        <v>21</v>
      </c>
      <c r="B152" s="4" t="s">
        <v>280</v>
      </c>
      <c r="C152" s="25" t="s">
        <v>281</v>
      </c>
      <c r="D152" s="4">
        <v>3</v>
      </c>
      <c r="E152" s="4"/>
      <c r="F152" s="292">
        <v>32</v>
      </c>
      <c r="G152" s="292"/>
      <c r="H152" s="4">
        <v>24500</v>
      </c>
      <c r="I152" s="96">
        <f t="shared" si="5"/>
        <v>16084.25</v>
      </c>
    </row>
    <row r="153" spans="1:9" ht="18.75" customHeight="1" x14ac:dyDescent="0.35">
      <c r="A153" s="4">
        <v>22</v>
      </c>
      <c r="B153" s="4" t="s">
        <v>282</v>
      </c>
      <c r="C153" s="25" t="s">
        <v>283</v>
      </c>
      <c r="D153" s="4">
        <v>3</v>
      </c>
      <c r="E153" s="4"/>
      <c r="F153" s="292">
        <v>65</v>
      </c>
      <c r="G153" s="292"/>
      <c r="H153" s="4">
        <v>23690</v>
      </c>
      <c r="I153" s="96">
        <f t="shared" si="5"/>
        <v>15552.484999999999</v>
      </c>
    </row>
    <row r="154" spans="1:9" ht="18.75" customHeight="1" x14ac:dyDescent="0.35">
      <c r="A154" s="4">
        <v>23</v>
      </c>
      <c r="B154" s="4" t="s">
        <v>284</v>
      </c>
      <c r="C154" s="25" t="s">
        <v>283</v>
      </c>
      <c r="D154" s="4">
        <v>3</v>
      </c>
      <c r="E154" s="4"/>
      <c r="F154" s="292">
        <v>65</v>
      </c>
      <c r="G154" s="292"/>
      <c r="H154" s="4">
        <v>15450</v>
      </c>
      <c r="I154" s="96">
        <f t="shared" si="5"/>
        <v>10142.924999999999</v>
      </c>
    </row>
    <row r="155" spans="1:9" ht="18.75" customHeight="1" x14ac:dyDescent="0.35">
      <c r="A155" s="300" t="s">
        <v>285</v>
      </c>
      <c r="B155" s="300"/>
      <c r="C155" s="300"/>
      <c r="D155" s="300"/>
      <c r="E155" s="300"/>
      <c r="F155" s="300"/>
      <c r="G155" s="300"/>
      <c r="H155" s="287" t="s">
        <v>109</v>
      </c>
      <c r="I155" s="207" t="s">
        <v>504</v>
      </c>
    </row>
    <row r="156" spans="1:9" ht="18.75" customHeight="1" x14ac:dyDescent="0.35">
      <c r="A156" s="287" t="s">
        <v>2</v>
      </c>
      <c r="B156" s="287" t="s">
        <v>3</v>
      </c>
      <c r="C156" s="298" t="s">
        <v>4</v>
      </c>
      <c r="D156" s="287" t="s">
        <v>5</v>
      </c>
      <c r="E156" s="287"/>
      <c r="F156" s="287" t="s">
        <v>6</v>
      </c>
      <c r="G156" s="287"/>
      <c r="H156" s="287"/>
      <c r="I156" s="259"/>
    </row>
    <row r="157" spans="1:9" ht="18.75" customHeight="1" x14ac:dyDescent="0.35">
      <c r="A157" s="287"/>
      <c r="B157" s="287"/>
      <c r="C157" s="298"/>
      <c r="D157" s="11" t="s">
        <v>9</v>
      </c>
      <c r="E157" s="11" t="s">
        <v>10</v>
      </c>
      <c r="F157" s="11" t="s">
        <v>11</v>
      </c>
      <c r="G157" s="11" t="s">
        <v>12</v>
      </c>
      <c r="H157" s="287"/>
      <c r="I157" s="208"/>
    </row>
    <row r="158" spans="1:9" ht="18.75" customHeight="1" x14ac:dyDescent="0.35">
      <c r="A158" s="4">
        <v>1</v>
      </c>
      <c r="B158" s="4" t="s">
        <v>286</v>
      </c>
      <c r="C158" s="25" t="s">
        <v>287</v>
      </c>
      <c r="D158" s="4">
        <v>0.5</v>
      </c>
      <c r="E158" s="4"/>
      <c r="F158" s="292">
        <v>32</v>
      </c>
      <c r="G158" s="292"/>
      <c r="H158" s="4">
        <v>6800</v>
      </c>
      <c r="I158" s="96">
        <f t="shared" ref="I158:I172" si="6">+H158*0.6565</f>
        <v>4464.2</v>
      </c>
    </row>
    <row r="159" spans="1:9" ht="18.75" customHeight="1" x14ac:dyDescent="0.35">
      <c r="A159" s="4">
        <v>2</v>
      </c>
      <c r="B159" s="4" t="s">
        <v>288</v>
      </c>
      <c r="C159" s="25" t="s">
        <v>289</v>
      </c>
      <c r="D159" s="4">
        <v>0.5</v>
      </c>
      <c r="E159" s="4"/>
      <c r="F159" s="292">
        <v>32</v>
      </c>
      <c r="G159" s="292"/>
      <c r="H159" s="4">
        <v>7600</v>
      </c>
      <c r="I159" s="96">
        <f t="shared" si="6"/>
        <v>4989.3999999999996</v>
      </c>
    </row>
    <row r="160" spans="1:9" ht="18.75" customHeight="1" x14ac:dyDescent="0.35">
      <c r="A160" s="4">
        <v>3</v>
      </c>
      <c r="B160" s="4" t="s">
        <v>290</v>
      </c>
      <c r="C160" s="25" t="s">
        <v>291</v>
      </c>
      <c r="D160" s="4">
        <v>0.75</v>
      </c>
      <c r="E160" s="4"/>
      <c r="F160" s="292">
        <v>32</v>
      </c>
      <c r="G160" s="292"/>
      <c r="H160" s="4">
        <v>7800</v>
      </c>
      <c r="I160" s="96">
        <f t="shared" si="6"/>
        <v>5120.7</v>
      </c>
    </row>
    <row r="161" spans="1:9" ht="18.75" customHeight="1" x14ac:dyDescent="0.35">
      <c r="A161" s="4">
        <v>4</v>
      </c>
      <c r="B161" s="4" t="s">
        <v>292</v>
      </c>
      <c r="C161" s="25" t="s">
        <v>293</v>
      </c>
      <c r="D161" s="4">
        <v>0.75</v>
      </c>
      <c r="E161" s="4"/>
      <c r="F161" s="292">
        <v>32</v>
      </c>
      <c r="G161" s="292"/>
      <c r="H161" s="4">
        <v>8000</v>
      </c>
      <c r="I161" s="96">
        <f t="shared" si="6"/>
        <v>5252</v>
      </c>
    </row>
    <row r="162" spans="1:9" ht="18.75" customHeight="1" x14ac:dyDescent="0.35">
      <c r="A162" s="4">
        <v>5</v>
      </c>
      <c r="B162" s="4" t="s">
        <v>294</v>
      </c>
      <c r="C162" s="25" t="s">
        <v>295</v>
      </c>
      <c r="D162" s="4">
        <v>1</v>
      </c>
      <c r="E162" s="4"/>
      <c r="F162" s="292">
        <v>32</v>
      </c>
      <c r="G162" s="292"/>
      <c r="H162" s="4">
        <v>8200</v>
      </c>
      <c r="I162" s="96">
        <f t="shared" si="6"/>
        <v>5383.3</v>
      </c>
    </row>
    <row r="163" spans="1:9" ht="18.75" customHeight="1" x14ac:dyDescent="0.35">
      <c r="A163" s="4">
        <v>6</v>
      </c>
      <c r="B163" s="4" t="s">
        <v>296</v>
      </c>
      <c r="C163" s="25" t="s">
        <v>297</v>
      </c>
      <c r="D163" s="4">
        <v>1</v>
      </c>
      <c r="E163" s="4"/>
      <c r="F163" s="292">
        <v>32</v>
      </c>
      <c r="G163" s="292"/>
      <c r="H163" s="4">
        <v>8400</v>
      </c>
      <c r="I163" s="96">
        <f t="shared" si="6"/>
        <v>5514.5999999999995</v>
      </c>
    </row>
    <row r="164" spans="1:9" ht="18.75" customHeight="1" x14ac:dyDescent="0.35">
      <c r="A164" s="4">
        <v>7</v>
      </c>
      <c r="B164" s="4" t="s">
        <v>298</v>
      </c>
      <c r="C164" s="25" t="s">
        <v>299</v>
      </c>
      <c r="D164" s="4">
        <v>1</v>
      </c>
      <c r="E164" s="4"/>
      <c r="F164" s="292">
        <v>32</v>
      </c>
      <c r="G164" s="292"/>
      <c r="H164" s="4">
        <v>8600</v>
      </c>
      <c r="I164" s="96">
        <f t="shared" si="6"/>
        <v>5645.9</v>
      </c>
    </row>
    <row r="165" spans="1:9" ht="18.75" customHeight="1" x14ac:dyDescent="0.35">
      <c r="A165" s="4">
        <v>8</v>
      </c>
      <c r="B165" s="4" t="s">
        <v>300</v>
      </c>
      <c r="C165" s="25" t="s">
        <v>301</v>
      </c>
      <c r="D165" s="4">
        <v>1.5</v>
      </c>
      <c r="E165" s="4"/>
      <c r="F165" s="292">
        <v>32</v>
      </c>
      <c r="G165" s="292"/>
      <c r="H165" s="4">
        <v>9000</v>
      </c>
      <c r="I165" s="96">
        <f t="shared" si="6"/>
        <v>5908.5</v>
      </c>
    </row>
    <row r="166" spans="1:9" ht="18.75" customHeight="1" x14ac:dyDescent="0.35">
      <c r="A166" s="4">
        <v>9</v>
      </c>
      <c r="B166" s="4" t="s">
        <v>302</v>
      </c>
      <c r="C166" s="25" t="s">
        <v>303</v>
      </c>
      <c r="D166" s="4">
        <v>1.5</v>
      </c>
      <c r="E166" s="4"/>
      <c r="F166" s="292">
        <v>32</v>
      </c>
      <c r="G166" s="292"/>
      <c r="H166" s="4">
        <v>10600</v>
      </c>
      <c r="I166" s="96">
        <f t="shared" si="6"/>
        <v>6958.9</v>
      </c>
    </row>
    <row r="167" spans="1:9" ht="18.75" customHeight="1" x14ac:dyDescent="0.35">
      <c r="A167" s="4">
        <v>10</v>
      </c>
      <c r="B167" s="4" t="s">
        <v>304</v>
      </c>
      <c r="C167" s="25" t="s">
        <v>305</v>
      </c>
      <c r="D167" s="4">
        <v>1.5</v>
      </c>
      <c r="E167" s="4"/>
      <c r="F167" s="292">
        <v>32</v>
      </c>
      <c r="G167" s="292"/>
      <c r="H167" s="4">
        <v>11000</v>
      </c>
      <c r="I167" s="96">
        <f t="shared" si="6"/>
        <v>7221.5</v>
      </c>
    </row>
    <row r="168" spans="1:9" ht="18.75" customHeight="1" x14ac:dyDescent="0.35">
      <c r="A168" s="4">
        <v>11</v>
      </c>
      <c r="B168" s="4" t="s">
        <v>306</v>
      </c>
      <c r="C168" s="25" t="s">
        <v>307</v>
      </c>
      <c r="D168" s="4">
        <v>2</v>
      </c>
      <c r="E168" s="4"/>
      <c r="F168" s="292">
        <v>32</v>
      </c>
      <c r="G168" s="292"/>
      <c r="H168" s="4">
        <v>13000</v>
      </c>
      <c r="I168" s="96">
        <f t="shared" si="6"/>
        <v>8534.5</v>
      </c>
    </row>
    <row r="169" spans="1:9" ht="18.75" customHeight="1" x14ac:dyDescent="0.35">
      <c r="A169" s="4">
        <v>12</v>
      </c>
      <c r="B169" s="4" t="s">
        <v>308</v>
      </c>
      <c r="C169" s="25" t="s">
        <v>309</v>
      </c>
      <c r="D169" s="4">
        <v>2</v>
      </c>
      <c r="E169" s="4"/>
      <c r="F169" s="292">
        <v>32</v>
      </c>
      <c r="G169" s="292"/>
      <c r="H169" s="4">
        <v>15500</v>
      </c>
      <c r="I169" s="96">
        <f t="shared" si="6"/>
        <v>10175.75</v>
      </c>
    </row>
    <row r="170" spans="1:9" ht="18.75" customHeight="1" x14ac:dyDescent="0.35">
      <c r="A170" s="4">
        <v>13</v>
      </c>
      <c r="B170" s="4" t="s">
        <v>310</v>
      </c>
      <c r="C170" s="25" t="s">
        <v>311</v>
      </c>
      <c r="D170" s="4">
        <v>3</v>
      </c>
      <c r="E170" s="4"/>
      <c r="F170" s="292">
        <v>32</v>
      </c>
      <c r="G170" s="292"/>
      <c r="H170" s="4">
        <v>19000</v>
      </c>
      <c r="I170" s="96">
        <f t="shared" si="6"/>
        <v>12473.5</v>
      </c>
    </row>
    <row r="171" spans="1:9" ht="18.75" customHeight="1" x14ac:dyDescent="0.35">
      <c r="A171" s="4">
        <v>14</v>
      </c>
      <c r="B171" s="4" t="s">
        <v>312</v>
      </c>
      <c r="C171" s="25" t="s">
        <v>313</v>
      </c>
      <c r="D171" s="4">
        <v>3</v>
      </c>
      <c r="E171" s="4"/>
      <c r="F171" s="292">
        <v>32</v>
      </c>
      <c r="G171" s="292"/>
      <c r="H171" s="4">
        <v>20000</v>
      </c>
      <c r="I171" s="96">
        <f t="shared" si="6"/>
        <v>13130</v>
      </c>
    </row>
    <row r="172" spans="1:9" ht="18.75" customHeight="1" x14ac:dyDescent="0.35">
      <c r="A172" s="4">
        <v>15</v>
      </c>
      <c r="B172" s="4" t="s">
        <v>314</v>
      </c>
      <c r="C172" s="25" t="s">
        <v>315</v>
      </c>
      <c r="D172" s="4">
        <v>3</v>
      </c>
      <c r="E172" s="4"/>
      <c r="F172" s="292">
        <v>32</v>
      </c>
      <c r="G172" s="292"/>
      <c r="H172" s="4">
        <v>20500</v>
      </c>
      <c r="I172" s="96">
        <f t="shared" si="6"/>
        <v>13458.25</v>
      </c>
    </row>
  </sheetData>
  <mergeCells count="95">
    <mergeCell ref="A1:I3"/>
    <mergeCell ref="A4:I4"/>
    <mergeCell ref="A5:A6"/>
    <mergeCell ref="B5:B6"/>
    <mergeCell ref="C5:C6"/>
    <mergeCell ref="D5:E5"/>
    <mergeCell ref="F5:G5"/>
    <mergeCell ref="H5:H6"/>
    <mergeCell ref="I5:I6"/>
    <mergeCell ref="A55:G55"/>
    <mergeCell ref="H55:H57"/>
    <mergeCell ref="I55:I57"/>
    <mergeCell ref="A56:A57"/>
    <mergeCell ref="B56:B57"/>
    <mergeCell ref="C56:C57"/>
    <mergeCell ref="D56:E56"/>
    <mergeCell ref="F56:G56"/>
    <mergeCell ref="D58:D59"/>
    <mergeCell ref="E58:E59"/>
    <mergeCell ref="D61:D66"/>
    <mergeCell ref="E61:E66"/>
    <mergeCell ref="D67:D73"/>
    <mergeCell ref="E67:E73"/>
    <mergeCell ref="D74:D91"/>
    <mergeCell ref="E74:E91"/>
    <mergeCell ref="D92:D103"/>
    <mergeCell ref="E92:E103"/>
    <mergeCell ref="D104:D106"/>
    <mergeCell ref="E104:E106"/>
    <mergeCell ref="D108:D109"/>
    <mergeCell ref="E108:E109"/>
    <mergeCell ref="D110:D113"/>
    <mergeCell ref="E110:E113"/>
    <mergeCell ref="A114:G114"/>
    <mergeCell ref="I114:I116"/>
    <mergeCell ref="A115:A116"/>
    <mergeCell ref="B115:B116"/>
    <mergeCell ref="C115:C116"/>
    <mergeCell ref="D115:E115"/>
    <mergeCell ref="F115:G115"/>
    <mergeCell ref="H114:H116"/>
    <mergeCell ref="F137:G137"/>
    <mergeCell ref="A129:G129"/>
    <mergeCell ref="H129:H131"/>
    <mergeCell ref="I129:I131"/>
    <mergeCell ref="A130:A131"/>
    <mergeCell ref="B130:B131"/>
    <mergeCell ref="C130:C131"/>
    <mergeCell ref="D130:E130"/>
    <mergeCell ref="F130:G131"/>
    <mergeCell ref="F132:G132"/>
    <mergeCell ref="F133:G133"/>
    <mergeCell ref="F134:G134"/>
    <mergeCell ref="F135:G135"/>
    <mergeCell ref="F136:G136"/>
    <mergeCell ref="F149:G149"/>
    <mergeCell ref="F138:G138"/>
    <mergeCell ref="F139:G139"/>
    <mergeCell ref="F140:G140"/>
    <mergeCell ref="F141:G141"/>
    <mergeCell ref="F142:G142"/>
    <mergeCell ref="F143:G143"/>
    <mergeCell ref="F144:G144"/>
    <mergeCell ref="F145:G145"/>
    <mergeCell ref="F146:G146"/>
    <mergeCell ref="F147:G147"/>
    <mergeCell ref="F148:G148"/>
    <mergeCell ref="F150:G150"/>
    <mergeCell ref="F151:G151"/>
    <mergeCell ref="F152:G152"/>
    <mergeCell ref="F153:G153"/>
    <mergeCell ref="F154:G154"/>
    <mergeCell ref="F163:G163"/>
    <mergeCell ref="H155:H157"/>
    <mergeCell ref="I155:I157"/>
    <mergeCell ref="A156:A157"/>
    <mergeCell ref="B156:B157"/>
    <mergeCell ref="C156:C157"/>
    <mergeCell ref="D156:E156"/>
    <mergeCell ref="F156:G156"/>
    <mergeCell ref="A155:G155"/>
    <mergeCell ref="F158:G158"/>
    <mergeCell ref="F159:G159"/>
    <mergeCell ref="F160:G160"/>
    <mergeCell ref="F161:G161"/>
    <mergeCell ref="F162:G162"/>
    <mergeCell ref="F170:G170"/>
    <mergeCell ref="F171:G171"/>
    <mergeCell ref="F172:G172"/>
    <mergeCell ref="F164:G164"/>
    <mergeCell ref="F165:G165"/>
    <mergeCell ref="F166:G166"/>
    <mergeCell ref="F167:G167"/>
    <mergeCell ref="F168:G168"/>
    <mergeCell ref="F169:G169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9" tint="-0.249977111117893"/>
  </sheetPr>
  <dimension ref="A1:I172"/>
  <sheetViews>
    <sheetView workbookViewId="0">
      <selection activeCell="L8" sqref="L8"/>
    </sheetView>
  </sheetViews>
  <sheetFormatPr defaultRowHeight="20.25" customHeight="1" x14ac:dyDescent="0.35"/>
  <cols>
    <col min="2" max="2" width="13.1796875" customWidth="1"/>
    <col min="3" max="3" width="20.1796875" customWidth="1"/>
    <col min="4" max="8" width="9.1796875" customWidth="1"/>
  </cols>
  <sheetData>
    <row r="1" spans="1:9" ht="20.25" customHeight="1" x14ac:dyDescent="0.35">
      <c r="A1" s="318" t="s">
        <v>0</v>
      </c>
      <c r="B1" s="318"/>
      <c r="C1" s="318"/>
      <c r="D1" s="318"/>
      <c r="E1" s="318"/>
      <c r="F1" s="318"/>
      <c r="G1" s="318"/>
      <c r="H1" s="318"/>
      <c r="I1" s="318"/>
    </row>
    <row r="2" spans="1:9" ht="20.25" customHeight="1" x14ac:dyDescent="0.35">
      <c r="A2" s="318"/>
      <c r="B2" s="318"/>
      <c r="C2" s="318"/>
      <c r="D2" s="318"/>
      <c r="E2" s="318"/>
      <c r="F2" s="318"/>
      <c r="G2" s="318"/>
      <c r="H2" s="318"/>
      <c r="I2" s="318"/>
    </row>
    <row r="3" spans="1:9" ht="20.25" customHeight="1" x14ac:dyDescent="0.35">
      <c r="A3" s="318"/>
      <c r="B3" s="318"/>
      <c r="C3" s="318"/>
      <c r="D3" s="318"/>
      <c r="E3" s="318"/>
      <c r="F3" s="318"/>
      <c r="G3" s="318"/>
      <c r="H3" s="318"/>
      <c r="I3" s="318"/>
    </row>
    <row r="4" spans="1:9" ht="24.75" customHeight="1" x14ac:dyDescent="0.35">
      <c r="A4" s="319" t="s">
        <v>537</v>
      </c>
      <c r="B4" s="319"/>
      <c r="C4" s="319"/>
      <c r="D4" s="319"/>
      <c r="E4" s="319"/>
      <c r="F4" s="319"/>
      <c r="G4" s="319"/>
      <c r="H4" s="319"/>
      <c r="I4" s="319"/>
    </row>
    <row r="5" spans="1:9" ht="20.25" customHeight="1" x14ac:dyDescent="0.35">
      <c r="A5" s="287" t="s">
        <v>2</v>
      </c>
      <c r="B5" s="287" t="s">
        <v>3</v>
      </c>
      <c r="C5" s="287" t="s">
        <v>4</v>
      </c>
      <c r="D5" s="287" t="s">
        <v>5</v>
      </c>
      <c r="E5" s="287"/>
      <c r="F5" s="287" t="s">
        <v>6</v>
      </c>
      <c r="G5" s="287"/>
      <c r="H5" s="305" t="s">
        <v>7</v>
      </c>
      <c r="I5" s="287" t="s">
        <v>504</v>
      </c>
    </row>
    <row r="6" spans="1:9" ht="20.25" customHeight="1" x14ac:dyDescent="0.35">
      <c r="A6" s="287"/>
      <c r="B6" s="287"/>
      <c r="C6" s="287"/>
      <c r="D6" s="11" t="s">
        <v>9</v>
      </c>
      <c r="E6" s="11" t="s">
        <v>10</v>
      </c>
      <c r="F6" s="11" t="s">
        <v>11</v>
      </c>
      <c r="G6" s="11" t="s">
        <v>12</v>
      </c>
      <c r="H6" s="305"/>
      <c r="I6" s="287"/>
    </row>
    <row r="7" spans="1:9" ht="20.25" customHeight="1" x14ac:dyDescent="0.35">
      <c r="A7" s="6">
        <v>1</v>
      </c>
      <c r="B7" s="4" t="s">
        <v>13</v>
      </c>
      <c r="C7" s="12" t="s">
        <v>14</v>
      </c>
      <c r="D7" s="2">
        <v>0.5</v>
      </c>
      <c r="E7" s="2">
        <v>0.37</v>
      </c>
      <c r="F7" s="2">
        <v>25</v>
      </c>
      <c r="G7" s="2">
        <v>25</v>
      </c>
      <c r="H7" s="13">
        <v>2640</v>
      </c>
      <c r="I7" s="26">
        <f>H7*0.63</f>
        <v>1663.2</v>
      </c>
    </row>
    <row r="8" spans="1:9" ht="20.25" customHeight="1" x14ac:dyDescent="0.35">
      <c r="A8" s="6">
        <v>2</v>
      </c>
      <c r="B8" s="4" t="s">
        <v>15</v>
      </c>
      <c r="C8" s="12" t="s">
        <v>16</v>
      </c>
      <c r="D8" s="2">
        <v>1</v>
      </c>
      <c r="E8" s="2">
        <v>0.75</v>
      </c>
      <c r="F8" s="2">
        <v>25</v>
      </c>
      <c r="G8" s="2">
        <v>25</v>
      </c>
      <c r="H8" s="13">
        <v>3420</v>
      </c>
      <c r="I8" s="26">
        <f t="shared" ref="I8:I10" si="0">H8*0.63</f>
        <v>2154.6</v>
      </c>
    </row>
    <row r="9" spans="1:9" ht="20.25" customHeight="1" x14ac:dyDescent="0.35">
      <c r="A9" s="4">
        <v>3</v>
      </c>
      <c r="B9" s="4" t="s">
        <v>17</v>
      </c>
      <c r="C9" s="12" t="s">
        <v>18</v>
      </c>
      <c r="D9" s="2">
        <v>0.5</v>
      </c>
      <c r="E9" s="2">
        <v>0.37</v>
      </c>
      <c r="F9" s="2">
        <v>25</v>
      </c>
      <c r="G9" s="2">
        <v>25</v>
      </c>
      <c r="H9" s="13">
        <v>2840</v>
      </c>
      <c r="I9" s="26">
        <f t="shared" si="0"/>
        <v>1789.2</v>
      </c>
    </row>
    <row r="10" spans="1:9" ht="20.25" customHeight="1" x14ac:dyDescent="0.35">
      <c r="A10" s="6">
        <v>4</v>
      </c>
      <c r="B10" s="4" t="s">
        <v>19</v>
      </c>
      <c r="C10" s="12" t="s">
        <v>20</v>
      </c>
      <c r="D10" s="2">
        <v>1</v>
      </c>
      <c r="E10" s="2">
        <v>0.75</v>
      </c>
      <c r="F10" s="2">
        <v>25</v>
      </c>
      <c r="G10" s="2">
        <v>25</v>
      </c>
      <c r="H10" s="13">
        <v>3660</v>
      </c>
      <c r="I10" s="26">
        <f t="shared" si="0"/>
        <v>2305.8000000000002</v>
      </c>
    </row>
    <row r="11" spans="1:9" ht="20.25" customHeight="1" x14ac:dyDescent="0.35">
      <c r="A11" s="6">
        <v>5</v>
      </c>
      <c r="B11" s="6" t="s">
        <v>21</v>
      </c>
      <c r="C11" s="14" t="s">
        <v>22</v>
      </c>
      <c r="D11" s="2">
        <v>0.5</v>
      </c>
      <c r="E11" s="2">
        <v>0.37</v>
      </c>
      <c r="F11" s="2">
        <v>25</v>
      </c>
      <c r="G11" s="2">
        <v>25</v>
      </c>
      <c r="H11" s="8">
        <v>3160</v>
      </c>
      <c r="I11" s="26">
        <f>H11*0.615</f>
        <v>1943.3999999999999</v>
      </c>
    </row>
    <row r="12" spans="1:9" ht="20.25" customHeight="1" x14ac:dyDescent="0.35">
      <c r="A12" s="6">
        <v>6</v>
      </c>
      <c r="B12" s="6" t="s">
        <v>23</v>
      </c>
      <c r="C12" s="14" t="s">
        <v>24</v>
      </c>
      <c r="D12" s="2">
        <v>1</v>
      </c>
      <c r="E12" s="2">
        <v>0.75</v>
      </c>
      <c r="F12" s="2">
        <v>25</v>
      </c>
      <c r="G12" s="2">
        <v>25</v>
      </c>
      <c r="H12" s="8">
        <v>4120</v>
      </c>
      <c r="I12" s="26">
        <f t="shared" ref="I12:I54" si="1">H12*0.615</f>
        <v>2533.8000000000002</v>
      </c>
    </row>
    <row r="13" spans="1:9" ht="20.25" customHeight="1" x14ac:dyDescent="0.35">
      <c r="A13" s="4">
        <v>7</v>
      </c>
      <c r="B13" s="4" t="s">
        <v>25</v>
      </c>
      <c r="C13" s="12" t="s">
        <v>26</v>
      </c>
      <c r="D13" s="2">
        <v>1.5</v>
      </c>
      <c r="E13" s="2">
        <v>1</v>
      </c>
      <c r="F13" s="2">
        <v>25</v>
      </c>
      <c r="G13" s="2">
        <v>25</v>
      </c>
      <c r="H13" s="8">
        <v>5750</v>
      </c>
      <c r="I13" s="26">
        <f t="shared" si="1"/>
        <v>3536.25</v>
      </c>
    </row>
    <row r="14" spans="1:9" ht="20.25" customHeight="1" x14ac:dyDescent="0.35">
      <c r="A14" s="6">
        <v>8</v>
      </c>
      <c r="B14" s="6" t="s">
        <v>27</v>
      </c>
      <c r="C14" s="14" t="s">
        <v>28</v>
      </c>
      <c r="D14" s="2">
        <v>0.5</v>
      </c>
      <c r="E14" s="2">
        <v>0.37</v>
      </c>
      <c r="F14" s="2">
        <v>25</v>
      </c>
      <c r="G14" s="2">
        <v>25</v>
      </c>
      <c r="H14" s="8">
        <v>3520</v>
      </c>
      <c r="I14" s="26">
        <f t="shared" si="1"/>
        <v>2164.8000000000002</v>
      </c>
    </row>
    <row r="15" spans="1:9" ht="20.25" customHeight="1" x14ac:dyDescent="0.35">
      <c r="A15" s="6">
        <v>9</v>
      </c>
      <c r="B15" s="4" t="s">
        <v>29</v>
      </c>
      <c r="C15" s="15" t="s">
        <v>30</v>
      </c>
      <c r="D15" s="2">
        <v>1</v>
      </c>
      <c r="E15" s="2">
        <v>0.75</v>
      </c>
      <c r="F15" s="2">
        <v>25</v>
      </c>
      <c r="G15" s="2">
        <v>25</v>
      </c>
      <c r="H15" s="8">
        <v>3660</v>
      </c>
      <c r="I15" s="26">
        <f t="shared" si="1"/>
        <v>2250.9</v>
      </c>
    </row>
    <row r="16" spans="1:9" ht="20.25" customHeight="1" x14ac:dyDescent="0.35">
      <c r="A16" s="6">
        <v>10</v>
      </c>
      <c r="B16" s="4" t="s">
        <v>31</v>
      </c>
      <c r="C16" s="12" t="s">
        <v>32</v>
      </c>
      <c r="D16" s="2">
        <v>1</v>
      </c>
      <c r="E16" s="2">
        <v>0.75</v>
      </c>
      <c r="F16" s="2">
        <v>25</v>
      </c>
      <c r="G16" s="2">
        <v>25</v>
      </c>
      <c r="H16" s="8">
        <v>4220</v>
      </c>
      <c r="I16" s="26">
        <f t="shared" si="1"/>
        <v>2595.3000000000002</v>
      </c>
    </row>
    <row r="17" spans="1:9" ht="20.25" customHeight="1" x14ac:dyDescent="0.35">
      <c r="A17" s="4">
        <v>11</v>
      </c>
      <c r="B17" s="6" t="s">
        <v>33</v>
      </c>
      <c r="C17" s="14" t="s">
        <v>34</v>
      </c>
      <c r="D17" s="2">
        <v>0.75</v>
      </c>
      <c r="E17" s="2">
        <v>0.56000000000000005</v>
      </c>
      <c r="F17" s="2">
        <v>25</v>
      </c>
      <c r="G17" s="2">
        <v>25</v>
      </c>
      <c r="H17" s="8">
        <v>4080</v>
      </c>
      <c r="I17" s="26">
        <f t="shared" si="1"/>
        <v>2509.1999999999998</v>
      </c>
    </row>
    <row r="18" spans="1:9" ht="20.25" customHeight="1" x14ac:dyDescent="0.35">
      <c r="A18" s="6">
        <v>12</v>
      </c>
      <c r="B18" s="4" t="s">
        <v>35</v>
      </c>
      <c r="C18" s="16" t="s">
        <v>36</v>
      </c>
      <c r="D18" s="2">
        <v>1</v>
      </c>
      <c r="E18" s="2">
        <v>0.75</v>
      </c>
      <c r="F18" s="2">
        <v>25</v>
      </c>
      <c r="G18" s="2">
        <v>25</v>
      </c>
      <c r="H18" s="8">
        <v>4730</v>
      </c>
      <c r="I18" s="26">
        <f t="shared" si="1"/>
        <v>2908.95</v>
      </c>
    </row>
    <row r="19" spans="1:9" ht="20.25" customHeight="1" x14ac:dyDescent="0.35">
      <c r="A19" s="6">
        <v>13</v>
      </c>
      <c r="B19" s="4" t="s">
        <v>37</v>
      </c>
      <c r="C19" s="16" t="s">
        <v>38</v>
      </c>
      <c r="D19" s="2">
        <v>1</v>
      </c>
      <c r="E19" s="2">
        <v>0.75</v>
      </c>
      <c r="F19" s="2">
        <v>25</v>
      </c>
      <c r="G19" s="2">
        <v>25</v>
      </c>
      <c r="H19" s="8">
        <v>4730</v>
      </c>
      <c r="I19" s="26">
        <f t="shared" si="1"/>
        <v>2908.95</v>
      </c>
    </row>
    <row r="20" spans="1:9" ht="20.25" customHeight="1" x14ac:dyDescent="0.35">
      <c r="A20" s="6">
        <v>14</v>
      </c>
      <c r="B20" s="6" t="s">
        <v>39</v>
      </c>
      <c r="C20" s="14" t="s">
        <v>40</v>
      </c>
      <c r="D20" s="2">
        <v>1</v>
      </c>
      <c r="E20" s="2">
        <v>0.75</v>
      </c>
      <c r="F20" s="2">
        <v>25</v>
      </c>
      <c r="G20" s="2">
        <v>25</v>
      </c>
      <c r="H20" s="8">
        <v>5170</v>
      </c>
      <c r="I20" s="26">
        <f t="shared" si="1"/>
        <v>3179.5499999999997</v>
      </c>
    </row>
    <row r="21" spans="1:9" ht="20.25" customHeight="1" x14ac:dyDescent="0.35">
      <c r="A21" s="4">
        <v>15</v>
      </c>
      <c r="B21" s="6" t="s">
        <v>41</v>
      </c>
      <c r="C21" s="14" t="s">
        <v>42</v>
      </c>
      <c r="D21" s="2">
        <v>1</v>
      </c>
      <c r="E21" s="2">
        <v>0.75</v>
      </c>
      <c r="F21" s="2">
        <v>25</v>
      </c>
      <c r="G21" s="2">
        <v>25</v>
      </c>
      <c r="H21" s="8">
        <v>4670</v>
      </c>
      <c r="I21" s="26">
        <f t="shared" si="1"/>
        <v>2872.05</v>
      </c>
    </row>
    <row r="22" spans="1:9" ht="20.25" customHeight="1" x14ac:dyDescent="0.35">
      <c r="A22" s="6">
        <v>16</v>
      </c>
      <c r="B22" s="4" t="s">
        <v>43</v>
      </c>
      <c r="C22" s="12" t="s">
        <v>44</v>
      </c>
      <c r="D22" s="2">
        <v>1.2</v>
      </c>
      <c r="E22" s="2">
        <v>0.9</v>
      </c>
      <c r="F22" s="2">
        <v>25</v>
      </c>
      <c r="G22" s="2">
        <v>25</v>
      </c>
      <c r="H22" s="8">
        <v>6650</v>
      </c>
      <c r="I22" s="26">
        <f t="shared" si="1"/>
        <v>4089.75</v>
      </c>
    </row>
    <row r="23" spans="1:9" ht="20.25" customHeight="1" x14ac:dyDescent="0.35">
      <c r="A23" s="6">
        <v>17</v>
      </c>
      <c r="B23" s="6" t="s">
        <v>45</v>
      </c>
      <c r="C23" s="14" t="s">
        <v>46</v>
      </c>
      <c r="D23" s="2">
        <v>1.5</v>
      </c>
      <c r="E23" s="2">
        <v>1.1000000000000001</v>
      </c>
      <c r="F23" s="2">
        <v>25</v>
      </c>
      <c r="G23" s="2">
        <v>25</v>
      </c>
      <c r="H23" s="8">
        <v>8150</v>
      </c>
      <c r="I23" s="26">
        <f t="shared" si="1"/>
        <v>5012.25</v>
      </c>
    </row>
    <row r="24" spans="1:9" ht="20.25" customHeight="1" x14ac:dyDescent="0.35">
      <c r="A24" s="6">
        <v>18</v>
      </c>
      <c r="B24" s="6" t="s">
        <v>47</v>
      </c>
      <c r="C24" s="14" t="s">
        <v>48</v>
      </c>
      <c r="D24" s="2">
        <v>2</v>
      </c>
      <c r="E24" s="2">
        <v>1.5</v>
      </c>
      <c r="F24" s="2">
        <v>25</v>
      </c>
      <c r="G24" s="2">
        <v>25</v>
      </c>
      <c r="H24" s="8">
        <v>9190</v>
      </c>
      <c r="I24" s="26">
        <f t="shared" si="1"/>
        <v>5651.85</v>
      </c>
    </row>
    <row r="25" spans="1:9" ht="20.25" customHeight="1" x14ac:dyDescent="0.35">
      <c r="A25" s="4">
        <v>19</v>
      </c>
      <c r="B25" s="6" t="s">
        <v>49</v>
      </c>
      <c r="C25" s="14" t="s">
        <v>50</v>
      </c>
      <c r="D25" s="2">
        <v>0.5</v>
      </c>
      <c r="E25" s="2">
        <v>0.37</v>
      </c>
      <c r="F25" s="2">
        <v>25</v>
      </c>
      <c r="G25" s="2">
        <v>25</v>
      </c>
      <c r="H25" s="8">
        <v>3310</v>
      </c>
      <c r="I25" s="26">
        <f t="shared" si="1"/>
        <v>2035.6499999999999</v>
      </c>
    </row>
    <row r="26" spans="1:9" ht="20.25" customHeight="1" x14ac:dyDescent="0.35">
      <c r="A26" s="6">
        <v>20</v>
      </c>
      <c r="B26" s="4" t="s">
        <v>51</v>
      </c>
      <c r="C26" s="12" t="s">
        <v>52</v>
      </c>
      <c r="D26" s="2">
        <v>0.5</v>
      </c>
      <c r="E26" s="2">
        <v>0.37</v>
      </c>
      <c r="F26" s="2">
        <v>25</v>
      </c>
      <c r="G26" s="2">
        <v>25</v>
      </c>
      <c r="H26" s="10">
        <v>4380</v>
      </c>
      <c r="I26" s="26">
        <f t="shared" ref="I26:I27" si="2">H26*0.63</f>
        <v>2759.4</v>
      </c>
    </row>
    <row r="27" spans="1:9" ht="20.25" customHeight="1" x14ac:dyDescent="0.35">
      <c r="A27" s="6">
        <v>21</v>
      </c>
      <c r="B27" s="4" t="s">
        <v>53</v>
      </c>
      <c r="C27" s="12" t="s">
        <v>54</v>
      </c>
      <c r="D27" s="2">
        <v>1</v>
      </c>
      <c r="E27" s="2">
        <v>0.75</v>
      </c>
      <c r="F27" s="2">
        <v>25</v>
      </c>
      <c r="G27" s="2">
        <v>25</v>
      </c>
      <c r="H27" s="10">
        <v>5300</v>
      </c>
      <c r="I27" s="26">
        <f t="shared" si="2"/>
        <v>3339</v>
      </c>
    </row>
    <row r="28" spans="1:9" ht="20.25" customHeight="1" x14ac:dyDescent="0.35">
      <c r="A28" s="6">
        <v>22</v>
      </c>
      <c r="B28" s="6" t="s">
        <v>55</v>
      </c>
      <c r="C28" s="14" t="s">
        <v>56</v>
      </c>
      <c r="D28" s="2">
        <v>1.1000000000000001</v>
      </c>
      <c r="E28" s="2">
        <v>0.8</v>
      </c>
      <c r="F28" s="2">
        <v>25</v>
      </c>
      <c r="G28" s="2">
        <v>25</v>
      </c>
      <c r="H28" s="8">
        <v>5040</v>
      </c>
      <c r="I28" s="26">
        <f t="shared" si="1"/>
        <v>3099.6</v>
      </c>
    </row>
    <row r="29" spans="1:9" ht="20.25" customHeight="1" x14ac:dyDescent="0.35">
      <c r="A29" s="4">
        <v>23</v>
      </c>
      <c r="B29" s="6" t="s">
        <v>57</v>
      </c>
      <c r="C29" s="14" t="s">
        <v>58</v>
      </c>
      <c r="D29" s="2">
        <v>1.1000000000000001</v>
      </c>
      <c r="E29" s="2">
        <v>0.8</v>
      </c>
      <c r="F29" s="2">
        <v>25</v>
      </c>
      <c r="G29" s="2">
        <v>25</v>
      </c>
      <c r="H29" s="8">
        <v>5150</v>
      </c>
      <c r="I29" s="26">
        <f t="shared" si="1"/>
        <v>3167.25</v>
      </c>
    </row>
    <row r="30" spans="1:9" ht="20.25" customHeight="1" x14ac:dyDescent="0.35">
      <c r="A30" s="6">
        <v>24</v>
      </c>
      <c r="B30" s="4" t="s">
        <v>59</v>
      </c>
      <c r="C30" s="16" t="s">
        <v>60</v>
      </c>
      <c r="D30" s="2">
        <v>1.25</v>
      </c>
      <c r="E30" s="2">
        <v>0.94</v>
      </c>
      <c r="F30" s="2">
        <v>25</v>
      </c>
      <c r="G30" s="2">
        <v>25</v>
      </c>
      <c r="H30" s="8">
        <v>6630</v>
      </c>
      <c r="I30" s="26">
        <f t="shared" si="1"/>
        <v>4077.45</v>
      </c>
    </row>
    <row r="31" spans="1:9" ht="20.25" customHeight="1" x14ac:dyDescent="0.35">
      <c r="A31" s="6">
        <v>25</v>
      </c>
      <c r="B31" s="6" t="s">
        <v>61</v>
      </c>
      <c r="C31" s="14" t="s">
        <v>62</v>
      </c>
      <c r="D31" s="17">
        <v>0.5</v>
      </c>
      <c r="E31" s="17">
        <v>0.37</v>
      </c>
      <c r="F31" s="17">
        <v>25</v>
      </c>
      <c r="G31" s="17">
        <v>25</v>
      </c>
      <c r="H31" s="9">
        <v>4950</v>
      </c>
      <c r="I31" s="26">
        <f t="shared" ref="I31:I32" si="3">H31*0.63</f>
        <v>3118.5</v>
      </c>
    </row>
    <row r="32" spans="1:9" ht="20.25" customHeight="1" x14ac:dyDescent="0.35">
      <c r="A32" s="6">
        <v>26</v>
      </c>
      <c r="B32" s="6" t="s">
        <v>63</v>
      </c>
      <c r="C32" s="14" t="s">
        <v>64</v>
      </c>
      <c r="D32" s="17">
        <v>0.5</v>
      </c>
      <c r="E32" s="17">
        <v>0.37</v>
      </c>
      <c r="F32" s="17">
        <v>25</v>
      </c>
      <c r="G32" s="17">
        <v>25</v>
      </c>
      <c r="H32" s="9">
        <v>5000</v>
      </c>
      <c r="I32" s="26">
        <f t="shared" si="3"/>
        <v>3150</v>
      </c>
    </row>
    <row r="33" spans="1:9" ht="20.25" customHeight="1" x14ac:dyDescent="0.35">
      <c r="A33" s="4">
        <v>27</v>
      </c>
      <c r="B33" s="6" t="s">
        <v>65</v>
      </c>
      <c r="C33" s="14" t="s">
        <v>66</v>
      </c>
      <c r="D33" s="2">
        <v>1</v>
      </c>
      <c r="E33" s="2">
        <v>0.75</v>
      </c>
      <c r="F33" s="2">
        <v>25</v>
      </c>
      <c r="G33" s="2">
        <v>25</v>
      </c>
      <c r="H33" s="8">
        <v>5560</v>
      </c>
      <c r="I33" s="26">
        <f t="shared" si="1"/>
        <v>3419.4</v>
      </c>
    </row>
    <row r="34" spans="1:9" ht="20.25" customHeight="1" x14ac:dyDescent="0.35">
      <c r="A34" s="6">
        <v>28</v>
      </c>
      <c r="B34" s="6" t="s">
        <v>67</v>
      </c>
      <c r="C34" s="14" t="s">
        <v>68</v>
      </c>
      <c r="D34" s="2">
        <v>1</v>
      </c>
      <c r="E34" s="2">
        <v>0.75</v>
      </c>
      <c r="F34" s="2">
        <v>25</v>
      </c>
      <c r="G34" s="2">
        <v>25</v>
      </c>
      <c r="H34" s="8">
        <v>5650</v>
      </c>
      <c r="I34" s="26">
        <f t="shared" si="1"/>
        <v>3474.75</v>
      </c>
    </row>
    <row r="35" spans="1:9" ht="20.25" customHeight="1" x14ac:dyDescent="0.35">
      <c r="A35" s="6">
        <v>29</v>
      </c>
      <c r="B35" s="6" t="s">
        <v>69</v>
      </c>
      <c r="C35" s="14" t="s">
        <v>70</v>
      </c>
      <c r="D35" s="2">
        <v>1.5</v>
      </c>
      <c r="E35" s="2">
        <v>1.1000000000000001</v>
      </c>
      <c r="F35" s="2">
        <v>25</v>
      </c>
      <c r="G35" s="2">
        <v>25</v>
      </c>
      <c r="H35" s="8">
        <v>7840</v>
      </c>
      <c r="I35" s="26">
        <f t="shared" si="1"/>
        <v>4821.6000000000004</v>
      </c>
    </row>
    <row r="36" spans="1:9" ht="20.25" customHeight="1" x14ac:dyDescent="0.35">
      <c r="A36" s="6">
        <v>30</v>
      </c>
      <c r="B36" s="6" t="s">
        <v>71</v>
      </c>
      <c r="C36" s="14" t="s">
        <v>72</v>
      </c>
      <c r="D36" s="2">
        <v>1.5</v>
      </c>
      <c r="E36" s="2">
        <v>1.1000000000000001</v>
      </c>
      <c r="F36" s="2">
        <v>25</v>
      </c>
      <c r="G36" s="2">
        <v>25</v>
      </c>
      <c r="H36" s="8">
        <v>8170</v>
      </c>
      <c r="I36" s="26">
        <f t="shared" si="1"/>
        <v>5024.55</v>
      </c>
    </row>
    <row r="37" spans="1:9" ht="20.25" customHeight="1" x14ac:dyDescent="0.35">
      <c r="A37" s="4">
        <v>31</v>
      </c>
      <c r="B37" s="4" t="s">
        <v>73</v>
      </c>
      <c r="C37" s="12" t="s">
        <v>74</v>
      </c>
      <c r="D37" s="2">
        <v>0.5</v>
      </c>
      <c r="E37" s="2">
        <v>0.37</v>
      </c>
      <c r="F37" s="2">
        <v>25</v>
      </c>
      <c r="G37" s="2">
        <v>25</v>
      </c>
      <c r="H37" s="8">
        <v>6450</v>
      </c>
      <c r="I37" s="26">
        <f t="shared" si="1"/>
        <v>3966.75</v>
      </c>
    </row>
    <row r="38" spans="1:9" ht="20.25" customHeight="1" x14ac:dyDescent="0.35">
      <c r="A38" s="6">
        <v>32</v>
      </c>
      <c r="B38" s="6" t="s">
        <v>75</v>
      </c>
      <c r="C38" s="14" t="s">
        <v>76</v>
      </c>
      <c r="D38" s="3">
        <v>0.9</v>
      </c>
      <c r="E38" s="3">
        <v>0.7</v>
      </c>
      <c r="F38" s="3">
        <v>25</v>
      </c>
      <c r="G38" s="3">
        <v>25</v>
      </c>
      <c r="H38" s="8">
        <v>6640</v>
      </c>
      <c r="I38" s="26">
        <f t="shared" si="1"/>
        <v>4083.6</v>
      </c>
    </row>
    <row r="39" spans="1:9" ht="20.25" customHeight="1" x14ac:dyDescent="0.35">
      <c r="A39" s="6">
        <v>33</v>
      </c>
      <c r="B39" s="6" t="s">
        <v>77</v>
      </c>
      <c r="C39" s="14" t="s">
        <v>78</v>
      </c>
      <c r="D39" s="3">
        <v>1</v>
      </c>
      <c r="E39" s="3">
        <v>0.75</v>
      </c>
      <c r="F39" s="3">
        <v>25</v>
      </c>
      <c r="G39" s="3">
        <v>25</v>
      </c>
      <c r="H39" s="8">
        <v>7100</v>
      </c>
      <c r="I39" s="26">
        <f t="shared" si="1"/>
        <v>4366.5</v>
      </c>
    </row>
    <row r="40" spans="1:9" ht="20.25" customHeight="1" x14ac:dyDescent="0.35">
      <c r="A40" s="6">
        <v>34</v>
      </c>
      <c r="B40" s="4" t="s">
        <v>79</v>
      </c>
      <c r="C40" s="15" t="s">
        <v>80</v>
      </c>
      <c r="D40" s="3">
        <v>0.5</v>
      </c>
      <c r="E40" s="3">
        <v>0.37</v>
      </c>
      <c r="F40" s="3">
        <v>25</v>
      </c>
      <c r="G40" s="3">
        <v>25</v>
      </c>
      <c r="H40" s="8">
        <v>5500</v>
      </c>
      <c r="I40" s="26">
        <f t="shared" si="1"/>
        <v>3382.5</v>
      </c>
    </row>
    <row r="41" spans="1:9" ht="20.25" customHeight="1" x14ac:dyDescent="0.35">
      <c r="A41" s="4">
        <v>35</v>
      </c>
      <c r="B41" s="4"/>
      <c r="C41" s="15" t="s">
        <v>81</v>
      </c>
      <c r="D41" s="3">
        <v>1</v>
      </c>
      <c r="E41" s="3">
        <v>0.75</v>
      </c>
      <c r="F41" s="3">
        <v>25</v>
      </c>
      <c r="G41" s="3">
        <v>25</v>
      </c>
      <c r="H41" s="8">
        <v>6200</v>
      </c>
      <c r="I41" s="26">
        <f t="shared" si="1"/>
        <v>3813</v>
      </c>
    </row>
    <row r="42" spans="1:9" ht="20.25" customHeight="1" x14ac:dyDescent="0.35">
      <c r="A42" s="6">
        <v>36</v>
      </c>
      <c r="B42" s="4" t="s">
        <v>82</v>
      </c>
      <c r="C42" s="12" t="s">
        <v>83</v>
      </c>
      <c r="D42" s="1">
        <v>0.5</v>
      </c>
      <c r="E42" s="1">
        <v>0.37</v>
      </c>
      <c r="F42" s="1">
        <v>25</v>
      </c>
      <c r="G42" s="1">
        <v>25</v>
      </c>
      <c r="H42" s="8">
        <v>7140</v>
      </c>
      <c r="I42" s="26">
        <f t="shared" si="1"/>
        <v>4391.1000000000004</v>
      </c>
    </row>
    <row r="43" spans="1:9" ht="20.25" customHeight="1" x14ac:dyDescent="0.35">
      <c r="A43" s="6">
        <v>37</v>
      </c>
      <c r="B43" s="6" t="s">
        <v>84</v>
      </c>
      <c r="C43" s="14" t="s">
        <v>85</v>
      </c>
      <c r="D43" s="1">
        <v>1.1000000000000001</v>
      </c>
      <c r="E43" s="1">
        <v>0.8</v>
      </c>
      <c r="F43" s="1">
        <v>25</v>
      </c>
      <c r="G43" s="1">
        <v>25</v>
      </c>
      <c r="H43" s="8">
        <v>7700</v>
      </c>
      <c r="I43" s="26">
        <f t="shared" si="1"/>
        <v>4735.5</v>
      </c>
    </row>
    <row r="44" spans="1:9" ht="20.25" customHeight="1" x14ac:dyDescent="0.35">
      <c r="A44" s="6">
        <v>38</v>
      </c>
      <c r="B44" s="6" t="s">
        <v>86</v>
      </c>
      <c r="C44" s="14" t="s">
        <v>87</v>
      </c>
      <c r="D44" s="1">
        <v>1.5</v>
      </c>
      <c r="E44" s="1">
        <v>1.1000000000000001</v>
      </c>
      <c r="F44" s="1">
        <v>25</v>
      </c>
      <c r="G44" s="1">
        <v>25</v>
      </c>
      <c r="H44" s="8">
        <v>8690</v>
      </c>
      <c r="I44" s="26">
        <f t="shared" si="1"/>
        <v>5344.35</v>
      </c>
    </row>
    <row r="45" spans="1:9" ht="20.25" customHeight="1" x14ac:dyDescent="0.35">
      <c r="A45" s="4">
        <v>39</v>
      </c>
      <c r="B45" s="4" t="s">
        <v>88</v>
      </c>
      <c r="C45" s="12" t="s">
        <v>89</v>
      </c>
      <c r="D45" s="2">
        <v>0.5</v>
      </c>
      <c r="E45" s="2">
        <v>0.37</v>
      </c>
      <c r="F45" s="2">
        <v>25</v>
      </c>
      <c r="G45" s="2">
        <v>12</v>
      </c>
      <c r="H45" s="8">
        <v>4860</v>
      </c>
      <c r="I45" s="26">
        <f t="shared" si="1"/>
        <v>2988.9</v>
      </c>
    </row>
    <row r="46" spans="1:9" ht="20.25" customHeight="1" x14ac:dyDescent="0.35">
      <c r="A46" s="6">
        <v>40</v>
      </c>
      <c r="B46" s="4" t="s">
        <v>90</v>
      </c>
      <c r="C46" s="12" t="s">
        <v>91</v>
      </c>
      <c r="D46" s="2">
        <v>1</v>
      </c>
      <c r="E46" s="2">
        <v>0.75</v>
      </c>
      <c r="F46" s="2">
        <v>25</v>
      </c>
      <c r="G46" s="2">
        <v>25</v>
      </c>
      <c r="H46" s="8">
        <v>5600</v>
      </c>
      <c r="I46" s="26">
        <f t="shared" si="1"/>
        <v>3444</v>
      </c>
    </row>
    <row r="47" spans="1:9" ht="20.25" customHeight="1" x14ac:dyDescent="0.35">
      <c r="A47" s="6">
        <v>41</v>
      </c>
      <c r="B47" s="6" t="s">
        <v>92</v>
      </c>
      <c r="C47" s="14" t="s">
        <v>93</v>
      </c>
      <c r="D47" s="17">
        <v>1</v>
      </c>
      <c r="E47" s="17">
        <v>0.75</v>
      </c>
      <c r="F47" s="17">
        <v>25</v>
      </c>
      <c r="G47" s="17">
        <v>25</v>
      </c>
      <c r="H47" s="9">
        <v>8420</v>
      </c>
      <c r="I47" s="26">
        <f t="shared" ref="I47" si="4">H47*0.63</f>
        <v>5304.6</v>
      </c>
    </row>
    <row r="48" spans="1:9" ht="20.25" customHeight="1" x14ac:dyDescent="0.35">
      <c r="A48" s="6">
        <v>42</v>
      </c>
      <c r="B48" s="6" t="s">
        <v>94</v>
      </c>
      <c r="C48" s="14" t="s">
        <v>95</v>
      </c>
      <c r="D48" s="2">
        <v>1.1000000000000001</v>
      </c>
      <c r="E48" s="2">
        <v>0.8</v>
      </c>
      <c r="F48" s="2">
        <v>25</v>
      </c>
      <c r="G48" s="2">
        <v>25</v>
      </c>
      <c r="H48" s="8">
        <v>12020</v>
      </c>
      <c r="I48" s="26">
        <f t="shared" si="1"/>
        <v>7392.3</v>
      </c>
    </row>
    <row r="49" spans="1:9" ht="20.25" customHeight="1" x14ac:dyDescent="0.35">
      <c r="A49" s="4">
        <v>43</v>
      </c>
      <c r="B49" s="4" t="s">
        <v>96</v>
      </c>
      <c r="C49" s="12" t="s">
        <v>97</v>
      </c>
      <c r="D49" s="2">
        <v>0.5</v>
      </c>
      <c r="E49" s="2">
        <v>0.37</v>
      </c>
      <c r="F49" s="2">
        <v>25</v>
      </c>
      <c r="G49" s="2">
        <v>25</v>
      </c>
      <c r="H49" s="8">
        <v>7530</v>
      </c>
      <c r="I49" s="26">
        <f t="shared" si="1"/>
        <v>4630.95</v>
      </c>
    </row>
    <row r="50" spans="1:9" ht="20.25" customHeight="1" x14ac:dyDescent="0.35">
      <c r="A50" s="6">
        <v>44</v>
      </c>
      <c r="B50" s="4" t="s">
        <v>98</v>
      </c>
      <c r="C50" s="12" t="s">
        <v>99</v>
      </c>
      <c r="D50" s="2">
        <v>1</v>
      </c>
      <c r="E50" s="2">
        <v>0.75</v>
      </c>
      <c r="F50" s="2">
        <v>25</v>
      </c>
      <c r="G50" s="2">
        <v>25</v>
      </c>
      <c r="H50" s="8">
        <v>9150</v>
      </c>
      <c r="I50" s="26">
        <f t="shared" si="1"/>
        <v>5627.25</v>
      </c>
    </row>
    <row r="51" spans="1:9" ht="20.25" customHeight="1" x14ac:dyDescent="0.35">
      <c r="A51" s="6">
        <v>45</v>
      </c>
      <c r="B51" s="4" t="s">
        <v>100</v>
      </c>
      <c r="C51" s="12" t="s">
        <v>101</v>
      </c>
      <c r="D51" s="2">
        <v>1</v>
      </c>
      <c r="E51" s="2">
        <v>0.75</v>
      </c>
      <c r="F51" s="2">
        <v>25</v>
      </c>
      <c r="G51" s="2">
        <v>25</v>
      </c>
      <c r="H51" s="5">
        <v>16800</v>
      </c>
      <c r="I51" s="26">
        <f t="shared" si="1"/>
        <v>10332</v>
      </c>
    </row>
    <row r="52" spans="1:9" ht="20.25" customHeight="1" x14ac:dyDescent="0.35">
      <c r="A52" s="6">
        <v>46</v>
      </c>
      <c r="B52" s="6" t="s">
        <v>102</v>
      </c>
      <c r="C52" s="14" t="s">
        <v>103</v>
      </c>
      <c r="D52" s="2">
        <v>0.5</v>
      </c>
      <c r="E52" s="2">
        <v>0.37</v>
      </c>
      <c r="F52" s="2">
        <v>25</v>
      </c>
      <c r="G52" s="2">
        <v>25</v>
      </c>
      <c r="H52" s="8">
        <v>17760</v>
      </c>
      <c r="I52" s="26">
        <f t="shared" si="1"/>
        <v>10922.4</v>
      </c>
    </row>
    <row r="53" spans="1:9" ht="20.25" customHeight="1" x14ac:dyDescent="0.35">
      <c r="A53" s="4">
        <v>47</v>
      </c>
      <c r="B53" s="6" t="s">
        <v>104</v>
      </c>
      <c r="C53" s="14" t="s">
        <v>105</v>
      </c>
      <c r="D53" s="2">
        <v>1</v>
      </c>
      <c r="E53" s="2">
        <v>0.75</v>
      </c>
      <c r="F53" s="2">
        <v>25</v>
      </c>
      <c r="G53" s="2">
        <v>25</v>
      </c>
      <c r="H53" s="8">
        <v>19120</v>
      </c>
      <c r="I53" s="26">
        <f t="shared" si="1"/>
        <v>11758.8</v>
      </c>
    </row>
    <row r="54" spans="1:9" ht="20.25" customHeight="1" x14ac:dyDescent="0.35">
      <c r="A54" s="6">
        <v>48</v>
      </c>
      <c r="B54" s="6" t="s">
        <v>106</v>
      </c>
      <c r="C54" s="14" t="s">
        <v>107</v>
      </c>
      <c r="D54" s="2">
        <v>1.1000000000000001</v>
      </c>
      <c r="E54" s="2">
        <v>0.8</v>
      </c>
      <c r="F54" s="2">
        <v>25</v>
      </c>
      <c r="G54" s="2">
        <v>25</v>
      </c>
      <c r="H54" s="8">
        <v>20900</v>
      </c>
      <c r="I54" s="26">
        <f t="shared" si="1"/>
        <v>12853.5</v>
      </c>
    </row>
    <row r="55" spans="1:9" ht="20.25" customHeight="1" x14ac:dyDescent="0.35">
      <c r="A55" s="300" t="s">
        <v>108</v>
      </c>
      <c r="B55" s="300"/>
      <c r="C55" s="300"/>
      <c r="D55" s="300"/>
      <c r="E55" s="300"/>
      <c r="F55" s="300"/>
      <c r="G55" s="300"/>
      <c r="H55" s="287" t="s">
        <v>109</v>
      </c>
      <c r="I55" s="287" t="s">
        <v>504</v>
      </c>
    </row>
    <row r="56" spans="1:9" ht="20.25" customHeight="1" x14ac:dyDescent="0.35">
      <c r="A56" s="287" t="s">
        <v>2</v>
      </c>
      <c r="B56" s="287" t="s">
        <v>3</v>
      </c>
      <c r="C56" s="298" t="s">
        <v>4</v>
      </c>
      <c r="D56" s="287" t="s">
        <v>5</v>
      </c>
      <c r="E56" s="287"/>
      <c r="F56" s="287" t="s">
        <v>6</v>
      </c>
      <c r="G56" s="287"/>
      <c r="H56" s="287"/>
      <c r="I56" s="287"/>
    </row>
    <row r="57" spans="1:9" ht="20.25" customHeight="1" x14ac:dyDescent="0.35">
      <c r="A57" s="287"/>
      <c r="B57" s="287"/>
      <c r="C57" s="298"/>
      <c r="D57" s="11" t="s">
        <v>9</v>
      </c>
      <c r="E57" s="11" t="s">
        <v>10</v>
      </c>
      <c r="F57" s="11" t="s">
        <v>11</v>
      </c>
      <c r="G57" s="11" t="s">
        <v>12</v>
      </c>
      <c r="H57" s="287"/>
      <c r="I57" s="287"/>
    </row>
    <row r="58" spans="1:9" ht="20.25" customHeight="1" x14ac:dyDescent="0.35">
      <c r="A58" s="6">
        <v>1</v>
      </c>
      <c r="B58" s="6" t="s">
        <v>110</v>
      </c>
      <c r="C58" s="14" t="s">
        <v>111</v>
      </c>
      <c r="D58" s="303">
        <v>0.5</v>
      </c>
      <c r="E58" s="303">
        <v>0.37</v>
      </c>
      <c r="F58" s="2">
        <v>25</v>
      </c>
      <c r="G58" s="2">
        <v>25</v>
      </c>
      <c r="H58" s="8">
        <v>4680</v>
      </c>
      <c r="I58" s="26">
        <f t="shared" ref="I58:I113" si="5">H58*0.615</f>
        <v>2878.2</v>
      </c>
    </row>
    <row r="59" spans="1:9" ht="20.25" customHeight="1" x14ac:dyDescent="0.35">
      <c r="A59" s="6">
        <v>2</v>
      </c>
      <c r="B59" s="6" t="s">
        <v>112</v>
      </c>
      <c r="C59" s="14" t="s">
        <v>113</v>
      </c>
      <c r="D59" s="303"/>
      <c r="E59" s="303"/>
      <c r="F59" s="2">
        <v>40</v>
      </c>
      <c r="G59" s="2">
        <v>40</v>
      </c>
      <c r="H59" s="8">
        <v>6430</v>
      </c>
      <c r="I59" s="26">
        <f t="shared" si="5"/>
        <v>3954.45</v>
      </c>
    </row>
    <row r="60" spans="1:9" ht="20.25" customHeight="1" x14ac:dyDescent="0.35">
      <c r="A60" s="4">
        <v>3</v>
      </c>
      <c r="B60" s="4" t="s">
        <v>114</v>
      </c>
      <c r="C60" s="18" t="s">
        <v>115</v>
      </c>
      <c r="D60" s="2">
        <v>0.75</v>
      </c>
      <c r="E60" s="2">
        <v>0.56000000000000005</v>
      </c>
      <c r="F60" s="2">
        <v>40</v>
      </c>
      <c r="G60" s="2">
        <v>40</v>
      </c>
      <c r="H60" s="5">
        <v>6240</v>
      </c>
      <c r="I60" s="26">
        <f t="shared" si="5"/>
        <v>3837.6</v>
      </c>
    </row>
    <row r="61" spans="1:9" ht="20.25" customHeight="1" x14ac:dyDescent="0.35">
      <c r="A61" s="6">
        <v>4</v>
      </c>
      <c r="B61" s="6" t="s">
        <v>116</v>
      </c>
      <c r="C61" s="14" t="s">
        <v>117</v>
      </c>
      <c r="D61" s="301">
        <v>1</v>
      </c>
      <c r="E61" s="301">
        <v>0.75</v>
      </c>
      <c r="F61" s="1">
        <v>25</v>
      </c>
      <c r="G61" s="1">
        <v>25</v>
      </c>
      <c r="H61" s="8">
        <v>7572</v>
      </c>
      <c r="I61" s="26">
        <f t="shared" si="5"/>
        <v>4656.78</v>
      </c>
    </row>
    <row r="62" spans="1:9" ht="20.25" customHeight="1" x14ac:dyDescent="0.35">
      <c r="A62" s="6">
        <v>5</v>
      </c>
      <c r="B62" s="6" t="s">
        <v>118</v>
      </c>
      <c r="C62" s="14" t="s">
        <v>119</v>
      </c>
      <c r="D62" s="301"/>
      <c r="E62" s="301"/>
      <c r="F62" s="1">
        <v>50</v>
      </c>
      <c r="G62" s="1">
        <v>50</v>
      </c>
      <c r="H62" s="8">
        <v>8900</v>
      </c>
      <c r="I62" s="26">
        <f t="shared" si="5"/>
        <v>5473.5</v>
      </c>
    </row>
    <row r="63" spans="1:9" ht="20.25" customHeight="1" x14ac:dyDescent="0.35">
      <c r="A63" s="4">
        <v>6</v>
      </c>
      <c r="B63" s="6" t="s">
        <v>120</v>
      </c>
      <c r="C63" s="14" t="s">
        <v>121</v>
      </c>
      <c r="D63" s="301"/>
      <c r="E63" s="301"/>
      <c r="F63" s="1">
        <v>50</v>
      </c>
      <c r="G63" s="1">
        <v>50</v>
      </c>
      <c r="H63" s="5">
        <v>9100</v>
      </c>
      <c r="I63" s="26">
        <f t="shared" si="5"/>
        <v>5596.5</v>
      </c>
    </row>
    <row r="64" spans="1:9" ht="20.25" customHeight="1" x14ac:dyDescent="0.35">
      <c r="A64" s="6">
        <v>7</v>
      </c>
      <c r="B64" s="4" t="s">
        <v>122</v>
      </c>
      <c r="C64" s="18" t="s">
        <v>123</v>
      </c>
      <c r="D64" s="301"/>
      <c r="E64" s="301"/>
      <c r="F64" s="1">
        <v>50</v>
      </c>
      <c r="G64" s="1">
        <v>50</v>
      </c>
      <c r="H64" s="5">
        <v>9000</v>
      </c>
      <c r="I64" s="26">
        <f t="shared" si="5"/>
        <v>5535</v>
      </c>
    </row>
    <row r="65" spans="1:9" ht="20.25" customHeight="1" x14ac:dyDescent="0.35">
      <c r="A65" s="6">
        <v>8</v>
      </c>
      <c r="B65" s="4" t="s">
        <v>124</v>
      </c>
      <c r="C65" s="19" t="s">
        <v>125</v>
      </c>
      <c r="D65" s="301"/>
      <c r="E65" s="301"/>
      <c r="F65" s="1">
        <v>75</v>
      </c>
      <c r="G65" s="1">
        <v>75</v>
      </c>
      <c r="H65" s="8">
        <v>10000</v>
      </c>
      <c r="I65" s="26">
        <f t="shared" si="5"/>
        <v>6150</v>
      </c>
    </row>
    <row r="66" spans="1:9" ht="20.25" customHeight="1" x14ac:dyDescent="0.35">
      <c r="A66" s="4">
        <v>9</v>
      </c>
      <c r="B66" s="4"/>
      <c r="C66" s="18" t="s">
        <v>126</v>
      </c>
      <c r="D66" s="301"/>
      <c r="E66" s="301"/>
      <c r="F66" s="1">
        <v>75</v>
      </c>
      <c r="G66" s="1">
        <v>75</v>
      </c>
      <c r="H66" s="5">
        <v>10200</v>
      </c>
      <c r="I66" s="26">
        <f t="shared" si="5"/>
        <v>6273</v>
      </c>
    </row>
    <row r="67" spans="1:9" ht="20.25" customHeight="1" x14ac:dyDescent="0.35">
      <c r="A67" s="6">
        <v>10</v>
      </c>
      <c r="B67" s="4" t="s">
        <v>127</v>
      </c>
      <c r="C67" s="19" t="s">
        <v>128</v>
      </c>
      <c r="D67" s="301">
        <v>1.5</v>
      </c>
      <c r="E67" s="301">
        <v>1.1000000000000001</v>
      </c>
      <c r="F67" s="1">
        <v>50</v>
      </c>
      <c r="G67" s="1">
        <v>50</v>
      </c>
      <c r="H67" s="5">
        <v>10420</v>
      </c>
      <c r="I67" s="26">
        <f t="shared" si="5"/>
        <v>6408.3</v>
      </c>
    </row>
    <row r="68" spans="1:9" ht="20.25" customHeight="1" x14ac:dyDescent="0.35">
      <c r="A68" s="6">
        <v>11</v>
      </c>
      <c r="B68" s="4" t="s">
        <v>129</v>
      </c>
      <c r="C68" s="18" t="s">
        <v>130</v>
      </c>
      <c r="D68" s="301"/>
      <c r="E68" s="301"/>
      <c r="F68" s="1">
        <v>50</v>
      </c>
      <c r="G68" s="1">
        <v>50</v>
      </c>
      <c r="H68" s="5">
        <v>10600</v>
      </c>
      <c r="I68" s="26">
        <f t="shared" si="5"/>
        <v>6519</v>
      </c>
    </row>
    <row r="69" spans="1:9" ht="20.25" customHeight="1" x14ac:dyDescent="0.35">
      <c r="A69" s="4">
        <v>12</v>
      </c>
      <c r="B69" s="4" t="s">
        <v>131</v>
      </c>
      <c r="C69" s="19" t="s">
        <v>132</v>
      </c>
      <c r="D69" s="301"/>
      <c r="E69" s="301"/>
      <c r="F69" s="1">
        <v>65</v>
      </c>
      <c r="G69" s="1">
        <v>50</v>
      </c>
      <c r="H69" s="5">
        <v>10600</v>
      </c>
      <c r="I69" s="26">
        <f t="shared" si="5"/>
        <v>6519</v>
      </c>
    </row>
    <row r="70" spans="1:9" ht="20.25" customHeight="1" x14ac:dyDescent="0.35">
      <c r="A70" s="6">
        <v>13</v>
      </c>
      <c r="B70" s="4" t="s">
        <v>133</v>
      </c>
      <c r="C70" s="18" t="s">
        <v>134</v>
      </c>
      <c r="D70" s="301"/>
      <c r="E70" s="301"/>
      <c r="F70" s="1">
        <v>65</v>
      </c>
      <c r="G70" s="1">
        <v>50</v>
      </c>
      <c r="H70" s="5">
        <v>10800</v>
      </c>
      <c r="I70" s="26">
        <f t="shared" si="5"/>
        <v>6642</v>
      </c>
    </row>
    <row r="71" spans="1:9" ht="20.25" customHeight="1" x14ac:dyDescent="0.35">
      <c r="A71" s="6">
        <v>14</v>
      </c>
      <c r="B71" s="4" t="s">
        <v>135</v>
      </c>
      <c r="C71" s="19" t="s">
        <v>136</v>
      </c>
      <c r="D71" s="301"/>
      <c r="E71" s="301"/>
      <c r="F71" s="1">
        <v>75</v>
      </c>
      <c r="G71" s="1">
        <v>75</v>
      </c>
      <c r="H71" s="8">
        <v>11000</v>
      </c>
      <c r="I71" s="26">
        <f t="shared" si="5"/>
        <v>6765</v>
      </c>
    </row>
    <row r="72" spans="1:9" ht="20.25" customHeight="1" x14ac:dyDescent="0.35">
      <c r="A72" s="4">
        <v>15</v>
      </c>
      <c r="B72" s="4" t="s">
        <v>137</v>
      </c>
      <c r="C72" s="18" t="s">
        <v>138</v>
      </c>
      <c r="D72" s="301"/>
      <c r="E72" s="301"/>
      <c r="F72" s="1">
        <v>75</v>
      </c>
      <c r="G72" s="1">
        <v>75</v>
      </c>
      <c r="H72" s="5">
        <v>11200</v>
      </c>
      <c r="I72" s="26">
        <f t="shared" si="5"/>
        <v>6888</v>
      </c>
    </row>
    <row r="73" spans="1:9" ht="20.25" customHeight="1" x14ac:dyDescent="0.35">
      <c r="A73" s="6">
        <v>16</v>
      </c>
      <c r="B73" s="4" t="s">
        <v>135</v>
      </c>
      <c r="C73" s="18" t="s">
        <v>140</v>
      </c>
      <c r="D73" s="301"/>
      <c r="E73" s="301"/>
      <c r="F73" s="1">
        <v>75</v>
      </c>
      <c r="G73" s="1">
        <v>75</v>
      </c>
      <c r="H73" s="5">
        <v>11200</v>
      </c>
      <c r="I73" s="26">
        <f t="shared" si="5"/>
        <v>6888</v>
      </c>
    </row>
    <row r="74" spans="1:9" ht="20.25" customHeight="1" x14ac:dyDescent="0.35">
      <c r="A74" s="6">
        <v>17</v>
      </c>
      <c r="B74" s="4" t="s">
        <v>141</v>
      </c>
      <c r="C74" s="19" t="s">
        <v>142</v>
      </c>
      <c r="D74" s="301">
        <v>2</v>
      </c>
      <c r="E74" s="301">
        <v>1.5</v>
      </c>
      <c r="F74" s="1">
        <v>50</v>
      </c>
      <c r="G74" s="1">
        <v>40</v>
      </c>
      <c r="H74" s="8">
        <v>15000</v>
      </c>
      <c r="I74" s="26">
        <f t="shared" si="5"/>
        <v>9225</v>
      </c>
    </row>
    <row r="75" spans="1:9" ht="20.25" customHeight="1" x14ac:dyDescent="0.35">
      <c r="A75" s="4">
        <v>18</v>
      </c>
      <c r="B75" s="4" t="s">
        <v>143</v>
      </c>
      <c r="C75" s="18" t="s">
        <v>144</v>
      </c>
      <c r="D75" s="301"/>
      <c r="E75" s="301"/>
      <c r="F75" s="1">
        <v>50</v>
      </c>
      <c r="G75" s="1">
        <v>40</v>
      </c>
      <c r="H75" s="5">
        <v>15200</v>
      </c>
      <c r="I75" s="26">
        <f t="shared" si="5"/>
        <v>9348</v>
      </c>
    </row>
    <row r="76" spans="1:9" ht="20.25" customHeight="1" x14ac:dyDescent="0.35">
      <c r="A76" s="6">
        <v>19</v>
      </c>
      <c r="B76" s="6" t="s">
        <v>145</v>
      </c>
      <c r="C76" s="14" t="s">
        <v>146</v>
      </c>
      <c r="D76" s="301"/>
      <c r="E76" s="301"/>
      <c r="F76" s="1">
        <v>50</v>
      </c>
      <c r="G76" s="1">
        <v>50</v>
      </c>
      <c r="H76" s="8">
        <v>13000</v>
      </c>
      <c r="I76" s="26">
        <f t="shared" si="5"/>
        <v>7995</v>
      </c>
    </row>
    <row r="77" spans="1:9" ht="20.25" customHeight="1" x14ac:dyDescent="0.35">
      <c r="A77" s="6">
        <v>20</v>
      </c>
      <c r="B77" s="4" t="s">
        <v>147</v>
      </c>
      <c r="C77" s="18" t="s">
        <v>148</v>
      </c>
      <c r="D77" s="301"/>
      <c r="E77" s="301"/>
      <c r="F77" s="1">
        <v>50</v>
      </c>
      <c r="G77" s="1">
        <v>50</v>
      </c>
      <c r="H77" s="5">
        <v>13200</v>
      </c>
      <c r="I77" s="26">
        <f t="shared" si="5"/>
        <v>8118</v>
      </c>
    </row>
    <row r="78" spans="1:9" ht="20.25" customHeight="1" x14ac:dyDescent="0.35">
      <c r="A78" s="4">
        <v>21</v>
      </c>
      <c r="B78" s="6" t="s">
        <v>149</v>
      </c>
      <c r="C78" s="14" t="s">
        <v>150</v>
      </c>
      <c r="D78" s="301"/>
      <c r="E78" s="301"/>
      <c r="F78" s="1">
        <v>65</v>
      </c>
      <c r="G78" s="1">
        <v>50</v>
      </c>
      <c r="H78" s="8">
        <v>13300</v>
      </c>
      <c r="I78" s="26">
        <f t="shared" si="5"/>
        <v>8179.5</v>
      </c>
    </row>
    <row r="79" spans="1:9" ht="20.25" customHeight="1" x14ac:dyDescent="0.35">
      <c r="A79" s="6">
        <v>22</v>
      </c>
      <c r="B79" s="6" t="s">
        <v>151</v>
      </c>
      <c r="C79" s="14" t="s">
        <v>152</v>
      </c>
      <c r="D79" s="301"/>
      <c r="E79" s="301"/>
      <c r="F79" s="1">
        <v>65</v>
      </c>
      <c r="G79" s="1">
        <v>50</v>
      </c>
      <c r="H79" s="5">
        <v>13500</v>
      </c>
      <c r="I79" s="26">
        <f t="shared" si="5"/>
        <v>8302.5</v>
      </c>
    </row>
    <row r="80" spans="1:9" ht="20.25" customHeight="1" x14ac:dyDescent="0.35">
      <c r="A80" s="6">
        <v>23</v>
      </c>
      <c r="B80" s="4" t="s">
        <v>153</v>
      </c>
      <c r="C80" s="18" t="s">
        <v>154</v>
      </c>
      <c r="D80" s="301"/>
      <c r="E80" s="301"/>
      <c r="F80" s="1">
        <v>65</v>
      </c>
      <c r="G80" s="1">
        <v>50</v>
      </c>
      <c r="H80" s="5">
        <v>13340</v>
      </c>
      <c r="I80" s="26">
        <f t="shared" si="5"/>
        <v>8204.1</v>
      </c>
    </row>
    <row r="81" spans="1:9" ht="20.25" customHeight="1" x14ac:dyDescent="0.35">
      <c r="A81" s="4">
        <v>24</v>
      </c>
      <c r="B81" s="6"/>
      <c r="C81" s="14" t="s">
        <v>155</v>
      </c>
      <c r="D81" s="301"/>
      <c r="E81" s="301"/>
      <c r="F81" s="1">
        <v>65</v>
      </c>
      <c r="G81" s="1">
        <v>50</v>
      </c>
      <c r="H81" s="8">
        <v>13300</v>
      </c>
      <c r="I81" s="26">
        <f t="shared" si="5"/>
        <v>8179.5</v>
      </c>
    </row>
    <row r="82" spans="1:9" ht="20.25" customHeight="1" x14ac:dyDescent="0.35">
      <c r="A82" s="6">
        <v>25</v>
      </c>
      <c r="B82" s="4" t="s">
        <v>156</v>
      </c>
      <c r="C82" s="18" t="s">
        <v>157</v>
      </c>
      <c r="D82" s="301"/>
      <c r="E82" s="301"/>
      <c r="F82" s="1">
        <v>75</v>
      </c>
      <c r="G82" s="1">
        <v>75</v>
      </c>
      <c r="H82" s="5">
        <v>13600</v>
      </c>
      <c r="I82" s="26">
        <f t="shared" si="5"/>
        <v>8364</v>
      </c>
    </row>
    <row r="83" spans="1:9" ht="20.25" customHeight="1" x14ac:dyDescent="0.35">
      <c r="A83" s="6">
        <v>26</v>
      </c>
      <c r="B83" s="6" t="s">
        <v>158</v>
      </c>
      <c r="C83" s="14" t="s">
        <v>159</v>
      </c>
      <c r="D83" s="301"/>
      <c r="E83" s="301"/>
      <c r="F83" s="1">
        <v>75</v>
      </c>
      <c r="G83" s="1">
        <v>75</v>
      </c>
      <c r="H83" s="8">
        <v>13450</v>
      </c>
      <c r="I83" s="26">
        <f t="shared" si="5"/>
        <v>8271.75</v>
      </c>
    </row>
    <row r="84" spans="1:9" ht="20.25" customHeight="1" x14ac:dyDescent="0.35">
      <c r="A84" s="4">
        <v>27</v>
      </c>
      <c r="B84" s="6" t="s">
        <v>160</v>
      </c>
      <c r="C84" s="14" t="s">
        <v>161</v>
      </c>
      <c r="D84" s="301"/>
      <c r="E84" s="301"/>
      <c r="F84" s="1">
        <v>75</v>
      </c>
      <c r="G84" s="1">
        <v>75</v>
      </c>
      <c r="H84" s="5">
        <v>13800</v>
      </c>
      <c r="I84" s="26">
        <f t="shared" si="5"/>
        <v>8487</v>
      </c>
    </row>
    <row r="85" spans="1:9" ht="20.25" customHeight="1" x14ac:dyDescent="0.35">
      <c r="A85" s="6">
        <v>28</v>
      </c>
      <c r="B85" s="6" t="s">
        <v>162</v>
      </c>
      <c r="C85" s="14" t="s">
        <v>163</v>
      </c>
      <c r="D85" s="301"/>
      <c r="E85" s="301"/>
      <c r="F85" s="1">
        <v>75</v>
      </c>
      <c r="G85" s="1">
        <v>75</v>
      </c>
      <c r="H85" s="5">
        <v>14000</v>
      </c>
      <c r="I85" s="26">
        <f t="shared" si="5"/>
        <v>8610</v>
      </c>
    </row>
    <row r="86" spans="1:9" ht="20.25" customHeight="1" x14ac:dyDescent="0.35">
      <c r="A86" s="6">
        <v>29</v>
      </c>
      <c r="B86" s="6" t="s">
        <v>164</v>
      </c>
      <c r="C86" s="14" t="s">
        <v>165</v>
      </c>
      <c r="D86" s="301"/>
      <c r="E86" s="301"/>
      <c r="F86" s="1">
        <v>75</v>
      </c>
      <c r="G86" s="1">
        <v>75</v>
      </c>
      <c r="H86" s="5">
        <v>14500</v>
      </c>
      <c r="I86" s="26">
        <f t="shared" si="5"/>
        <v>8917.5</v>
      </c>
    </row>
    <row r="87" spans="1:9" ht="20.25" customHeight="1" x14ac:dyDescent="0.35">
      <c r="A87" s="4">
        <v>30</v>
      </c>
      <c r="B87" s="4" t="s">
        <v>166</v>
      </c>
      <c r="C87" s="18" t="s">
        <v>167</v>
      </c>
      <c r="D87" s="301"/>
      <c r="E87" s="301"/>
      <c r="F87" s="1">
        <v>75</v>
      </c>
      <c r="G87" s="1">
        <v>75</v>
      </c>
      <c r="H87" s="5">
        <v>13550</v>
      </c>
      <c r="I87" s="26">
        <f t="shared" si="5"/>
        <v>8333.25</v>
      </c>
    </row>
    <row r="88" spans="1:9" ht="20.25" customHeight="1" x14ac:dyDescent="0.35">
      <c r="A88" s="6">
        <v>31</v>
      </c>
      <c r="B88" s="6" t="s">
        <v>168</v>
      </c>
      <c r="C88" s="14" t="s">
        <v>169</v>
      </c>
      <c r="D88" s="301"/>
      <c r="E88" s="301"/>
      <c r="F88" s="1">
        <v>75</v>
      </c>
      <c r="G88" s="1">
        <v>65</v>
      </c>
      <c r="H88" s="8">
        <v>13450</v>
      </c>
      <c r="I88" s="26">
        <f t="shared" si="5"/>
        <v>8271.75</v>
      </c>
    </row>
    <row r="89" spans="1:9" ht="20.25" customHeight="1" x14ac:dyDescent="0.35">
      <c r="A89" s="6">
        <v>32</v>
      </c>
      <c r="B89" s="6" t="s">
        <v>170</v>
      </c>
      <c r="C89" s="14" t="s">
        <v>171</v>
      </c>
      <c r="D89" s="301"/>
      <c r="E89" s="301"/>
      <c r="F89" s="1">
        <v>75</v>
      </c>
      <c r="G89" s="1">
        <v>65</v>
      </c>
      <c r="H89" s="5">
        <v>13740</v>
      </c>
      <c r="I89" s="26">
        <f t="shared" si="5"/>
        <v>8450.1</v>
      </c>
    </row>
    <row r="90" spans="1:9" ht="20.25" customHeight="1" x14ac:dyDescent="0.35">
      <c r="A90" s="4">
        <v>33</v>
      </c>
      <c r="B90" s="4"/>
      <c r="C90" s="19" t="s">
        <v>172</v>
      </c>
      <c r="D90" s="301"/>
      <c r="E90" s="301"/>
      <c r="F90" s="1">
        <v>100</v>
      </c>
      <c r="G90" s="1">
        <v>100</v>
      </c>
      <c r="H90" s="8">
        <v>15000</v>
      </c>
      <c r="I90" s="26">
        <f t="shared" si="5"/>
        <v>9225</v>
      </c>
    </row>
    <row r="91" spans="1:9" ht="20.25" customHeight="1" x14ac:dyDescent="0.35">
      <c r="A91" s="6">
        <v>34</v>
      </c>
      <c r="B91" s="4"/>
      <c r="C91" s="18" t="s">
        <v>173</v>
      </c>
      <c r="D91" s="301"/>
      <c r="E91" s="301"/>
      <c r="F91" s="1">
        <v>100</v>
      </c>
      <c r="G91" s="1">
        <v>100</v>
      </c>
      <c r="H91" s="5">
        <v>15200</v>
      </c>
      <c r="I91" s="26">
        <f t="shared" si="5"/>
        <v>9348</v>
      </c>
    </row>
    <row r="92" spans="1:9" ht="20.25" customHeight="1" x14ac:dyDescent="0.35">
      <c r="A92" s="6">
        <v>35</v>
      </c>
      <c r="B92" s="4"/>
      <c r="C92" s="19" t="s">
        <v>174</v>
      </c>
      <c r="D92" s="301">
        <v>3</v>
      </c>
      <c r="E92" s="301">
        <v>2.25</v>
      </c>
      <c r="F92" s="1">
        <v>50</v>
      </c>
      <c r="G92" s="1">
        <v>40</v>
      </c>
      <c r="H92" s="8">
        <v>18000</v>
      </c>
      <c r="I92" s="26">
        <f t="shared" si="5"/>
        <v>11070</v>
      </c>
    </row>
    <row r="93" spans="1:9" ht="20.25" customHeight="1" x14ac:dyDescent="0.35">
      <c r="A93" s="4">
        <v>36</v>
      </c>
      <c r="B93" s="4" t="s">
        <v>175</v>
      </c>
      <c r="C93" s="18" t="s">
        <v>176</v>
      </c>
      <c r="D93" s="301"/>
      <c r="E93" s="301"/>
      <c r="F93" s="1">
        <v>50</v>
      </c>
      <c r="G93" s="1">
        <v>40</v>
      </c>
      <c r="H93" s="5">
        <v>18560</v>
      </c>
      <c r="I93" s="26">
        <f t="shared" si="5"/>
        <v>11414.4</v>
      </c>
    </row>
    <row r="94" spans="1:9" ht="20.25" customHeight="1" x14ac:dyDescent="0.35">
      <c r="A94" s="6">
        <v>37</v>
      </c>
      <c r="B94" s="4" t="s">
        <v>177</v>
      </c>
      <c r="C94" s="19" t="s">
        <v>178</v>
      </c>
      <c r="D94" s="301"/>
      <c r="E94" s="301"/>
      <c r="F94" s="1">
        <v>50</v>
      </c>
      <c r="G94" s="1">
        <v>50</v>
      </c>
      <c r="H94" s="8">
        <v>18250</v>
      </c>
      <c r="I94" s="26">
        <f t="shared" si="5"/>
        <v>11223.75</v>
      </c>
    </row>
    <row r="95" spans="1:9" ht="20.25" customHeight="1" x14ac:dyDescent="0.35">
      <c r="A95" s="6">
        <v>38</v>
      </c>
      <c r="B95" s="4" t="s">
        <v>179</v>
      </c>
      <c r="C95" s="18" t="s">
        <v>180</v>
      </c>
      <c r="D95" s="301"/>
      <c r="E95" s="301"/>
      <c r="F95" s="1">
        <v>50</v>
      </c>
      <c r="G95" s="1">
        <v>50</v>
      </c>
      <c r="H95" s="5">
        <v>18670</v>
      </c>
      <c r="I95" s="26">
        <f t="shared" si="5"/>
        <v>11482.05</v>
      </c>
    </row>
    <row r="96" spans="1:9" ht="20.25" customHeight="1" x14ac:dyDescent="0.35">
      <c r="A96" s="4">
        <v>39</v>
      </c>
      <c r="B96" s="6" t="s">
        <v>181</v>
      </c>
      <c r="C96" s="14" t="s">
        <v>182</v>
      </c>
      <c r="D96" s="301"/>
      <c r="E96" s="301"/>
      <c r="F96" s="1">
        <v>65</v>
      </c>
      <c r="G96" s="1">
        <v>50</v>
      </c>
      <c r="H96" s="8">
        <v>18100</v>
      </c>
      <c r="I96" s="26">
        <f t="shared" si="5"/>
        <v>11131.5</v>
      </c>
    </row>
    <row r="97" spans="1:9" ht="20.25" customHeight="1" x14ac:dyDescent="0.35">
      <c r="A97" s="6">
        <v>40</v>
      </c>
      <c r="B97" s="6" t="s">
        <v>183</v>
      </c>
      <c r="C97" s="14" t="s">
        <v>184</v>
      </c>
      <c r="D97" s="301"/>
      <c r="E97" s="301"/>
      <c r="F97" s="1">
        <v>65</v>
      </c>
      <c r="G97" s="1">
        <v>50</v>
      </c>
      <c r="H97" s="5">
        <v>18770</v>
      </c>
      <c r="I97" s="26">
        <f t="shared" si="5"/>
        <v>11543.55</v>
      </c>
    </row>
    <row r="98" spans="1:9" ht="20.25" customHeight="1" x14ac:dyDescent="0.35">
      <c r="A98" s="6">
        <v>41</v>
      </c>
      <c r="B98" s="6" t="s">
        <v>185</v>
      </c>
      <c r="C98" s="14" t="s">
        <v>186</v>
      </c>
      <c r="D98" s="301"/>
      <c r="E98" s="301"/>
      <c r="F98" s="1">
        <v>75</v>
      </c>
      <c r="G98" s="1">
        <v>75</v>
      </c>
      <c r="H98" s="8">
        <v>18020</v>
      </c>
      <c r="I98" s="26">
        <f t="shared" si="5"/>
        <v>11082.3</v>
      </c>
    </row>
    <row r="99" spans="1:9" ht="20.25" customHeight="1" x14ac:dyDescent="0.35">
      <c r="A99" s="4">
        <v>42</v>
      </c>
      <c r="B99" s="6" t="s">
        <v>187</v>
      </c>
      <c r="C99" s="14" t="s">
        <v>188</v>
      </c>
      <c r="D99" s="301"/>
      <c r="E99" s="301"/>
      <c r="F99" s="1">
        <v>75</v>
      </c>
      <c r="G99" s="1">
        <v>75</v>
      </c>
      <c r="H99" s="5">
        <v>18680</v>
      </c>
      <c r="I99" s="26">
        <f t="shared" si="5"/>
        <v>11488.2</v>
      </c>
    </row>
    <row r="100" spans="1:9" ht="20.25" customHeight="1" x14ac:dyDescent="0.35">
      <c r="A100" s="6">
        <v>43</v>
      </c>
      <c r="B100" s="6" t="s">
        <v>189</v>
      </c>
      <c r="C100" s="14" t="s">
        <v>190</v>
      </c>
      <c r="D100" s="301"/>
      <c r="E100" s="301"/>
      <c r="F100" s="1">
        <v>100</v>
      </c>
      <c r="G100" s="1">
        <v>100</v>
      </c>
      <c r="H100" s="8">
        <v>19100</v>
      </c>
      <c r="I100" s="26">
        <f t="shared" si="5"/>
        <v>11746.5</v>
      </c>
    </row>
    <row r="101" spans="1:9" ht="20.25" customHeight="1" x14ac:dyDescent="0.35">
      <c r="A101" s="6">
        <v>44</v>
      </c>
      <c r="B101" s="6" t="s">
        <v>191</v>
      </c>
      <c r="C101" s="14" t="s">
        <v>192</v>
      </c>
      <c r="D101" s="301"/>
      <c r="E101" s="301"/>
      <c r="F101" s="1">
        <v>100</v>
      </c>
      <c r="G101" s="1">
        <v>100</v>
      </c>
      <c r="H101" s="5">
        <v>19500</v>
      </c>
      <c r="I101" s="26">
        <f t="shared" si="5"/>
        <v>11992.5</v>
      </c>
    </row>
    <row r="102" spans="1:9" ht="20.25" customHeight="1" x14ac:dyDescent="0.35">
      <c r="A102" s="4">
        <v>45</v>
      </c>
      <c r="B102" s="6" t="s">
        <v>193</v>
      </c>
      <c r="C102" s="14" t="s">
        <v>194</v>
      </c>
      <c r="D102" s="301"/>
      <c r="E102" s="301"/>
      <c r="F102" s="1">
        <v>100</v>
      </c>
      <c r="G102" s="1">
        <v>100</v>
      </c>
      <c r="H102" s="5">
        <v>14800</v>
      </c>
      <c r="I102" s="26">
        <f t="shared" si="5"/>
        <v>9102</v>
      </c>
    </row>
    <row r="103" spans="1:9" ht="20.25" customHeight="1" x14ac:dyDescent="0.35">
      <c r="A103" s="6">
        <v>46</v>
      </c>
      <c r="B103" s="4" t="s">
        <v>195</v>
      </c>
      <c r="C103" s="18" t="s">
        <v>196</v>
      </c>
      <c r="D103" s="301"/>
      <c r="E103" s="301"/>
      <c r="F103" s="1">
        <v>100</v>
      </c>
      <c r="G103" s="1">
        <v>100</v>
      </c>
      <c r="H103" s="5">
        <v>15000</v>
      </c>
      <c r="I103" s="26">
        <f t="shared" si="5"/>
        <v>9225</v>
      </c>
    </row>
    <row r="104" spans="1:9" ht="20.25" customHeight="1" x14ac:dyDescent="0.35">
      <c r="A104" s="6">
        <v>47</v>
      </c>
      <c r="B104" s="6" t="s">
        <v>197</v>
      </c>
      <c r="C104" s="14" t="s">
        <v>198</v>
      </c>
      <c r="D104" s="301">
        <v>5</v>
      </c>
      <c r="E104" s="301">
        <v>3.75</v>
      </c>
      <c r="F104" s="1">
        <v>80</v>
      </c>
      <c r="G104" s="1">
        <v>65</v>
      </c>
      <c r="H104" s="5">
        <v>24600</v>
      </c>
      <c r="I104" s="26">
        <f t="shared" si="5"/>
        <v>15129</v>
      </c>
    </row>
    <row r="105" spans="1:9" ht="20.25" customHeight="1" x14ac:dyDescent="0.35">
      <c r="A105" s="4">
        <v>48</v>
      </c>
      <c r="B105" s="4"/>
      <c r="C105" s="20" t="s">
        <v>199</v>
      </c>
      <c r="D105" s="301"/>
      <c r="E105" s="301"/>
      <c r="F105" s="1">
        <v>80</v>
      </c>
      <c r="G105" s="1">
        <v>65</v>
      </c>
      <c r="H105" s="5">
        <v>26000</v>
      </c>
      <c r="I105" s="26">
        <f t="shared" si="5"/>
        <v>15990</v>
      </c>
    </row>
    <row r="106" spans="1:9" ht="20.25" customHeight="1" x14ac:dyDescent="0.35">
      <c r="A106" s="6">
        <v>49</v>
      </c>
      <c r="B106" s="6" t="s">
        <v>200</v>
      </c>
      <c r="C106" s="20" t="s">
        <v>201</v>
      </c>
      <c r="D106" s="301"/>
      <c r="E106" s="301"/>
      <c r="F106" s="1">
        <v>80</v>
      </c>
      <c r="G106" s="1">
        <v>65</v>
      </c>
      <c r="H106" s="5">
        <v>23600</v>
      </c>
      <c r="I106" s="26">
        <f t="shared" si="5"/>
        <v>14514</v>
      </c>
    </row>
    <row r="107" spans="1:9" ht="20.25" customHeight="1" x14ac:dyDescent="0.35">
      <c r="A107" s="6">
        <v>50</v>
      </c>
      <c r="B107" s="4" t="s">
        <v>202</v>
      </c>
      <c r="C107" s="18" t="s">
        <v>203</v>
      </c>
      <c r="D107" s="7">
        <v>0.75</v>
      </c>
      <c r="E107" s="7">
        <v>0.56000000000000005</v>
      </c>
      <c r="F107" s="2">
        <v>25</v>
      </c>
      <c r="G107" s="2">
        <v>25</v>
      </c>
      <c r="H107" s="5">
        <v>5170</v>
      </c>
      <c r="I107" s="26">
        <f t="shared" si="5"/>
        <v>3179.5499999999997</v>
      </c>
    </row>
    <row r="108" spans="1:9" ht="20.25" customHeight="1" x14ac:dyDescent="0.35">
      <c r="A108" s="4">
        <v>51</v>
      </c>
      <c r="B108" s="4" t="s">
        <v>204</v>
      </c>
      <c r="C108" s="18" t="s">
        <v>205</v>
      </c>
      <c r="D108" s="301">
        <v>1</v>
      </c>
      <c r="E108" s="301">
        <v>0.75</v>
      </c>
      <c r="F108" s="1">
        <v>40</v>
      </c>
      <c r="G108" s="1">
        <v>40</v>
      </c>
      <c r="H108" s="5">
        <v>9000</v>
      </c>
      <c r="I108" s="26">
        <f t="shared" si="5"/>
        <v>5535</v>
      </c>
    </row>
    <row r="109" spans="1:9" ht="20.25" customHeight="1" x14ac:dyDescent="0.35">
      <c r="A109" s="6">
        <v>52</v>
      </c>
      <c r="B109" s="4"/>
      <c r="C109" s="18" t="s">
        <v>206</v>
      </c>
      <c r="D109" s="301"/>
      <c r="E109" s="301"/>
      <c r="F109" s="1">
        <v>40</v>
      </c>
      <c r="G109" s="1">
        <v>40</v>
      </c>
      <c r="H109" s="5">
        <v>9000</v>
      </c>
      <c r="I109" s="26">
        <f t="shared" si="5"/>
        <v>5535</v>
      </c>
    </row>
    <row r="110" spans="1:9" ht="20.25" customHeight="1" x14ac:dyDescent="0.35">
      <c r="A110" s="6">
        <v>53</v>
      </c>
      <c r="B110" s="4"/>
      <c r="C110" s="20" t="s">
        <v>207</v>
      </c>
      <c r="D110" s="301">
        <v>2</v>
      </c>
      <c r="E110" s="301">
        <v>1.5</v>
      </c>
      <c r="F110" s="1">
        <v>75</v>
      </c>
      <c r="G110" s="1">
        <v>75</v>
      </c>
      <c r="H110" s="5">
        <v>12500</v>
      </c>
      <c r="I110" s="26">
        <f t="shared" si="5"/>
        <v>7687.5</v>
      </c>
    </row>
    <row r="111" spans="1:9" ht="20.25" customHeight="1" x14ac:dyDescent="0.35">
      <c r="A111" s="4">
        <v>54</v>
      </c>
      <c r="B111" s="4" t="s">
        <v>208</v>
      </c>
      <c r="C111" s="20" t="s">
        <v>209</v>
      </c>
      <c r="D111" s="301"/>
      <c r="E111" s="301"/>
      <c r="F111" s="1">
        <v>75</v>
      </c>
      <c r="G111" s="1">
        <v>75</v>
      </c>
      <c r="H111" s="5">
        <v>12500</v>
      </c>
      <c r="I111" s="26">
        <f t="shared" si="5"/>
        <v>7687.5</v>
      </c>
    </row>
    <row r="112" spans="1:9" ht="20.25" customHeight="1" x14ac:dyDescent="0.35">
      <c r="A112" s="6">
        <v>55</v>
      </c>
      <c r="B112" s="4" t="s">
        <v>210</v>
      </c>
      <c r="C112" s="20" t="s">
        <v>211</v>
      </c>
      <c r="D112" s="301"/>
      <c r="E112" s="301"/>
      <c r="F112" s="1">
        <v>65</v>
      </c>
      <c r="G112" s="1">
        <v>50</v>
      </c>
      <c r="H112" s="5">
        <v>12200</v>
      </c>
      <c r="I112" s="26">
        <f t="shared" si="5"/>
        <v>7503</v>
      </c>
    </row>
    <row r="113" spans="1:9" ht="20.25" customHeight="1" x14ac:dyDescent="0.35">
      <c r="A113" s="6">
        <v>56</v>
      </c>
      <c r="B113" s="4" t="s">
        <v>212</v>
      </c>
      <c r="C113" s="20" t="s">
        <v>213</v>
      </c>
      <c r="D113" s="301"/>
      <c r="E113" s="301"/>
      <c r="F113" s="1">
        <v>50</v>
      </c>
      <c r="G113" s="1">
        <v>50</v>
      </c>
      <c r="H113" s="5">
        <v>12200</v>
      </c>
      <c r="I113" s="26">
        <f t="shared" si="5"/>
        <v>7503</v>
      </c>
    </row>
    <row r="114" spans="1:9" ht="20.25" customHeight="1" x14ac:dyDescent="0.35">
      <c r="A114" s="300" t="s">
        <v>214</v>
      </c>
      <c r="B114" s="300"/>
      <c r="C114" s="300"/>
      <c r="D114" s="300"/>
      <c r="E114" s="300"/>
      <c r="F114" s="300"/>
      <c r="G114" s="300"/>
      <c r="H114" s="287" t="s">
        <v>109</v>
      </c>
      <c r="I114" s="287" t="s">
        <v>504</v>
      </c>
    </row>
    <row r="115" spans="1:9" ht="20.25" customHeight="1" x14ac:dyDescent="0.35">
      <c r="A115" s="287" t="s">
        <v>2</v>
      </c>
      <c r="B115" s="287" t="s">
        <v>3</v>
      </c>
      <c r="C115" s="298" t="s">
        <v>4</v>
      </c>
      <c r="D115" s="287" t="s">
        <v>5</v>
      </c>
      <c r="E115" s="287"/>
      <c r="F115" s="287" t="s">
        <v>6</v>
      </c>
      <c r="G115" s="287"/>
      <c r="H115" s="287"/>
      <c r="I115" s="287"/>
    </row>
    <row r="116" spans="1:9" ht="20.25" customHeight="1" x14ac:dyDescent="0.35">
      <c r="A116" s="287"/>
      <c r="B116" s="287"/>
      <c r="C116" s="298"/>
      <c r="D116" s="11" t="s">
        <v>9</v>
      </c>
      <c r="E116" s="11" t="s">
        <v>10</v>
      </c>
      <c r="F116" s="11" t="s">
        <v>11</v>
      </c>
      <c r="G116" s="11" t="s">
        <v>12</v>
      </c>
      <c r="H116" s="287"/>
      <c r="I116" s="287"/>
    </row>
    <row r="117" spans="1:9" ht="20.25" customHeight="1" x14ac:dyDescent="0.35">
      <c r="A117" s="4">
        <v>1</v>
      </c>
      <c r="B117" s="4" t="s">
        <v>215</v>
      </c>
      <c r="C117" s="12" t="s">
        <v>512</v>
      </c>
      <c r="D117" s="2">
        <v>0.5</v>
      </c>
      <c r="E117" s="2">
        <v>0.37</v>
      </c>
      <c r="F117" s="2">
        <v>25</v>
      </c>
      <c r="G117" s="2">
        <v>25</v>
      </c>
      <c r="H117" s="13">
        <v>5370</v>
      </c>
      <c r="I117" s="26">
        <f>H117*0.63+380</f>
        <v>3763.1</v>
      </c>
    </row>
    <row r="118" spans="1:9" ht="20.25" customHeight="1" x14ac:dyDescent="0.35">
      <c r="A118" s="4">
        <v>2</v>
      </c>
      <c r="B118" s="4" t="s">
        <v>217</v>
      </c>
      <c r="C118" s="12" t="s">
        <v>513</v>
      </c>
      <c r="D118" s="2">
        <v>1</v>
      </c>
      <c r="E118" s="2">
        <v>0.75</v>
      </c>
      <c r="F118" s="2">
        <v>25</v>
      </c>
      <c r="G118" s="2">
        <v>25</v>
      </c>
      <c r="H118" s="13">
        <v>7070</v>
      </c>
      <c r="I118" s="26">
        <f>H118*0.63+400</f>
        <v>4854.1000000000004</v>
      </c>
    </row>
    <row r="119" spans="1:9" ht="20.25" customHeight="1" x14ac:dyDescent="0.35">
      <c r="A119" s="4">
        <v>3</v>
      </c>
      <c r="B119" s="21" t="s">
        <v>219</v>
      </c>
      <c r="C119" s="22" t="s">
        <v>220</v>
      </c>
      <c r="D119" s="23">
        <v>2</v>
      </c>
      <c r="E119" s="4">
        <v>1.5</v>
      </c>
      <c r="F119" s="4">
        <v>50</v>
      </c>
      <c r="G119" s="4">
        <v>50</v>
      </c>
      <c r="H119" s="4">
        <v>12200</v>
      </c>
      <c r="I119" s="26">
        <f t="shared" ref="I119" si="6">H119*0.615</f>
        <v>7503</v>
      </c>
    </row>
    <row r="120" spans="1:9" ht="20.25" customHeight="1" x14ac:dyDescent="0.35">
      <c r="A120" s="4">
        <v>4</v>
      </c>
      <c r="B120" s="21" t="s">
        <v>221</v>
      </c>
      <c r="C120" s="22" t="s">
        <v>222</v>
      </c>
      <c r="D120" s="23">
        <v>2</v>
      </c>
      <c r="E120" s="4">
        <v>1.5</v>
      </c>
      <c r="F120" s="4">
        <v>50</v>
      </c>
      <c r="G120" s="4">
        <v>50</v>
      </c>
      <c r="H120" s="4">
        <v>12200</v>
      </c>
      <c r="I120" s="26">
        <f>H120*0.63</f>
        <v>7686</v>
      </c>
    </row>
    <row r="121" spans="1:9" ht="20.25" customHeight="1" x14ac:dyDescent="0.35">
      <c r="A121" s="4">
        <v>5</v>
      </c>
      <c r="B121" s="21" t="s">
        <v>223</v>
      </c>
      <c r="C121" s="22" t="s">
        <v>224</v>
      </c>
      <c r="D121" s="23">
        <v>2</v>
      </c>
      <c r="E121" s="4">
        <v>1.5</v>
      </c>
      <c r="F121" s="4">
        <v>65</v>
      </c>
      <c r="G121" s="4">
        <v>50</v>
      </c>
      <c r="H121" s="4">
        <v>12300</v>
      </c>
      <c r="I121" s="26">
        <f t="shared" ref="I121:I128" si="7">H121*0.63</f>
        <v>7749</v>
      </c>
    </row>
    <row r="122" spans="1:9" ht="20.25" customHeight="1" x14ac:dyDescent="0.35">
      <c r="A122" s="4">
        <v>6</v>
      </c>
      <c r="B122" s="21" t="s">
        <v>225</v>
      </c>
      <c r="C122" s="22" t="s">
        <v>226</v>
      </c>
      <c r="D122" s="23">
        <v>2</v>
      </c>
      <c r="E122" s="4">
        <v>1.5</v>
      </c>
      <c r="F122" s="4">
        <v>65</v>
      </c>
      <c r="G122" s="4">
        <v>50</v>
      </c>
      <c r="H122" s="4">
        <v>12300</v>
      </c>
      <c r="I122" s="26">
        <f t="shared" si="7"/>
        <v>7749</v>
      </c>
    </row>
    <row r="123" spans="1:9" ht="20.25" customHeight="1" x14ac:dyDescent="0.35">
      <c r="A123" s="4">
        <v>7</v>
      </c>
      <c r="B123" s="21" t="s">
        <v>227</v>
      </c>
      <c r="C123" s="22" t="s">
        <v>228</v>
      </c>
      <c r="D123" s="21">
        <v>3</v>
      </c>
      <c r="E123" s="4">
        <v>2.25</v>
      </c>
      <c r="F123" s="4">
        <v>65</v>
      </c>
      <c r="G123" s="4">
        <v>50</v>
      </c>
      <c r="H123" s="4">
        <v>12900</v>
      </c>
      <c r="I123" s="26">
        <f t="shared" si="7"/>
        <v>8127</v>
      </c>
    </row>
    <row r="124" spans="1:9" ht="20.25" customHeight="1" x14ac:dyDescent="0.35">
      <c r="A124" s="4">
        <v>8</v>
      </c>
      <c r="B124" s="21" t="s">
        <v>229</v>
      </c>
      <c r="C124" s="24" t="s">
        <v>230</v>
      </c>
      <c r="D124" s="21">
        <v>3</v>
      </c>
      <c r="E124" s="4">
        <v>2.25</v>
      </c>
      <c r="F124" s="4">
        <v>65</v>
      </c>
      <c r="G124" s="4">
        <v>50</v>
      </c>
      <c r="H124" s="4">
        <v>13000</v>
      </c>
      <c r="I124" s="26">
        <f t="shared" si="7"/>
        <v>8190</v>
      </c>
    </row>
    <row r="125" spans="1:9" ht="20.25" customHeight="1" x14ac:dyDescent="0.35">
      <c r="A125" s="4">
        <v>9</v>
      </c>
      <c r="B125" s="21" t="s">
        <v>231</v>
      </c>
      <c r="C125" s="24" t="s">
        <v>232</v>
      </c>
      <c r="D125" s="21">
        <v>3</v>
      </c>
      <c r="E125" s="4">
        <v>2.25</v>
      </c>
      <c r="F125" s="4">
        <v>65</v>
      </c>
      <c r="G125" s="4">
        <v>50</v>
      </c>
      <c r="H125" s="4">
        <v>12900</v>
      </c>
      <c r="I125" s="26">
        <f t="shared" si="7"/>
        <v>8127</v>
      </c>
    </row>
    <row r="126" spans="1:9" ht="20.25" customHeight="1" x14ac:dyDescent="0.35">
      <c r="A126" s="4">
        <v>10</v>
      </c>
      <c r="B126" s="21" t="s">
        <v>233</v>
      </c>
      <c r="C126" s="24" t="s">
        <v>234</v>
      </c>
      <c r="D126" s="21">
        <v>3</v>
      </c>
      <c r="E126" s="4">
        <v>2.25</v>
      </c>
      <c r="F126" s="4">
        <v>65</v>
      </c>
      <c r="G126" s="4">
        <v>50</v>
      </c>
      <c r="H126" s="4">
        <v>19300</v>
      </c>
      <c r="I126" s="26">
        <f t="shared" si="7"/>
        <v>12159</v>
      </c>
    </row>
    <row r="127" spans="1:9" ht="20.25" customHeight="1" x14ac:dyDescent="0.35">
      <c r="A127" s="4">
        <v>11</v>
      </c>
      <c r="B127" s="21" t="s">
        <v>235</v>
      </c>
      <c r="C127" s="24" t="s">
        <v>236</v>
      </c>
      <c r="D127" s="21">
        <v>5</v>
      </c>
      <c r="E127" s="1">
        <v>3.75</v>
      </c>
      <c r="F127" s="4">
        <v>65</v>
      </c>
      <c r="G127" s="4">
        <v>50</v>
      </c>
      <c r="H127" s="4">
        <v>18700</v>
      </c>
      <c r="I127" s="26">
        <f t="shared" si="7"/>
        <v>11781</v>
      </c>
    </row>
    <row r="128" spans="1:9" ht="20.25" customHeight="1" x14ac:dyDescent="0.35">
      <c r="A128" s="4">
        <v>12</v>
      </c>
      <c r="B128" s="21" t="s">
        <v>237</v>
      </c>
      <c r="C128" s="24" t="s">
        <v>238</v>
      </c>
      <c r="D128" s="21">
        <v>5</v>
      </c>
      <c r="E128" s="1">
        <v>3.75</v>
      </c>
      <c r="F128" s="4">
        <v>65</v>
      </c>
      <c r="G128" s="4">
        <v>50</v>
      </c>
      <c r="H128" s="4">
        <v>22900</v>
      </c>
      <c r="I128" s="26">
        <f t="shared" si="7"/>
        <v>14427</v>
      </c>
    </row>
    <row r="129" spans="1:9" ht="20.25" customHeight="1" x14ac:dyDescent="0.35">
      <c r="A129" s="300" t="s">
        <v>239</v>
      </c>
      <c r="B129" s="300"/>
      <c r="C129" s="300"/>
      <c r="D129" s="300"/>
      <c r="E129" s="300"/>
      <c r="F129" s="300"/>
      <c r="G129" s="300"/>
      <c r="H129" s="287" t="s">
        <v>109</v>
      </c>
      <c r="I129" s="287" t="s">
        <v>504</v>
      </c>
    </row>
    <row r="130" spans="1:9" ht="20.25" customHeight="1" x14ac:dyDescent="0.35">
      <c r="A130" s="287" t="s">
        <v>2</v>
      </c>
      <c r="B130" s="287" t="s">
        <v>3</v>
      </c>
      <c r="C130" s="298" t="s">
        <v>4</v>
      </c>
      <c r="D130" s="287" t="s">
        <v>5</v>
      </c>
      <c r="E130" s="287"/>
      <c r="F130" s="287" t="s">
        <v>6</v>
      </c>
      <c r="G130" s="287"/>
      <c r="H130" s="287"/>
      <c r="I130" s="287"/>
    </row>
    <row r="131" spans="1:9" ht="20.25" customHeight="1" x14ac:dyDescent="0.35">
      <c r="A131" s="287"/>
      <c r="B131" s="287"/>
      <c r="C131" s="298"/>
      <c r="D131" s="11" t="s">
        <v>9</v>
      </c>
      <c r="E131" s="11" t="s">
        <v>10</v>
      </c>
      <c r="F131" s="287"/>
      <c r="G131" s="287"/>
      <c r="H131" s="287"/>
      <c r="I131" s="287"/>
    </row>
    <row r="132" spans="1:9" ht="20.25" customHeight="1" x14ac:dyDescent="0.35">
      <c r="A132" s="4">
        <v>1</v>
      </c>
      <c r="B132" s="4" t="s">
        <v>240</v>
      </c>
      <c r="C132" s="25" t="s">
        <v>241</v>
      </c>
      <c r="D132" s="4">
        <v>0.5</v>
      </c>
      <c r="E132" s="4"/>
      <c r="F132" s="292">
        <v>32</v>
      </c>
      <c r="G132" s="292"/>
      <c r="H132" s="4">
        <v>8240</v>
      </c>
      <c r="I132" s="26">
        <f>H132*0.63</f>
        <v>5191.2</v>
      </c>
    </row>
    <row r="133" spans="1:9" ht="20.25" customHeight="1" x14ac:dyDescent="0.35">
      <c r="A133" s="4">
        <v>2</v>
      </c>
      <c r="B133" s="4" t="s">
        <v>242</v>
      </c>
      <c r="C133" s="25" t="s">
        <v>243</v>
      </c>
      <c r="D133" s="4">
        <v>0.5</v>
      </c>
      <c r="E133" s="4"/>
      <c r="F133" s="292">
        <v>32</v>
      </c>
      <c r="G133" s="292"/>
      <c r="H133" s="4">
        <v>8450</v>
      </c>
      <c r="I133" s="26">
        <f t="shared" ref="I133:I154" si="8">H133*0.63</f>
        <v>5323.5</v>
      </c>
    </row>
    <row r="134" spans="1:9" ht="20.25" customHeight="1" x14ac:dyDescent="0.35">
      <c r="A134" s="4">
        <v>3</v>
      </c>
      <c r="B134" s="4" t="s">
        <v>244</v>
      </c>
      <c r="C134" s="25" t="s">
        <v>245</v>
      </c>
      <c r="D134" s="4">
        <v>0.75</v>
      </c>
      <c r="E134" s="4"/>
      <c r="F134" s="292">
        <v>32</v>
      </c>
      <c r="G134" s="292"/>
      <c r="H134" s="4">
        <v>8550</v>
      </c>
      <c r="I134" s="26">
        <f t="shared" si="8"/>
        <v>5386.5</v>
      </c>
    </row>
    <row r="135" spans="1:9" ht="20.25" customHeight="1" x14ac:dyDescent="0.35">
      <c r="A135" s="4">
        <v>4</v>
      </c>
      <c r="B135" s="4" t="s">
        <v>246</v>
      </c>
      <c r="C135" s="25" t="s">
        <v>247</v>
      </c>
      <c r="D135" s="4">
        <v>0.75</v>
      </c>
      <c r="E135" s="4"/>
      <c r="F135" s="292">
        <v>32</v>
      </c>
      <c r="G135" s="292"/>
      <c r="H135" s="4">
        <v>8750</v>
      </c>
      <c r="I135" s="26">
        <f t="shared" si="8"/>
        <v>5512.5</v>
      </c>
    </row>
    <row r="136" spans="1:9" ht="20.25" customHeight="1" x14ac:dyDescent="0.35">
      <c r="A136" s="4">
        <v>5</v>
      </c>
      <c r="B136" s="4" t="s">
        <v>248</v>
      </c>
      <c r="C136" s="25" t="s">
        <v>249</v>
      </c>
      <c r="D136" s="4">
        <v>1</v>
      </c>
      <c r="E136" s="4"/>
      <c r="F136" s="292">
        <v>32</v>
      </c>
      <c r="G136" s="292"/>
      <c r="H136" s="26">
        <v>8800</v>
      </c>
      <c r="I136" s="26">
        <f t="shared" si="8"/>
        <v>5544</v>
      </c>
    </row>
    <row r="137" spans="1:9" ht="20.25" customHeight="1" x14ac:dyDescent="0.35">
      <c r="A137" s="4">
        <v>6</v>
      </c>
      <c r="B137" s="4" t="s">
        <v>250</v>
      </c>
      <c r="C137" s="25" t="s">
        <v>251</v>
      </c>
      <c r="D137" s="4">
        <v>1</v>
      </c>
      <c r="E137" s="4"/>
      <c r="F137" s="292">
        <v>32</v>
      </c>
      <c r="G137" s="292"/>
      <c r="H137" s="26">
        <v>9000</v>
      </c>
      <c r="I137" s="13">
        <f>H137*0.6</f>
        <v>5400</v>
      </c>
    </row>
    <row r="138" spans="1:9" ht="20.25" customHeight="1" x14ac:dyDescent="0.35">
      <c r="A138" s="4">
        <v>7</v>
      </c>
      <c r="B138" s="4" t="s">
        <v>252</v>
      </c>
      <c r="C138" s="25" t="s">
        <v>253</v>
      </c>
      <c r="D138" s="4">
        <v>1</v>
      </c>
      <c r="E138" s="4"/>
      <c r="F138" s="292">
        <v>32</v>
      </c>
      <c r="G138" s="292"/>
      <c r="H138" s="4">
        <v>9480</v>
      </c>
      <c r="I138" s="26">
        <f t="shared" si="8"/>
        <v>5972.4</v>
      </c>
    </row>
    <row r="139" spans="1:9" ht="20.25" customHeight="1" x14ac:dyDescent="0.35">
      <c r="A139" s="4">
        <v>8</v>
      </c>
      <c r="B139" s="4" t="s">
        <v>254</v>
      </c>
      <c r="C139" s="25" t="s">
        <v>255</v>
      </c>
      <c r="D139" s="4">
        <v>1</v>
      </c>
      <c r="E139" s="4"/>
      <c r="F139" s="292">
        <v>32</v>
      </c>
      <c r="G139" s="292"/>
      <c r="H139" s="4">
        <v>9790</v>
      </c>
      <c r="I139" s="26">
        <f t="shared" si="8"/>
        <v>6167.7</v>
      </c>
    </row>
    <row r="140" spans="1:9" ht="20.25" customHeight="1" x14ac:dyDescent="0.35">
      <c r="A140" s="4">
        <v>9</v>
      </c>
      <c r="B140" s="4" t="s">
        <v>256</v>
      </c>
      <c r="C140" s="25" t="s">
        <v>257</v>
      </c>
      <c r="D140" s="4">
        <v>1.5</v>
      </c>
      <c r="E140" s="4"/>
      <c r="F140" s="292">
        <v>32</v>
      </c>
      <c r="G140" s="292"/>
      <c r="H140" s="4">
        <v>11330</v>
      </c>
      <c r="I140" s="26">
        <f t="shared" si="8"/>
        <v>7137.9</v>
      </c>
    </row>
    <row r="141" spans="1:9" ht="20.25" customHeight="1" x14ac:dyDescent="0.35">
      <c r="A141" s="4">
        <v>10</v>
      </c>
      <c r="B141" s="4" t="s">
        <v>258</v>
      </c>
      <c r="C141" s="25" t="s">
        <v>259</v>
      </c>
      <c r="D141" s="4">
        <v>1.5</v>
      </c>
      <c r="E141" s="4"/>
      <c r="F141" s="292">
        <v>32</v>
      </c>
      <c r="G141" s="292"/>
      <c r="H141" s="4">
        <v>11640</v>
      </c>
      <c r="I141" s="13">
        <f>H141*0.6</f>
        <v>6984</v>
      </c>
    </row>
    <row r="142" spans="1:9" ht="20.25" customHeight="1" x14ac:dyDescent="0.35">
      <c r="A142" s="4">
        <v>11</v>
      </c>
      <c r="B142" s="4" t="s">
        <v>260</v>
      </c>
      <c r="C142" s="25" t="s">
        <v>261</v>
      </c>
      <c r="D142" s="4">
        <v>1.5</v>
      </c>
      <c r="E142" s="4"/>
      <c r="F142" s="292">
        <v>32</v>
      </c>
      <c r="G142" s="292"/>
      <c r="H142" s="4">
        <v>11800</v>
      </c>
      <c r="I142" s="26">
        <f t="shared" si="8"/>
        <v>7434</v>
      </c>
    </row>
    <row r="143" spans="1:9" ht="20.25" customHeight="1" x14ac:dyDescent="0.35">
      <c r="A143" s="4">
        <v>12</v>
      </c>
      <c r="B143" s="4" t="s">
        <v>262</v>
      </c>
      <c r="C143" s="25" t="s">
        <v>263</v>
      </c>
      <c r="D143" s="4">
        <v>1.5</v>
      </c>
      <c r="E143" s="4"/>
      <c r="F143" s="292">
        <v>32</v>
      </c>
      <c r="G143" s="292"/>
      <c r="H143" s="4">
        <v>12670</v>
      </c>
      <c r="I143" s="26">
        <f t="shared" si="8"/>
        <v>7982.1</v>
      </c>
    </row>
    <row r="144" spans="1:9" ht="20.25" customHeight="1" x14ac:dyDescent="0.35">
      <c r="A144" s="4">
        <v>13</v>
      </c>
      <c r="B144" s="4" t="s">
        <v>270</v>
      </c>
      <c r="C144" s="25" t="s">
        <v>265</v>
      </c>
      <c r="D144" s="4">
        <v>2</v>
      </c>
      <c r="E144" s="4"/>
      <c r="F144" s="292">
        <v>40</v>
      </c>
      <c r="G144" s="292"/>
      <c r="H144" s="4">
        <v>14730</v>
      </c>
      <c r="I144" s="26">
        <f t="shared" si="8"/>
        <v>9279.9</v>
      </c>
    </row>
    <row r="145" spans="1:9" ht="20.25" customHeight="1" x14ac:dyDescent="0.35">
      <c r="A145" s="4">
        <v>14</v>
      </c>
      <c r="B145" s="4" t="s">
        <v>266</v>
      </c>
      <c r="C145" s="25" t="s">
        <v>267</v>
      </c>
      <c r="D145" s="4">
        <v>2</v>
      </c>
      <c r="E145" s="4"/>
      <c r="F145" s="292">
        <v>32</v>
      </c>
      <c r="G145" s="292"/>
      <c r="H145" s="4">
        <v>15250</v>
      </c>
      <c r="I145" s="13">
        <f>H145*0.6</f>
        <v>9150</v>
      </c>
    </row>
    <row r="146" spans="1:9" ht="20.25" customHeight="1" x14ac:dyDescent="0.35">
      <c r="A146" s="4">
        <v>15</v>
      </c>
      <c r="B146" s="4" t="s">
        <v>268</v>
      </c>
      <c r="C146" s="25" t="s">
        <v>269</v>
      </c>
      <c r="D146" s="4">
        <v>2</v>
      </c>
      <c r="E146" s="4"/>
      <c r="F146" s="292">
        <v>32</v>
      </c>
      <c r="G146" s="292"/>
      <c r="H146" s="4">
        <v>15860</v>
      </c>
      <c r="I146" s="26">
        <f t="shared" si="8"/>
        <v>9991.7999999999993</v>
      </c>
    </row>
    <row r="147" spans="1:9" ht="20.25" customHeight="1" x14ac:dyDescent="0.35">
      <c r="A147" s="4">
        <v>16</v>
      </c>
      <c r="B147" s="4" t="s">
        <v>270</v>
      </c>
      <c r="C147" s="25" t="s">
        <v>271</v>
      </c>
      <c r="D147" s="4">
        <v>2</v>
      </c>
      <c r="E147" s="4"/>
      <c r="F147" s="292">
        <v>32</v>
      </c>
      <c r="G147" s="292"/>
      <c r="H147" s="4">
        <v>15970</v>
      </c>
      <c r="I147" s="13">
        <f>H147*0.6</f>
        <v>9582</v>
      </c>
    </row>
    <row r="148" spans="1:9" ht="20.25" customHeight="1" x14ac:dyDescent="0.35">
      <c r="A148" s="4">
        <v>17</v>
      </c>
      <c r="B148" s="4" t="s">
        <v>272</v>
      </c>
      <c r="C148" s="25" t="s">
        <v>273</v>
      </c>
      <c r="D148" s="4">
        <v>2</v>
      </c>
      <c r="E148" s="4"/>
      <c r="F148" s="292">
        <v>32</v>
      </c>
      <c r="G148" s="292"/>
      <c r="H148" s="4">
        <v>16480</v>
      </c>
      <c r="I148" s="26">
        <f t="shared" si="8"/>
        <v>10382.4</v>
      </c>
    </row>
    <row r="149" spans="1:9" ht="20.25" customHeight="1" x14ac:dyDescent="0.35">
      <c r="A149" s="4">
        <v>18</v>
      </c>
      <c r="B149" s="4" t="s">
        <v>274</v>
      </c>
      <c r="C149" s="25" t="s">
        <v>275</v>
      </c>
      <c r="D149" s="4">
        <v>2</v>
      </c>
      <c r="E149" s="4"/>
      <c r="F149" s="292">
        <v>65</v>
      </c>
      <c r="G149" s="292"/>
      <c r="H149" s="4">
        <v>14940</v>
      </c>
      <c r="I149" s="26">
        <f t="shared" si="8"/>
        <v>9412.2000000000007</v>
      </c>
    </row>
    <row r="150" spans="1:9" ht="20.25" customHeight="1" x14ac:dyDescent="0.35">
      <c r="A150" s="4">
        <v>19</v>
      </c>
      <c r="B150" s="4" t="s">
        <v>276</v>
      </c>
      <c r="C150" s="25" t="s">
        <v>277</v>
      </c>
      <c r="D150" s="4">
        <v>3</v>
      </c>
      <c r="E150" s="4"/>
      <c r="F150" s="292">
        <v>32</v>
      </c>
      <c r="G150" s="292"/>
      <c r="H150" s="4">
        <v>23500</v>
      </c>
      <c r="I150" s="26">
        <f t="shared" si="8"/>
        <v>14805</v>
      </c>
    </row>
    <row r="151" spans="1:9" ht="20.25" customHeight="1" x14ac:dyDescent="0.35">
      <c r="A151" s="4">
        <v>20</v>
      </c>
      <c r="B151" s="4" t="s">
        <v>278</v>
      </c>
      <c r="C151" s="25" t="s">
        <v>279</v>
      </c>
      <c r="D151" s="4">
        <v>3</v>
      </c>
      <c r="E151" s="4"/>
      <c r="F151" s="292">
        <v>32</v>
      </c>
      <c r="G151" s="292"/>
      <c r="H151" s="4">
        <v>24000</v>
      </c>
      <c r="I151" s="26">
        <f t="shared" si="8"/>
        <v>15120</v>
      </c>
    </row>
    <row r="152" spans="1:9" ht="20.25" customHeight="1" x14ac:dyDescent="0.35">
      <c r="A152" s="4">
        <v>21</v>
      </c>
      <c r="B152" s="4" t="s">
        <v>280</v>
      </c>
      <c r="C152" s="25" t="s">
        <v>281</v>
      </c>
      <c r="D152" s="4">
        <v>3</v>
      </c>
      <c r="E152" s="4"/>
      <c r="F152" s="292">
        <v>32</v>
      </c>
      <c r="G152" s="292"/>
      <c r="H152" s="4">
        <v>24500</v>
      </c>
      <c r="I152" s="26">
        <f t="shared" si="8"/>
        <v>15435</v>
      </c>
    </row>
    <row r="153" spans="1:9" ht="20.25" customHeight="1" x14ac:dyDescent="0.35">
      <c r="A153" s="4">
        <v>22</v>
      </c>
      <c r="B153" s="4" t="s">
        <v>282</v>
      </c>
      <c r="C153" s="25" t="s">
        <v>283</v>
      </c>
      <c r="D153" s="4">
        <v>3</v>
      </c>
      <c r="E153" s="4"/>
      <c r="F153" s="292">
        <v>65</v>
      </c>
      <c r="G153" s="292"/>
      <c r="H153" s="4">
        <v>23690</v>
      </c>
      <c r="I153" s="26">
        <f t="shared" si="8"/>
        <v>14924.7</v>
      </c>
    </row>
    <row r="154" spans="1:9" ht="20.25" customHeight="1" x14ac:dyDescent="0.35">
      <c r="A154" s="4">
        <v>23</v>
      </c>
      <c r="B154" s="4" t="s">
        <v>284</v>
      </c>
      <c r="C154" s="25" t="s">
        <v>283</v>
      </c>
      <c r="D154" s="4">
        <v>3</v>
      </c>
      <c r="E154" s="4"/>
      <c r="F154" s="292">
        <v>65</v>
      </c>
      <c r="G154" s="292"/>
      <c r="H154" s="4">
        <v>15450</v>
      </c>
      <c r="I154" s="26">
        <f t="shared" si="8"/>
        <v>9733.5</v>
      </c>
    </row>
    <row r="155" spans="1:9" ht="20.25" customHeight="1" x14ac:dyDescent="0.35">
      <c r="A155" s="300" t="s">
        <v>285</v>
      </c>
      <c r="B155" s="300"/>
      <c r="C155" s="300"/>
      <c r="D155" s="300"/>
      <c r="E155" s="300"/>
      <c r="F155" s="300"/>
      <c r="G155" s="300"/>
      <c r="H155" s="287" t="s">
        <v>109</v>
      </c>
      <c r="I155" s="287" t="s">
        <v>504</v>
      </c>
    </row>
    <row r="156" spans="1:9" ht="20.25" customHeight="1" x14ac:dyDescent="0.35">
      <c r="A156" s="287" t="s">
        <v>2</v>
      </c>
      <c r="B156" s="287" t="s">
        <v>3</v>
      </c>
      <c r="C156" s="298" t="s">
        <v>4</v>
      </c>
      <c r="D156" s="287" t="s">
        <v>5</v>
      </c>
      <c r="E156" s="287"/>
      <c r="F156" s="287" t="s">
        <v>6</v>
      </c>
      <c r="G156" s="287"/>
      <c r="H156" s="287"/>
      <c r="I156" s="287"/>
    </row>
    <row r="157" spans="1:9" ht="20.25" customHeight="1" x14ac:dyDescent="0.35">
      <c r="A157" s="287"/>
      <c r="B157" s="287"/>
      <c r="C157" s="298"/>
      <c r="D157" s="11" t="s">
        <v>9</v>
      </c>
      <c r="E157" s="11" t="s">
        <v>10</v>
      </c>
      <c r="F157" s="11" t="s">
        <v>11</v>
      </c>
      <c r="G157" s="11" t="s">
        <v>12</v>
      </c>
      <c r="H157" s="287"/>
      <c r="I157" s="287"/>
    </row>
    <row r="158" spans="1:9" ht="20.25" customHeight="1" x14ac:dyDescent="0.35">
      <c r="A158" s="4">
        <v>1</v>
      </c>
      <c r="B158" s="4" t="s">
        <v>286</v>
      </c>
      <c r="C158" s="25" t="s">
        <v>287</v>
      </c>
      <c r="D158" s="4">
        <v>0.5</v>
      </c>
      <c r="E158" s="4"/>
      <c r="F158" s="292">
        <v>32</v>
      </c>
      <c r="G158" s="292"/>
      <c r="H158" s="4">
        <v>6800</v>
      </c>
      <c r="I158" s="26">
        <f t="shared" ref="I158:I172" si="9">H158*0.63</f>
        <v>4284</v>
      </c>
    </row>
    <row r="159" spans="1:9" ht="20.25" customHeight="1" x14ac:dyDescent="0.35">
      <c r="A159" s="4">
        <v>2</v>
      </c>
      <c r="B159" s="4" t="s">
        <v>288</v>
      </c>
      <c r="C159" s="25" t="s">
        <v>289</v>
      </c>
      <c r="D159" s="4">
        <v>0.5</v>
      </c>
      <c r="E159" s="4"/>
      <c r="F159" s="292">
        <v>32</v>
      </c>
      <c r="G159" s="292"/>
      <c r="H159" s="4">
        <v>7600</v>
      </c>
      <c r="I159" s="26">
        <f t="shared" si="9"/>
        <v>4788</v>
      </c>
    </row>
    <row r="160" spans="1:9" ht="20.25" customHeight="1" x14ac:dyDescent="0.35">
      <c r="A160" s="4">
        <v>3</v>
      </c>
      <c r="B160" s="4" t="s">
        <v>290</v>
      </c>
      <c r="C160" s="25" t="s">
        <v>291</v>
      </c>
      <c r="D160" s="4">
        <v>0.75</v>
      </c>
      <c r="E160" s="4"/>
      <c r="F160" s="292">
        <v>32</v>
      </c>
      <c r="G160" s="292"/>
      <c r="H160" s="4">
        <v>7800</v>
      </c>
      <c r="I160" s="26">
        <f t="shared" si="9"/>
        <v>4914</v>
      </c>
    </row>
    <row r="161" spans="1:9" ht="20.25" customHeight="1" x14ac:dyDescent="0.35">
      <c r="A161" s="4">
        <v>4</v>
      </c>
      <c r="B161" s="4" t="s">
        <v>292</v>
      </c>
      <c r="C161" s="25" t="s">
        <v>293</v>
      </c>
      <c r="D161" s="4">
        <v>0.75</v>
      </c>
      <c r="E161" s="4"/>
      <c r="F161" s="292">
        <v>32</v>
      </c>
      <c r="G161" s="292"/>
      <c r="H161" s="4">
        <v>8000</v>
      </c>
      <c r="I161" s="26">
        <f t="shared" si="9"/>
        <v>5040</v>
      </c>
    </row>
    <row r="162" spans="1:9" ht="20.25" customHeight="1" x14ac:dyDescent="0.35">
      <c r="A162" s="4">
        <v>5</v>
      </c>
      <c r="B162" s="4" t="s">
        <v>294</v>
      </c>
      <c r="C162" s="25" t="s">
        <v>295</v>
      </c>
      <c r="D162" s="4">
        <v>1</v>
      </c>
      <c r="E162" s="4"/>
      <c r="F162" s="292">
        <v>32</v>
      </c>
      <c r="G162" s="292"/>
      <c r="H162" s="4">
        <v>8200</v>
      </c>
      <c r="I162" s="26">
        <f t="shared" si="9"/>
        <v>5166</v>
      </c>
    </row>
    <row r="163" spans="1:9" ht="20.25" customHeight="1" x14ac:dyDescent="0.35">
      <c r="A163" s="4">
        <v>6</v>
      </c>
      <c r="B163" s="4" t="s">
        <v>296</v>
      </c>
      <c r="C163" s="25" t="s">
        <v>297</v>
      </c>
      <c r="D163" s="4">
        <v>1</v>
      </c>
      <c r="E163" s="4"/>
      <c r="F163" s="292">
        <v>32</v>
      </c>
      <c r="G163" s="292"/>
      <c r="H163" s="4">
        <v>8400</v>
      </c>
      <c r="I163" s="26">
        <f t="shared" si="9"/>
        <v>5292</v>
      </c>
    </row>
    <row r="164" spans="1:9" ht="20.25" customHeight="1" x14ac:dyDescent="0.35">
      <c r="A164" s="4">
        <v>7</v>
      </c>
      <c r="B164" s="4" t="s">
        <v>298</v>
      </c>
      <c r="C164" s="25" t="s">
        <v>299</v>
      </c>
      <c r="D164" s="4">
        <v>1</v>
      </c>
      <c r="E164" s="4"/>
      <c r="F164" s="292">
        <v>32</v>
      </c>
      <c r="G164" s="292"/>
      <c r="H164" s="4">
        <v>8600</v>
      </c>
      <c r="I164" s="26">
        <f t="shared" si="9"/>
        <v>5418</v>
      </c>
    </row>
    <row r="165" spans="1:9" ht="20.25" customHeight="1" x14ac:dyDescent="0.35">
      <c r="A165" s="4">
        <v>8</v>
      </c>
      <c r="B165" s="4" t="s">
        <v>300</v>
      </c>
      <c r="C165" s="25" t="s">
        <v>301</v>
      </c>
      <c r="D165" s="4">
        <v>1.5</v>
      </c>
      <c r="E165" s="4"/>
      <c r="F165" s="292">
        <v>32</v>
      </c>
      <c r="G165" s="292"/>
      <c r="H165" s="4">
        <v>9000</v>
      </c>
      <c r="I165" s="26">
        <f t="shared" si="9"/>
        <v>5670</v>
      </c>
    </row>
    <row r="166" spans="1:9" ht="20.25" customHeight="1" x14ac:dyDescent="0.35">
      <c r="A166" s="4">
        <v>9</v>
      </c>
      <c r="B166" s="4" t="s">
        <v>302</v>
      </c>
      <c r="C166" s="25" t="s">
        <v>303</v>
      </c>
      <c r="D166" s="4">
        <v>1.5</v>
      </c>
      <c r="E166" s="4"/>
      <c r="F166" s="292">
        <v>32</v>
      </c>
      <c r="G166" s="292"/>
      <c r="H166" s="4">
        <v>10600</v>
      </c>
      <c r="I166" s="26">
        <f t="shared" si="9"/>
        <v>6678</v>
      </c>
    </row>
    <row r="167" spans="1:9" ht="20.25" customHeight="1" x14ac:dyDescent="0.35">
      <c r="A167" s="4">
        <v>10</v>
      </c>
      <c r="B167" s="4" t="s">
        <v>304</v>
      </c>
      <c r="C167" s="25" t="s">
        <v>305</v>
      </c>
      <c r="D167" s="4">
        <v>1.5</v>
      </c>
      <c r="E167" s="4"/>
      <c r="F167" s="292">
        <v>32</v>
      </c>
      <c r="G167" s="292"/>
      <c r="H167" s="4">
        <v>11000</v>
      </c>
      <c r="I167" s="26">
        <f t="shared" si="9"/>
        <v>6930</v>
      </c>
    </row>
    <row r="168" spans="1:9" ht="20.25" customHeight="1" x14ac:dyDescent="0.35">
      <c r="A168" s="4">
        <v>11</v>
      </c>
      <c r="B168" s="4" t="s">
        <v>306</v>
      </c>
      <c r="C168" s="25" t="s">
        <v>307</v>
      </c>
      <c r="D168" s="4">
        <v>2</v>
      </c>
      <c r="E168" s="4"/>
      <c r="F168" s="292">
        <v>32</v>
      </c>
      <c r="G168" s="292"/>
      <c r="H168" s="4">
        <v>13000</v>
      </c>
      <c r="I168" s="26">
        <f t="shared" si="9"/>
        <v>8190</v>
      </c>
    </row>
    <row r="169" spans="1:9" ht="20.25" customHeight="1" x14ac:dyDescent="0.35">
      <c r="A169" s="4">
        <v>12</v>
      </c>
      <c r="B169" s="4" t="s">
        <v>308</v>
      </c>
      <c r="C169" s="25" t="s">
        <v>309</v>
      </c>
      <c r="D169" s="4">
        <v>2</v>
      </c>
      <c r="E169" s="4"/>
      <c r="F169" s="292">
        <v>32</v>
      </c>
      <c r="G169" s="292"/>
      <c r="H169" s="4">
        <v>15500</v>
      </c>
      <c r="I169" s="26">
        <f t="shared" si="9"/>
        <v>9765</v>
      </c>
    </row>
    <row r="170" spans="1:9" ht="20.25" customHeight="1" x14ac:dyDescent="0.35">
      <c r="A170" s="4">
        <v>13</v>
      </c>
      <c r="B170" s="4" t="s">
        <v>310</v>
      </c>
      <c r="C170" s="25" t="s">
        <v>311</v>
      </c>
      <c r="D170" s="4">
        <v>3</v>
      </c>
      <c r="E170" s="4"/>
      <c r="F170" s="292">
        <v>32</v>
      </c>
      <c r="G170" s="292"/>
      <c r="H170" s="4">
        <v>19000</v>
      </c>
      <c r="I170" s="26">
        <f t="shared" si="9"/>
        <v>11970</v>
      </c>
    </row>
    <row r="171" spans="1:9" ht="20.25" customHeight="1" x14ac:dyDescent="0.35">
      <c r="A171" s="4">
        <v>14</v>
      </c>
      <c r="B171" s="4" t="s">
        <v>312</v>
      </c>
      <c r="C171" s="25" t="s">
        <v>313</v>
      </c>
      <c r="D171" s="4">
        <v>3</v>
      </c>
      <c r="E171" s="4"/>
      <c r="F171" s="292">
        <v>32</v>
      </c>
      <c r="G171" s="292"/>
      <c r="H171" s="4">
        <v>20000</v>
      </c>
      <c r="I171" s="26">
        <f t="shared" si="9"/>
        <v>12600</v>
      </c>
    </row>
    <row r="172" spans="1:9" ht="20.25" customHeight="1" x14ac:dyDescent="0.35">
      <c r="A172" s="4">
        <v>15</v>
      </c>
      <c r="B172" s="4" t="s">
        <v>314</v>
      </c>
      <c r="C172" s="25" t="s">
        <v>315</v>
      </c>
      <c r="D172" s="4">
        <v>3</v>
      </c>
      <c r="E172" s="4"/>
      <c r="F172" s="292">
        <v>32</v>
      </c>
      <c r="G172" s="292"/>
      <c r="H172" s="4">
        <v>20500</v>
      </c>
      <c r="I172" s="26">
        <f t="shared" si="9"/>
        <v>12915</v>
      </c>
    </row>
  </sheetData>
  <mergeCells count="95">
    <mergeCell ref="A1:I3"/>
    <mergeCell ref="A4:I4"/>
    <mergeCell ref="A5:A6"/>
    <mergeCell ref="B5:B6"/>
    <mergeCell ref="C5:C6"/>
    <mergeCell ref="D5:E5"/>
    <mergeCell ref="F5:G5"/>
    <mergeCell ref="H5:H6"/>
    <mergeCell ref="I5:I6"/>
    <mergeCell ref="A55:G55"/>
    <mergeCell ref="H55:H57"/>
    <mergeCell ref="I55:I57"/>
    <mergeCell ref="A56:A57"/>
    <mergeCell ref="B56:B57"/>
    <mergeCell ref="C56:C57"/>
    <mergeCell ref="D56:E56"/>
    <mergeCell ref="F56:G56"/>
    <mergeCell ref="D58:D59"/>
    <mergeCell ref="E58:E59"/>
    <mergeCell ref="D61:D66"/>
    <mergeCell ref="E61:E66"/>
    <mergeCell ref="D67:D73"/>
    <mergeCell ref="E67:E73"/>
    <mergeCell ref="D74:D91"/>
    <mergeCell ref="E74:E91"/>
    <mergeCell ref="D92:D103"/>
    <mergeCell ref="E92:E103"/>
    <mergeCell ref="D104:D106"/>
    <mergeCell ref="E104:E106"/>
    <mergeCell ref="D108:D109"/>
    <mergeCell ref="E108:E109"/>
    <mergeCell ref="D110:D113"/>
    <mergeCell ref="E110:E113"/>
    <mergeCell ref="A114:G114"/>
    <mergeCell ref="I114:I116"/>
    <mergeCell ref="A115:A116"/>
    <mergeCell ref="B115:B116"/>
    <mergeCell ref="C115:C116"/>
    <mergeCell ref="D115:E115"/>
    <mergeCell ref="F115:G115"/>
    <mergeCell ref="H114:H116"/>
    <mergeCell ref="F137:G137"/>
    <mergeCell ref="A129:G129"/>
    <mergeCell ref="H129:H131"/>
    <mergeCell ref="I129:I131"/>
    <mergeCell ref="A130:A131"/>
    <mergeCell ref="B130:B131"/>
    <mergeCell ref="C130:C131"/>
    <mergeCell ref="D130:E130"/>
    <mergeCell ref="F130:G131"/>
    <mergeCell ref="F132:G132"/>
    <mergeCell ref="F133:G133"/>
    <mergeCell ref="F134:G134"/>
    <mergeCell ref="F135:G135"/>
    <mergeCell ref="F136:G136"/>
    <mergeCell ref="F149:G149"/>
    <mergeCell ref="F138:G138"/>
    <mergeCell ref="F139:G139"/>
    <mergeCell ref="F140:G140"/>
    <mergeCell ref="F141:G141"/>
    <mergeCell ref="F142:G142"/>
    <mergeCell ref="F143:G143"/>
    <mergeCell ref="F144:G144"/>
    <mergeCell ref="F145:G145"/>
    <mergeCell ref="F146:G146"/>
    <mergeCell ref="F147:G147"/>
    <mergeCell ref="F148:G148"/>
    <mergeCell ref="F150:G150"/>
    <mergeCell ref="F151:G151"/>
    <mergeCell ref="F152:G152"/>
    <mergeCell ref="F153:G153"/>
    <mergeCell ref="F154:G154"/>
    <mergeCell ref="F163:G163"/>
    <mergeCell ref="H155:H157"/>
    <mergeCell ref="I155:I157"/>
    <mergeCell ref="A156:A157"/>
    <mergeCell ref="B156:B157"/>
    <mergeCell ref="C156:C157"/>
    <mergeCell ref="D156:E156"/>
    <mergeCell ref="F156:G156"/>
    <mergeCell ref="A155:G155"/>
    <mergeCell ref="F158:G158"/>
    <mergeCell ref="F159:G159"/>
    <mergeCell ref="F160:G160"/>
    <mergeCell ref="F161:G161"/>
    <mergeCell ref="F162:G162"/>
    <mergeCell ref="F170:G170"/>
    <mergeCell ref="F171:G171"/>
    <mergeCell ref="F172:G172"/>
    <mergeCell ref="F164:G164"/>
    <mergeCell ref="F165:G165"/>
    <mergeCell ref="F166:G166"/>
    <mergeCell ref="F167:G167"/>
    <mergeCell ref="F168:G168"/>
    <mergeCell ref="F169:G169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9" tint="-0.249977111117893"/>
  </sheetPr>
  <dimension ref="A1:I172"/>
  <sheetViews>
    <sheetView workbookViewId="0">
      <selection activeCell="M7" sqref="M7"/>
    </sheetView>
  </sheetViews>
  <sheetFormatPr defaultRowHeight="17.25" customHeight="1" x14ac:dyDescent="0.35"/>
  <cols>
    <col min="2" max="2" width="13.81640625" customWidth="1"/>
    <col min="3" max="3" width="17.7265625" customWidth="1"/>
  </cols>
  <sheetData>
    <row r="1" spans="1:9" ht="17.25" customHeight="1" x14ac:dyDescent="0.35">
      <c r="A1" s="318" t="s">
        <v>0</v>
      </c>
      <c r="B1" s="318"/>
      <c r="C1" s="318"/>
      <c r="D1" s="318"/>
      <c r="E1" s="318"/>
      <c r="F1" s="318"/>
      <c r="G1" s="318"/>
      <c r="H1" s="318"/>
      <c r="I1" s="318"/>
    </row>
    <row r="2" spans="1:9" ht="17.25" customHeight="1" x14ac:dyDescent="0.35">
      <c r="A2" s="318"/>
      <c r="B2" s="318"/>
      <c r="C2" s="318"/>
      <c r="D2" s="318"/>
      <c r="E2" s="318"/>
      <c r="F2" s="318"/>
      <c r="G2" s="318"/>
      <c r="H2" s="318"/>
      <c r="I2" s="318"/>
    </row>
    <row r="3" spans="1:9" ht="17.25" customHeight="1" x14ac:dyDescent="0.35">
      <c r="A3" s="318"/>
      <c r="B3" s="318"/>
      <c r="C3" s="318"/>
      <c r="D3" s="318"/>
      <c r="E3" s="318"/>
      <c r="F3" s="318"/>
      <c r="G3" s="318"/>
      <c r="H3" s="318"/>
      <c r="I3" s="318"/>
    </row>
    <row r="4" spans="1:9" ht="29.25" customHeight="1" x14ac:dyDescent="0.35">
      <c r="A4" s="319" t="s">
        <v>538</v>
      </c>
      <c r="B4" s="319"/>
      <c r="C4" s="319"/>
      <c r="D4" s="319"/>
      <c r="E4" s="319"/>
      <c r="F4" s="319"/>
      <c r="G4" s="319"/>
      <c r="H4" s="319"/>
      <c r="I4" s="319"/>
    </row>
    <row r="5" spans="1:9" ht="17.25" customHeight="1" x14ac:dyDescent="0.35">
      <c r="A5" s="287" t="s">
        <v>2</v>
      </c>
      <c r="B5" s="287" t="s">
        <v>3</v>
      </c>
      <c r="C5" s="287" t="s">
        <v>4</v>
      </c>
      <c r="D5" s="287" t="s">
        <v>5</v>
      </c>
      <c r="E5" s="287"/>
      <c r="F5" s="287" t="s">
        <v>6</v>
      </c>
      <c r="G5" s="287"/>
      <c r="H5" s="305" t="s">
        <v>7</v>
      </c>
      <c r="I5" s="315" t="s">
        <v>504</v>
      </c>
    </row>
    <row r="6" spans="1:9" ht="17.25" customHeight="1" x14ac:dyDescent="0.35">
      <c r="A6" s="287"/>
      <c r="B6" s="287"/>
      <c r="C6" s="287"/>
      <c r="D6" s="11" t="s">
        <v>9</v>
      </c>
      <c r="E6" s="11" t="s">
        <v>10</v>
      </c>
      <c r="F6" s="11" t="s">
        <v>11</v>
      </c>
      <c r="G6" s="11" t="s">
        <v>12</v>
      </c>
      <c r="H6" s="305"/>
      <c r="I6" s="315"/>
    </row>
    <row r="7" spans="1:9" ht="17.25" customHeight="1" x14ac:dyDescent="0.35">
      <c r="A7" s="6">
        <v>1</v>
      </c>
      <c r="B7" s="4" t="s">
        <v>13</v>
      </c>
      <c r="C7" s="12" t="s">
        <v>14</v>
      </c>
      <c r="D7" s="2">
        <v>0.5</v>
      </c>
      <c r="E7" s="2">
        <v>0.37</v>
      </c>
      <c r="F7" s="2">
        <v>25</v>
      </c>
      <c r="G7" s="2">
        <v>25</v>
      </c>
      <c r="H7" s="13">
        <v>2640</v>
      </c>
      <c r="I7" s="96">
        <f>H7*0.63</f>
        <v>1663.2</v>
      </c>
    </row>
    <row r="8" spans="1:9" ht="17.25" customHeight="1" x14ac:dyDescent="0.35">
      <c r="A8" s="6">
        <v>2</v>
      </c>
      <c r="B8" s="4" t="s">
        <v>15</v>
      </c>
      <c r="C8" s="12" t="s">
        <v>16</v>
      </c>
      <c r="D8" s="2">
        <v>1</v>
      </c>
      <c r="E8" s="2">
        <v>0.75</v>
      </c>
      <c r="F8" s="2">
        <v>25</v>
      </c>
      <c r="G8" s="2">
        <v>25</v>
      </c>
      <c r="H8" s="13">
        <v>3420</v>
      </c>
      <c r="I8" s="96">
        <f>H8*0.63</f>
        <v>2154.6</v>
      </c>
    </row>
    <row r="9" spans="1:9" ht="17.25" customHeight="1" x14ac:dyDescent="0.35">
      <c r="A9" s="4">
        <v>3</v>
      </c>
      <c r="B9" s="4" t="s">
        <v>17</v>
      </c>
      <c r="C9" s="12" t="s">
        <v>18</v>
      </c>
      <c r="D9" s="2">
        <v>0.5</v>
      </c>
      <c r="E9" s="2">
        <v>0.37</v>
      </c>
      <c r="F9" s="2">
        <v>25</v>
      </c>
      <c r="G9" s="2">
        <v>25</v>
      </c>
      <c r="H9" s="13">
        <v>2840</v>
      </c>
      <c r="I9" s="96">
        <f>H9*0.63</f>
        <v>1789.2</v>
      </c>
    </row>
    <row r="10" spans="1:9" ht="17.25" customHeight="1" x14ac:dyDescent="0.35">
      <c r="A10" s="6">
        <v>4</v>
      </c>
      <c r="B10" s="4" t="s">
        <v>19</v>
      </c>
      <c r="C10" s="12" t="s">
        <v>20</v>
      </c>
      <c r="D10" s="2">
        <v>1</v>
      </c>
      <c r="E10" s="2">
        <v>0.75</v>
      </c>
      <c r="F10" s="2">
        <v>25</v>
      </c>
      <c r="G10" s="2">
        <v>25</v>
      </c>
      <c r="H10" s="13">
        <v>3660</v>
      </c>
      <c r="I10" s="96">
        <f>H10*0.63</f>
        <v>2305.8000000000002</v>
      </c>
    </row>
    <row r="11" spans="1:9" ht="17.25" customHeight="1" x14ac:dyDescent="0.35">
      <c r="A11" s="6">
        <v>5</v>
      </c>
      <c r="B11" s="6" t="s">
        <v>21</v>
      </c>
      <c r="C11" s="14" t="s">
        <v>22</v>
      </c>
      <c r="D11" s="2">
        <v>0.5</v>
      </c>
      <c r="E11" s="2">
        <v>0.37</v>
      </c>
      <c r="F11" s="2">
        <v>25</v>
      </c>
      <c r="G11" s="2">
        <v>25</v>
      </c>
      <c r="H11" s="8">
        <v>3160</v>
      </c>
      <c r="I11" s="95">
        <f>H11*0.6</f>
        <v>1896</v>
      </c>
    </row>
    <row r="12" spans="1:9" ht="17.25" customHeight="1" x14ac:dyDescent="0.35">
      <c r="A12" s="6">
        <v>6</v>
      </c>
      <c r="B12" s="6" t="s">
        <v>23</v>
      </c>
      <c r="C12" s="14" t="s">
        <v>24</v>
      </c>
      <c r="D12" s="2">
        <v>1</v>
      </c>
      <c r="E12" s="2">
        <v>0.75</v>
      </c>
      <c r="F12" s="2">
        <v>25</v>
      </c>
      <c r="G12" s="2">
        <v>25</v>
      </c>
      <c r="H12" s="8">
        <v>4120</v>
      </c>
      <c r="I12" s="95">
        <f t="shared" ref="I12:I25" si="0">H12*0.6</f>
        <v>2472</v>
      </c>
    </row>
    <row r="13" spans="1:9" ht="17.25" customHeight="1" x14ac:dyDescent="0.35">
      <c r="A13" s="4">
        <v>7</v>
      </c>
      <c r="B13" s="4" t="s">
        <v>25</v>
      </c>
      <c r="C13" s="12" t="s">
        <v>26</v>
      </c>
      <c r="D13" s="2">
        <v>1.5</v>
      </c>
      <c r="E13" s="2">
        <v>1</v>
      </c>
      <c r="F13" s="2">
        <v>25</v>
      </c>
      <c r="G13" s="2">
        <v>25</v>
      </c>
      <c r="H13" s="8">
        <v>5750</v>
      </c>
      <c r="I13" s="95">
        <f t="shared" si="0"/>
        <v>3450</v>
      </c>
    </row>
    <row r="14" spans="1:9" ht="17.25" customHeight="1" x14ac:dyDescent="0.35">
      <c r="A14" s="6">
        <v>8</v>
      </c>
      <c r="B14" s="6" t="s">
        <v>27</v>
      </c>
      <c r="C14" s="14" t="s">
        <v>28</v>
      </c>
      <c r="D14" s="2">
        <v>0.5</v>
      </c>
      <c r="E14" s="2">
        <v>0.37</v>
      </c>
      <c r="F14" s="2">
        <v>25</v>
      </c>
      <c r="G14" s="2">
        <v>25</v>
      </c>
      <c r="H14" s="8">
        <v>3520</v>
      </c>
      <c r="I14" s="95">
        <f t="shared" si="0"/>
        <v>2112</v>
      </c>
    </row>
    <row r="15" spans="1:9" ht="17.25" customHeight="1" x14ac:dyDescent="0.35">
      <c r="A15" s="6">
        <v>9</v>
      </c>
      <c r="B15" s="4" t="s">
        <v>29</v>
      </c>
      <c r="C15" s="15" t="s">
        <v>30</v>
      </c>
      <c r="D15" s="2">
        <v>1</v>
      </c>
      <c r="E15" s="2">
        <v>0.75</v>
      </c>
      <c r="F15" s="2">
        <v>25</v>
      </c>
      <c r="G15" s="2">
        <v>25</v>
      </c>
      <c r="H15" s="8">
        <v>3660</v>
      </c>
      <c r="I15" s="95">
        <f t="shared" si="0"/>
        <v>2196</v>
      </c>
    </row>
    <row r="16" spans="1:9" ht="17.25" customHeight="1" x14ac:dyDescent="0.35">
      <c r="A16" s="6">
        <v>10</v>
      </c>
      <c r="B16" s="4" t="s">
        <v>31</v>
      </c>
      <c r="C16" s="12" t="s">
        <v>32</v>
      </c>
      <c r="D16" s="2">
        <v>1</v>
      </c>
      <c r="E16" s="2">
        <v>0.75</v>
      </c>
      <c r="F16" s="2">
        <v>25</v>
      </c>
      <c r="G16" s="2">
        <v>25</v>
      </c>
      <c r="H16" s="8">
        <v>4220</v>
      </c>
      <c r="I16" s="95">
        <f t="shared" si="0"/>
        <v>2532</v>
      </c>
    </row>
    <row r="17" spans="1:9" ht="17.25" customHeight="1" x14ac:dyDescent="0.35">
      <c r="A17" s="4">
        <v>11</v>
      </c>
      <c r="B17" s="6" t="s">
        <v>33</v>
      </c>
      <c r="C17" s="14" t="s">
        <v>34</v>
      </c>
      <c r="D17" s="2">
        <v>0.75</v>
      </c>
      <c r="E17" s="2">
        <v>0.56000000000000005</v>
      </c>
      <c r="F17" s="2">
        <v>25</v>
      </c>
      <c r="G17" s="2">
        <v>25</v>
      </c>
      <c r="H17" s="8">
        <v>4080</v>
      </c>
      <c r="I17" s="95">
        <f t="shared" si="0"/>
        <v>2448</v>
      </c>
    </row>
    <row r="18" spans="1:9" ht="17.25" customHeight="1" x14ac:dyDescent="0.35">
      <c r="A18" s="6">
        <v>12</v>
      </c>
      <c r="B18" s="4" t="s">
        <v>35</v>
      </c>
      <c r="C18" s="16" t="s">
        <v>36</v>
      </c>
      <c r="D18" s="2">
        <v>1</v>
      </c>
      <c r="E18" s="2">
        <v>0.75</v>
      </c>
      <c r="F18" s="2">
        <v>25</v>
      </c>
      <c r="G18" s="2">
        <v>25</v>
      </c>
      <c r="H18" s="8">
        <v>4730</v>
      </c>
      <c r="I18" s="95">
        <f t="shared" si="0"/>
        <v>2838</v>
      </c>
    </row>
    <row r="19" spans="1:9" ht="17.25" customHeight="1" x14ac:dyDescent="0.35">
      <c r="A19" s="6">
        <v>13</v>
      </c>
      <c r="B19" s="4" t="s">
        <v>37</v>
      </c>
      <c r="C19" s="16" t="s">
        <v>38</v>
      </c>
      <c r="D19" s="2">
        <v>1</v>
      </c>
      <c r="E19" s="2">
        <v>0.75</v>
      </c>
      <c r="F19" s="2">
        <v>25</v>
      </c>
      <c r="G19" s="2">
        <v>25</v>
      </c>
      <c r="H19" s="8">
        <v>4730</v>
      </c>
      <c r="I19" s="95">
        <f t="shared" si="0"/>
        <v>2838</v>
      </c>
    </row>
    <row r="20" spans="1:9" ht="17.25" customHeight="1" x14ac:dyDescent="0.35">
      <c r="A20" s="6">
        <v>14</v>
      </c>
      <c r="B20" s="6" t="s">
        <v>39</v>
      </c>
      <c r="C20" s="14" t="s">
        <v>40</v>
      </c>
      <c r="D20" s="2">
        <v>1</v>
      </c>
      <c r="E20" s="2">
        <v>0.75</v>
      </c>
      <c r="F20" s="2">
        <v>25</v>
      </c>
      <c r="G20" s="2">
        <v>25</v>
      </c>
      <c r="H20" s="8">
        <v>5170</v>
      </c>
      <c r="I20" s="95">
        <f t="shared" si="0"/>
        <v>3102</v>
      </c>
    </row>
    <row r="21" spans="1:9" ht="17.25" customHeight="1" x14ac:dyDescent="0.35">
      <c r="A21" s="4">
        <v>15</v>
      </c>
      <c r="B21" s="6" t="s">
        <v>41</v>
      </c>
      <c r="C21" s="14" t="s">
        <v>42</v>
      </c>
      <c r="D21" s="2">
        <v>1</v>
      </c>
      <c r="E21" s="2">
        <v>0.75</v>
      </c>
      <c r="F21" s="2">
        <v>25</v>
      </c>
      <c r="G21" s="2">
        <v>25</v>
      </c>
      <c r="H21" s="8">
        <v>4670</v>
      </c>
      <c r="I21" s="95">
        <f t="shared" si="0"/>
        <v>2802</v>
      </c>
    </row>
    <row r="22" spans="1:9" ht="17.25" customHeight="1" x14ac:dyDescent="0.35">
      <c r="A22" s="6">
        <v>16</v>
      </c>
      <c r="B22" s="4" t="s">
        <v>43</v>
      </c>
      <c r="C22" s="12" t="s">
        <v>44</v>
      </c>
      <c r="D22" s="2">
        <v>1.2</v>
      </c>
      <c r="E22" s="2">
        <v>0.9</v>
      </c>
      <c r="F22" s="2">
        <v>25</v>
      </c>
      <c r="G22" s="2">
        <v>25</v>
      </c>
      <c r="H22" s="8">
        <v>6650</v>
      </c>
      <c r="I22" s="95">
        <f t="shared" si="0"/>
        <v>3990</v>
      </c>
    </row>
    <row r="23" spans="1:9" ht="17.25" customHeight="1" x14ac:dyDescent="0.35">
      <c r="A23" s="6">
        <v>17</v>
      </c>
      <c r="B23" s="6" t="s">
        <v>45</v>
      </c>
      <c r="C23" s="14" t="s">
        <v>46</v>
      </c>
      <c r="D23" s="2">
        <v>1.5</v>
      </c>
      <c r="E23" s="2">
        <v>1.1000000000000001</v>
      </c>
      <c r="F23" s="2">
        <v>25</v>
      </c>
      <c r="G23" s="2">
        <v>25</v>
      </c>
      <c r="H23" s="8">
        <v>8150</v>
      </c>
      <c r="I23" s="95">
        <f t="shared" si="0"/>
        <v>4890</v>
      </c>
    </row>
    <row r="24" spans="1:9" ht="17.25" customHeight="1" x14ac:dyDescent="0.35">
      <c r="A24" s="6">
        <v>18</v>
      </c>
      <c r="B24" s="6" t="s">
        <v>47</v>
      </c>
      <c r="C24" s="14" t="s">
        <v>48</v>
      </c>
      <c r="D24" s="2">
        <v>2</v>
      </c>
      <c r="E24" s="2">
        <v>1.5</v>
      </c>
      <c r="F24" s="2">
        <v>25</v>
      </c>
      <c r="G24" s="2">
        <v>25</v>
      </c>
      <c r="H24" s="8">
        <v>9190</v>
      </c>
      <c r="I24" s="95">
        <f t="shared" si="0"/>
        <v>5514</v>
      </c>
    </row>
    <row r="25" spans="1:9" ht="17.25" customHeight="1" x14ac:dyDescent="0.35">
      <c r="A25" s="4">
        <v>19</v>
      </c>
      <c r="B25" s="6" t="s">
        <v>49</v>
      </c>
      <c r="C25" s="14" t="s">
        <v>50</v>
      </c>
      <c r="D25" s="2">
        <v>0.5</v>
      </c>
      <c r="E25" s="2">
        <v>0.37</v>
      </c>
      <c r="F25" s="2">
        <v>25</v>
      </c>
      <c r="G25" s="2">
        <v>25</v>
      </c>
      <c r="H25" s="8">
        <v>3310</v>
      </c>
      <c r="I25" s="95">
        <f t="shared" si="0"/>
        <v>1986</v>
      </c>
    </row>
    <row r="26" spans="1:9" ht="17.25" customHeight="1" x14ac:dyDescent="0.35">
      <c r="A26" s="6">
        <v>20</v>
      </c>
      <c r="B26" s="4" t="s">
        <v>51</v>
      </c>
      <c r="C26" s="12" t="s">
        <v>52</v>
      </c>
      <c r="D26" s="2">
        <v>0.5</v>
      </c>
      <c r="E26" s="2">
        <v>0.37</v>
      </c>
      <c r="F26" s="2">
        <v>25</v>
      </c>
      <c r="G26" s="2">
        <v>25</v>
      </c>
      <c r="H26" s="10">
        <v>4380</v>
      </c>
      <c r="I26" s="96">
        <f>H26*0.63</f>
        <v>2759.4</v>
      </c>
    </row>
    <row r="27" spans="1:9" ht="17.25" customHeight="1" x14ac:dyDescent="0.35">
      <c r="A27" s="6">
        <v>21</v>
      </c>
      <c r="B27" s="4" t="s">
        <v>53</v>
      </c>
      <c r="C27" s="12" t="s">
        <v>54</v>
      </c>
      <c r="D27" s="2">
        <v>1</v>
      </c>
      <c r="E27" s="2">
        <v>0.75</v>
      </c>
      <c r="F27" s="2">
        <v>25</v>
      </c>
      <c r="G27" s="2">
        <v>25</v>
      </c>
      <c r="H27" s="10">
        <v>5300</v>
      </c>
      <c r="I27" s="96">
        <f>H27*0.63</f>
        <v>3339</v>
      </c>
    </row>
    <row r="28" spans="1:9" ht="17.25" customHeight="1" x14ac:dyDescent="0.35">
      <c r="A28" s="6">
        <v>22</v>
      </c>
      <c r="B28" s="6" t="s">
        <v>55</v>
      </c>
      <c r="C28" s="14" t="s">
        <v>56</v>
      </c>
      <c r="D28" s="2">
        <v>1.1000000000000001</v>
      </c>
      <c r="E28" s="2">
        <v>0.8</v>
      </c>
      <c r="F28" s="2">
        <v>25</v>
      </c>
      <c r="G28" s="2">
        <v>25</v>
      </c>
      <c r="H28" s="8">
        <v>5040</v>
      </c>
      <c r="I28" s="95">
        <f>H28*0.6</f>
        <v>3024</v>
      </c>
    </row>
    <row r="29" spans="1:9" ht="17.25" customHeight="1" x14ac:dyDescent="0.35">
      <c r="A29" s="4">
        <v>23</v>
      </c>
      <c r="B29" s="6" t="s">
        <v>57</v>
      </c>
      <c r="C29" s="14" t="s">
        <v>58</v>
      </c>
      <c r="D29" s="2">
        <v>1.1000000000000001</v>
      </c>
      <c r="E29" s="2">
        <v>0.8</v>
      </c>
      <c r="F29" s="2">
        <v>25</v>
      </c>
      <c r="G29" s="2">
        <v>25</v>
      </c>
      <c r="H29" s="8">
        <v>5150</v>
      </c>
      <c r="I29" s="95">
        <f>H29*0.6</f>
        <v>3090</v>
      </c>
    </row>
    <row r="30" spans="1:9" ht="17.25" customHeight="1" x14ac:dyDescent="0.35">
      <c r="A30" s="6">
        <v>24</v>
      </c>
      <c r="B30" s="4" t="s">
        <v>59</v>
      </c>
      <c r="C30" s="16" t="s">
        <v>60</v>
      </c>
      <c r="D30" s="2">
        <v>1.25</v>
      </c>
      <c r="E30" s="2">
        <v>0.94</v>
      </c>
      <c r="F30" s="2">
        <v>25</v>
      </c>
      <c r="G30" s="2">
        <v>25</v>
      </c>
      <c r="H30" s="8">
        <v>6630</v>
      </c>
      <c r="I30" s="95">
        <f>H30*0.6</f>
        <v>3978</v>
      </c>
    </row>
    <row r="31" spans="1:9" ht="17.25" customHeight="1" x14ac:dyDescent="0.35">
      <c r="A31" s="6">
        <v>25</v>
      </c>
      <c r="B31" s="6" t="s">
        <v>61</v>
      </c>
      <c r="C31" s="14" t="s">
        <v>62</v>
      </c>
      <c r="D31" s="17">
        <v>0.5</v>
      </c>
      <c r="E31" s="17">
        <v>0.37</v>
      </c>
      <c r="F31" s="17">
        <v>25</v>
      </c>
      <c r="G31" s="17">
        <v>25</v>
      </c>
      <c r="H31" s="9">
        <v>4950</v>
      </c>
      <c r="I31" s="96">
        <f>H31*0.63</f>
        <v>3118.5</v>
      </c>
    </row>
    <row r="32" spans="1:9" ht="17.25" customHeight="1" x14ac:dyDescent="0.35">
      <c r="A32" s="6">
        <v>26</v>
      </c>
      <c r="B32" s="6" t="s">
        <v>63</v>
      </c>
      <c r="C32" s="14" t="s">
        <v>64</v>
      </c>
      <c r="D32" s="17">
        <v>0.5</v>
      </c>
      <c r="E32" s="17">
        <v>0.37</v>
      </c>
      <c r="F32" s="17">
        <v>25</v>
      </c>
      <c r="G32" s="17">
        <v>25</v>
      </c>
      <c r="H32" s="9">
        <v>5000</v>
      </c>
      <c r="I32" s="96">
        <f>H32*0.63</f>
        <v>3150</v>
      </c>
    </row>
    <row r="33" spans="1:9" ht="17.25" customHeight="1" x14ac:dyDescent="0.35">
      <c r="A33" s="4">
        <v>27</v>
      </c>
      <c r="B33" s="6" t="s">
        <v>65</v>
      </c>
      <c r="C33" s="14" t="s">
        <v>66</v>
      </c>
      <c r="D33" s="2">
        <v>1</v>
      </c>
      <c r="E33" s="2">
        <v>0.75</v>
      </c>
      <c r="F33" s="2">
        <v>25</v>
      </c>
      <c r="G33" s="2">
        <v>25</v>
      </c>
      <c r="H33" s="8">
        <v>5560</v>
      </c>
      <c r="I33" s="95">
        <f t="shared" ref="I33:I54" si="1">H33*0.6</f>
        <v>3336</v>
      </c>
    </row>
    <row r="34" spans="1:9" ht="17.25" customHeight="1" x14ac:dyDescent="0.35">
      <c r="A34" s="6">
        <v>28</v>
      </c>
      <c r="B34" s="6" t="s">
        <v>67</v>
      </c>
      <c r="C34" s="14" t="s">
        <v>68</v>
      </c>
      <c r="D34" s="2">
        <v>1</v>
      </c>
      <c r="E34" s="2">
        <v>0.75</v>
      </c>
      <c r="F34" s="2">
        <v>25</v>
      </c>
      <c r="G34" s="2">
        <v>25</v>
      </c>
      <c r="H34" s="8">
        <v>5650</v>
      </c>
      <c r="I34" s="95">
        <f t="shared" si="1"/>
        <v>3390</v>
      </c>
    </row>
    <row r="35" spans="1:9" ht="17.25" customHeight="1" x14ac:dyDescent="0.35">
      <c r="A35" s="6">
        <v>29</v>
      </c>
      <c r="B35" s="6" t="s">
        <v>69</v>
      </c>
      <c r="C35" s="14" t="s">
        <v>70</v>
      </c>
      <c r="D35" s="2">
        <v>1.5</v>
      </c>
      <c r="E35" s="2">
        <v>1.1000000000000001</v>
      </c>
      <c r="F35" s="2">
        <v>25</v>
      </c>
      <c r="G35" s="2">
        <v>25</v>
      </c>
      <c r="H35" s="8">
        <v>7840</v>
      </c>
      <c r="I35" s="95">
        <f t="shared" si="1"/>
        <v>4704</v>
      </c>
    </row>
    <row r="36" spans="1:9" ht="17.25" customHeight="1" x14ac:dyDescent="0.35">
      <c r="A36" s="6">
        <v>30</v>
      </c>
      <c r="B36" s="6" t="s">
        <v>71</v>
      </c>
      <c r="C36" s="14" t="s">
        <v>72</v>
      </c>
      <c r="D36" s="2">
        <v>1.5</v>
      </c>
      <c r="E36" s="2">
        <v>1.1000000000000001</v>
      </c>
      <c r="F36" s="2">
        <v>25</v>
      </c>
      <c r="G36" s="2">
        <v>25</v>
      </c>
      <c r="H36" s="8">
        <v>8170</v>
      </c>
      <c r="I36" s="95">
        <f t="shared" si="1"/>
        <v>4902</v>
      </c>
    </row>
    <row r="37" spans="1:9" ht="17.25" customHeight="1" x14ac:dyDescent="0.35">
      <c r="A37" s="4">
        <v>31</v>
      </c>
      <c r="B37" s="4" t="s">
        <v>73</v>
      </c>
      <c r="C37" s="12" t="s">
        <v>74</v>
      </c>
      <c r="D37" s="2">
        <v>0.5</v>
      </c>
      <c r="E37" s="2">
        <v>0.37</v>
      </c>
      <c r="F37" s="2">
        <v>25</v>
      </c>
      <c r="G37" s="2">
        <v>25</v>
      </c>
      <c r="H37" s="8">
        <v>6450</v>
      </c>
      <c r="I37" s="95">
        <f t="shared" si="1"/>
        <v>3870</v>
      </c>
    </row>
    <row r="38" spans="1:9" ht="17.25" customHeight="1" x14ac:dyDescent="0.35">
      <c r="A38" s="6">
        <v>32</v>
      </c>
      <c r="B38" s="6" t="s">
        <v>75</v>
      </c>
      <c r="C38" s="14" t="s">
        <v>76</v>
      </c>
      <c r="D38" s="3">
        <v>0.9</v>
      </c>
      <c r="E38" s="3">
        <v>0.7</v>
      </c>
      <c r="F38" s="3">
        <v>25</v>
      </c>
      <c r="G38" s="3">
        <v>25</v>
      </c>
      <c r="H38" s="8">
        <v>6640</v>
      </c>
      <c r="I38" s="95">
        <f t="shared" si="1"/>
        <v>3984</v>
      </c>
    </row>
    <row r="39" spans="1:9" ht="17.25" customHeight="1" x14ac:dyDescent="0.35">
      <c r="A39" s="6">
        <v>33</v>
      </c>
      <c r="B39" s="6" t="s">
        <v>77</v>
      </c>
      <c r="C39" s="14" t="s">
        <v>78</v>
      </c>
      <c r="D39" s="3">
        <v>1</v>
      </c>
      <c r="E39" s="3">
        <v>0.75</v>
      </c>
      <c r="F39" s="3">
        <v>25</v>
      </c>
      <c r="G39" s="3">
        <v>25</v>
      </c>
      <c r="H39" s="8">
        <v>7100</v>
      </c>
      <c r="I39" s="95">
        <f t="shared" si="1"/>
        <v>4260</v>
      </c>
    </row>
    <row r="40" spans="1:9" ht="17.25" customHeight="1" x14ac:dyDescent="0.35">
      <c r="A40" s="6">
        <v>34</v>
      </c>
      <c r="B40" s="4" t="s">
        <v>79</v>
      </c>
      <c r="C40" s="15" t="s">
        <v>80</v>
      </c>
      <c r="D40" s="3">
        <v>0.5</v>
      </c>
      <c r="E40" s="3">
        <v>0.37</v>
      </c>
      <c r="F40" s="3">
        <v>25</v>
      </c>
      <c r="G40" s="3">
        <v>25</v>
      </c>
      <c r="H40" s="8">
        <v>5500</v>
      </c>
      <c r="I40" s="95">
        <f t="shared" si="1"/>
        <v>3300</v>
      </c>
    </row>
    <row r="41" spans="1:9" ht="17.25" customHeight="1" x14ac:dyDescent="0.35">
      <c r="A41" s="4">
        <v>35</v>
      </c>
      <c r="B41" s="4"/>
      <c r="C41" s="15" t="s">
        <v>81</v>
      </c>
      <c r="D41" s="3">
        <v>1</v>
      </c>
      <c r="E41" s="3">
        <v>0.75</v>
      </c>
      <c r="F41" s="3">
        <v>25</v>
      </c>
      <c r="G41" s="3">
        <v>25</v>
      </c>
      <c r="H41" s="8">
        <v>6200</v>
      </c>
      <c r="I41" s="95">
        <f t="shared" si="1"/>
        <v>3720</v>
      </c>
    </row>
    <row r="42" spans="1:9" ht="17.25" customHeight="1" x14ac:dyDescent="0.35">
      <c r="A42" s="6">
        <v>36</v>
      </c>
      <c r="B42" s="4" t="s">
        <v>82</v>
      </c>
      <c r="C42" s="12" t="s">
        <v>83</v>
      </c>
      <c r="D42" s="1">
        <v>0.5</v>
      </c>
      <c r="E42" s="1">
        <v>0.37</v>
      </c>
      <c r="F42" s="1">
        <v>25</v>
      </c>
      <c r="G42" s="1">
        <v>25</v>
      </c>
      <c r="H42" s="8">
        <v>7140</v>
      </c>
      <c r="I42" s="95">
        <f t="shared" si="1"/>
        <v>4284</v>
      </c>
    </row>
    <row r="43" spans="1:9" ht="17.25" customHeight="1" x14ac:dyDescent="0.35">
      <c r="A43" s="6">
        <v>37</v>
      </c>
      <c r="B43" s="6" t="s">
        <v>84</v>
      </c>
      <c r="C43" s="14" t="s">
        <v>85</v>
      </c>
      <c r="D43" s="1">
        <v>1.1000000000000001</v>
      </c>
      <c r="E43" s="1">
        <v>0.8</v>
      </c>
      <c r="F43" s="1">
        <v>25</v>
      </c>
      <c r="G43" s="1">
        <v>25</v>
      </c>
      <c r="H43" s="8">
        <v>7700</v>
      </c>
      <c r="I43" s="95">
        <f t="shared" si="1"/>
        <v>4620</v>
      </c>
    </row>
    <row r="44" spans="1:9" ht="17.25" customHeight="1" x14ac:dyDescent="0.35">
      <c r="A44" s="6">
        <v>38</v>
      </c>
      <c r="B44" s="6" t="s">
        <v>86</v>
      </c>
      <c r="C44" s="14" t="s">
        <v>87</v>
      </c>
      <c r="D44" s="1">
        <v>1.5</v>
      </c>
      <c r="E44" s="1">
        <v>1.1000000000000001</v>
      </c>
      <c r="F44" s="1">
        <v>25</v>
      </c>
      <c r="G44" s="1">
        <v>25</v>
      </c>
      <c r="H44" s="8">
        <v>8690</v>
      </c>
      <c r="I44" s="95">
        <f t="shared" si="1"/>
        <v>5214</v>
      </c>
    </row>
    <row r="45" spans="1:9" ht="17.25" customHeight="1" x14ac:dyDescent="0.35">
      <c r="A45" s="4">
        <v>39</v>
      </c>
      <c r="B45" s="4" t="s">
        <v>88</v>
      </c>
      <c r="C45" s="12" t="s">
        <v>89</v>
      </c>
      <c r="D45" s="2">
        <v>0.5</v>
      </c>
      <c r="E45" s="2">
        <v>0.37</v>
      </c>
      <c r="F45" s="2">
        <v>25</v>
      </c>
      <c r="G45" s="2">
        <v>12</v>
      </c>
      <c r="H45" s="8">
        <v>4860</v>
      </c>
      <c r="I45" s="95">
        <f t="shared" si="1"/>
        <v>2916</v>
      </c>
    </row>
    <row r="46" spans="1:9" ht="17.25" customHeight="1" x14ac:dyDescent="0.35">
      <c r="A46" s="6">
        <v>40</v>
      </c>
      <c r="B46" s="4" t="s">
        <v>90</v>
      </c>
      <c r="C46" s="12" t="s">
        <v>91</v>
      </c>
      <c r="D46" s="2">
        <v>1</v>
      </c>
      <c r="E46" s="2">
        <v>0.75</v>
      </c>
      <c r="F46" s="2">
        <v>25</v>
      </c>
      <c r="G46" s="2">
        <v>25</v>
      </c>
      <c r="H46" s="8">
        <v>5600</v>
      </c>
      <c r="I46" s="95">
        <f t="shared" si="1"/>
        <v>3360</v>
      </c>
    </row>
    <row r="47" spans="1:9" ht="17.25" customHeight="1" x14ac:dyDescent="0.35">
      <c r="A47" s="6">
        <v>41</v>
      </c>
      <c r="B47" s="6" t="s">
        <v>92</v>
      </c>
      <c r="C47" s="14" t="s">
        <v>93</v>
      </c>
      <c r="D47" s="17">
        <v>1</v>
      </c>
      <c r="E47" s="17">
        <v>0.75</v>
      </c>
      <c r="F47" s="17">
        <v>25</v>
      </c>
      <c r="G47" s="17">
        <v>25</v>
      </c>
      <c r="H47" s="9">
        <v>8420</v>
      </c>
      <c r="I47" s="96">
        <f>H47*0.63</f>
        <v>5304.6</v>
      </c>
    </row>
    <row r="48" spans="1:9" ht="17.25" customHeight="1" x14ac:dyDescent="0.35">
      <c r="A48" s="6">
        <v>42</v>
      </c>
      <c r="B48" s="6" t="s">
        <v>94</v>
      </c>
      <c r="C48" s="14" t="s">
        <v>95</v>
      </c>
      <c r="D48" s="2">
        <v>1.1000000000000001</v>
      </c>
      <c r="E48" s="2">
        <v>0.8</v>
      </c>
      <c r="F48" s="2">
        <v>25</v>
      </c>
      <c r="G48" s="2">
        <v>25</v>
      </c>
      <c r="H48" s="8">
        <v>12020</v>
      </c>
      <c r="I48" s="95">
        <f t="shared" si="1"/>
        <v>7212</v>
      </c>
    </row>
    <row r="49" spans="1:9" ht="17.25" customHeight="1" x14ac:dyDescent="0.35">
      <c r="A49" s="4">
        <v>43</v>
      </c>
      <c r="B49" s="4" t="s">
        <v>96</v>
      </c>
      <c r="C49" s="12" t="s">
        <v>97</v>
      </c>
      <c r="D49" s="2">
        <v>0.5</v>
      </c>
      <c r="E49" s="2">
        <v>0.37</v>
      </c>
      <c r="F49" s="2">
        <v>25</v>
      </c>
      <c r="G49" s="2">
        <v>25</v>
      </c>
      <c r="H49" s="8">
        <v>7530</v>
      </c>
      <c r="I49" s="95">
        <f t="shared" si="1"/>
        <v>4518</v>
      </c>
    </row>
    <row r="50" spans="1:9" ht="17.25" customHeight="1" x14ac:dyDescent="0.35">
      <c r="A50" s="6">
        <v>44</v>
      </c>
      <c r="B50" s="4" t="s">
        <v>98</v>
      </c>
      <c r="C50" s="12" t="s">
        <v>99</v>
      </c>
      <c r="D50" s="2">
        <v>1</v>
      </c>
      <c r="E50" s="2">
        <v>0.75</v>
      </c>
      <c r="F50" s="2">
        <v>25</v>
      </c>
      <c r="G50" s="2">
        <v>25</v>
      </c>
      <c r="H50" s="8">
        <v>9150</v>
      </c>
      <c r="I50" s="95">
        <f t="shared" si="1"/>
        <v>5490</v>
      </c>
    </row>
    <row r="51" spans="1:9" ht="17.25" customHeight="1" x14ac:dyDescent="0.35">
      <c r="A51" s="6">
        <v>45</v>
      </c>
      <c r="B51" s="4" t="s">
        <v>100</v>
      </c>
      <c r="C51" s="12" t="s">
        <v>101</v>
      </c>
      <c r="D51" s="2">
        <v>1</v>
      </c>
      <c r="E51" s="2">
        <v>0.75</v>
      </c>
      <c r="F51" s="2">
        <v>25</v>
      </c>
      <c r="G51" s="2">
        <v>25</v>
      </c>
      <c r="H51" s="5">
        <v>16800</v>
      </c>
      <c r="I51" s="95">
        <f t="shared" si="1"/>
        <v>10080</v>
      </c>
    </row>
    <row r="52" spans="1:9" ht="17.25" customHeight="1" x14ac:dyDescent="0.35">
      <c r="A52" s="6">
        <v>46</v>
      </c>
      <c r="B52" s="6" t="s">
        <v>102</v>
      </c>
      <c r="C52" s="14" t="s">
        <v>103</v>
      </c>
      <c r="D52" s="2">
        <v>0.5</v>
      </c>
      <c r="E52" s="2">
        <v>0.37</v>
      </c>
      <c r="F52" s="2">
        <v>25</v>
      </c>
      <c r="G52" s="2">
        <v>25</v>
      </c>
      <c r="H52" s="8">
        <v>17760</v>
      </c>
      <c r="I52" s="95">
        <f t="shared" si="1"/>
        <v>10656</v>
      </c>
    </row>
    <row r="53" spans="1:9" ht="17.25" customHeight="1" x14ac:dyDescent="0.35">
      <c r="A53" s="4">
        <v>47</v>
      </c>
      <c r="B53" s="6" t="s">
        <v>104</v>
      </c>
      <c r="C53" s="14" t="s">
        <v>105</v>
      </c>
      <c r="D53" s="2">
        <v>1</v>
      </c>
      <c r="E53" s="2">
        <v>0.75</v>
      </c>
      <c r="F53" s="2">
        <v>25</v>
      </c>
      <c r="G53" s="2">
        <v>25</v>
      </c>
      <c r="H53" s="8">
        <v>19120</v>
      </c>
      <c r="I53" s="95">
        <f t="shared" si="1"/>
        <v>11472</v>
      </c>
    </row>
    <row r="54" spans="1:9" ht="17.25" customHeight="1" x14ac:dyDescent="0.35">
      <c r="A54" s="6">
        <v>48</v>
      </c>
      <c r="B54" s="6" t="s">
        <v>106</v>
      </c>
      <c r="C54" s="14" t="s">
        <v>107</v>
      </c>
      <c r="D54" s="2">
        <v>1.1000000000000001</v>
      </c>
      <c r="E54" s="2">
        <v>0.8</v>
      </c>
      <c r="F54" s="2">
        <v>25</v>
      </c>
      <c r="G54" s="2">
        <v>25</v>
      </c>
      <c r="H54" s="8">
        <v>20900</v>
      </c>
      <c r="I54" s="95">
        <f t="shared" si="1"/>
        <v>12540</v>
      </c>
    </row>
    <row r="55" spans="1:9" ht="17.25" customHeight="1" x14ac:dyDescent="0.35">
      <c r="A55" s="300" t="s">
        <v>108</v>
      </c>
      <c r="B55" s="300"/>
      <c r="C55" s="300"/>
      <c r="D55" s="300"/>
      <c r="E55" s="300"/>
      <c r="F55" s="300"/>
      <c r="G55" s="300"/>
      <c r="H55" s="287" t="s">
        <v>109</v>
      </c>
      <c r="I55" s="315" t="s">
        <v>504</v>
      </c>
    </row>
    <row r="56" spans="1:9" ht="17.25" customHeight="1" x14ac:dyDescent="0.35">
      <c r="A56" s="287" t="s">
        <v>2</v>
      </c>
      <c r="B56" s="287" t="s">
        <v>3</v>
      </c>
      <c r="C56" s="298" t="s">
        <v>4</v>
      </c>
      <c r="D56" s="287" t="s">
        <v>5</v>
      </c>
      <c r="E56" s="287"/>
      <c r="F56" s="287" t="s">
        <v>6</v>
      </c>
      <c r="G56" s="287"/>
      <c r="H56" s="287"/>
      <c r="I56" s="315"/>
    </row>
    <row r="57" spans="1:9" ht="17.25" customHeight="1" x14ac:dyDescent="0.35">
      <c r="A57" s="287"/>
      <c r="B57" s="287"/>
      <c r="C57" s="298"/>
      <c r="D57" s="11" t="s">
        <v>9</v>
      </c>
      <c r="E57" s="11" t="s">
        <v>10</v>
      </c>
      <c r="F57" s="11" t="s">
        <v>11</v>
      </c>
      <c r="G57" s="11" t="s">
        <v>12</v>
      </c>
      <c r="H57" s="287"/>
      <c r="I57" s="315"/>
    </row>
    <row r="58" spans="1:9" ht="17.25" customHeight="1" x14ac:dyDescent="0.35">
      <c r="A58" s="6">
        <v>1</v>
      </c>
      <c r="B58" s="6" t="s">
        <v>110</v>
      </c>
      <c r="C58" s="14" t="s">
        <v>111</v>
      </c>
      <c r="D58" s="303">
        <v>0.5</v>
      </c>
      <c r="E58" s="303">
        <v>0.37</v>
      </c>
      <c r="F58" s="2">
        <v>25</v>
      </c>
      <c r="G58" s="2">
        <v>25</v>
      </c>
      <c r="H58" s="8">
        <v>4680</v>
      </c>
      <c r="I58" s="95">
        <f t="shared" ref="I58:I113" si="2">H58*0.6</f>
        <v>2808</v>
      </c>
    </row>
    <row r="59" spans="1:9" ht="17.25" customHeight="1" x14ac:dyDescent="0.35">
      <c r="A59" s="6">
        <v>2</v>
      </c>
      <c r="B59" s="6" t="s">
        <v>112</v>
      </c>
      <c r="C59" s="14" t="s">
        <v>113</v>
      </c>
      <c r="D59" s="303"/>
      <c r="E59" s="303"/>
      <c r="F59" s="2">
        <v>40</v>
      </c>
      <c r="G59" s="2">
        <v>40</v>
      </c>
      <c r="H59" s="8">
        <v>6430</v>
      </c>
      <c r="I59" s="95">
        <f t="shared" si="2"/>
        <v>3858</v>
      </c>
    </row>
    <row r="60" spans="1:9" ht="17.25" customHeight="1" x14ac:dyDescent="0.35">
      <c r="A60" s="4">
        <v>3</v>
      </c>
      <c r="B60" s="4" t="s">
        <v>114</v>
      </c>
      <c r="C60" s="18" t="s">
        <v>115</v>
      </c>
      <c r="D60" s="2">
        <v>0.75</v>
      </c>
      <c r="E60" s="2">
        <v>0.56000000000000005</v>
      </c>
      <c r="F60" s="2">
        <v>40</v>
      </c>
      <c r="G60" s="2">
        <v>40</v>
      </c>
      <c r="H60" s="5">
        <v>6240</v>
      </c>
      <c r="I60" s="95">
        <f t="shared" si="2"/>
        <v>3744</v>
      </c>
    </row>
    <row r="61" spans="1:9" ht="17.25" customHeight="1" x14ac:dyDescent="0.35">
      <c r="A61" s="6">
        <v>4</v>
      </c>
      <c r="B61" s="6" t="s">
        <v>116</v>
      </c>
      <c r="C61" s="14" t="s">
        <v>117</v>
      </c>
      <c r="D61" s="301">
        <v>1</v>
      </c>
      <c r="E61" s="301">
        <v>0.75</v>
      </c>
      <c r="F61" s="1">
        <v>25</v>
      </c>
      <c r="G61" s="1">
        <v>25</v>
      </c>
      <c r="H61" s="8">
        <v>7572</v>
      </c>
      <c r="I61" s="104">
        <f t="shared" si="2"/>
        <v>4543.2</v>
      </c>
    </row>
    <row r="62" spans="1:9" ht="17.25" customHeight="1" x14ac:dyDescent="0.35">
      <c r="A62" s="6">
        <v>5</v>
      </c>
      <c r="B62" s="6" t="s">
        <v>118</v>
      </c>
      <c r="C62" s="14" t="s">
        <v>119</v>
      </c>
      <c r="D62" s="301"/>
      <c r="E62" s="301"/>
      <c r="F62" s="1">
        <v>50</v>
      </c>
      <c r="G62" s="1">
        <v>50</v>
      </c>
      <c r="H62" s="8">
        <v>8900</v>
      </c>
      <c r="I62" s="95">
        <f t="shared" si="2"/>
        <v>5340</v>
      </c>
    </row>
    <row r="63" spans="1:9" ht="17.25" customHeight="1" x14ac:dyDescent="0.35">
      <c r="A63" s="4">
        <v>6</v>
      </c>
      <c r="B63" s="6" t="s">
        <v>120</v>
      </c>
      <c r="C63" s="14" t="s">
        <v>121</v>
      </c>
      <c r="D63" s="301"/>
      <c r="E63" s="301"/>
      <c r="F63" s="1">
        <v>50</v>
      </c>
      <c r="G63" s="1">
        <v>50</v>
      </c>
      <c r="H63" s="5">
        <v>9100</v>
      </c>
      <c r="I63" s="95">
        <f t="shared" si="2"/>
        <v>5460</v>
      </c>
    </row>
    <row r="64" spans="1:9" ht="17.25" customHeight="1" x14ac:dyDescent="0.35">
      <c r="A64" s="6">
        <v>7</v>
      </c>
      <c r="B64" s="4" t="s">
        <v>122</v>
      </c>
      <c r="C64" s="18" t="s">
        <v>123</v>
      </c>
      <c r="D64" s="301"/>
      <c r="E64" s="301"/>
      <c r="F64" s="1">
        <v>50</v>
      </c>
      <c r="G64" s="1">
        <v>50</v>
      </c>
      <c r="H64" s="5">
        <v>9000</v>
      </c>
      <c r="I64" s="95">
        <f t="shared" si="2"/>
        <v>5400</v>
      </c>
    </row>
    <row r="65" spans="1:9" ht="17.25" customHeight="1" x14ac:dyDescent="0.35">
      <c r="A65" s="6">
        <v>8</v>
      </c>
      <c r="B65" s="4" t="s">
        <v>124</v>
      </c>
      <c r="C65" s="19" t="s">
        <v>125</v>
      </c>
      <c r="D65" s="301"/>
      <c r="E65" s="301"/>
      <c r="F65" s="1">
        <v>75</v>
      </c>
      <c r="G65" s="1">
        <v>75</v>
      </c>
      <c r="H65" s="8">
        <v>10000</v>
      </c>
      <c r="I65" s="95">
        <f t="shared" si="2"/>
        <v>6000</v>
      </c>
    </row>
    <row r="66" spans="1:9" ht="17.25" customHeight="1" x14ac:dyDescent="0.35">
      <c r="A66" s="4">
        <v>9</v>
      </c>
      <c r="B66" s="4"/>
      <c r="C66" s="18" t="s">
        <v>126</v>
      </c>
      <c r="D66" s="301"/>
      <c r="E66" s="301"/>
      <c r="F66" s="1">
        <v>75</v>
      </c>
      <c r="G66" s="1">
        <v>75</v>
      </c>
      <c r="H66" s="5">
        <v>10200</v>
      </c>
      <c r="I66" s="95">
        <f t="shared" si="2"/>
        <v>6120</v>
      </c>
    </row>
    <row r="67" spans="1:9" ht="17.25" customHeight="1" x14ac:dyDescent="0.35">
      <c r="A67" s="6">
        <v>10</v>
      </c>
      <c r="B67" s="4" t="s">
        <v>127</v>
      </c>
      <c r="C67" s="19" t="s">
        <v>128</v>
      </c>
      <c r="D67" s="301">
        <v>1.5</v>
      </c>
      <c r="E67" s="301">
        <v>1.1000000000000001</v>
      </c>
      <c r="F67" s="1">
        <v>50</v>
      </c>
      <c r="G67" s="1">
        <v>50</v>
      </c>
      <c r="H67" s="5">
        <v>10420</v>
      </c>
      <c r="I67" s="95">
        <f t="shared" si="2"/>
        <v>6252</v>
      </c>
    </row>
    <row r="68" spans="1:9" ht="17.25" customHeight="1" x14ac:dyDescent="0.35">
      <c r="A68" s="6">
        <v>11</v>
      </c>
      <c r="B68" s="4" t="s">
        <v>129</v>
      </c>
      <c r="C68" s="18" t="s">
        <v>130</v>
      </c>
      <c r="D68" s="301"/>
      <c r="E68" s="301"/>
      <c r="F68" s="1">
        <v>50</v>
      </c>
      <c r="G68" s="1">
        <v>50</v>
      </c>
      <c r="H68" s="5">
        <v>10600</v>
      </c>
      <c r="I68" s="95">
        <f t="shared" si="2"/>
        <v>6360</v>
      </c>
    </row>
    <row r="69" spans="1:9" ht="17.25" customHeight="1" x14ac:dyDescent="0.35">
      <c r="A69" s="4">
        <v>12</v>
      </c>
      <c r="B69" s="4" t="s">
        <v>131</v>
      </c>
      <c r="C69" s="19" t="s">
        <v>132</v>
      </c>
      <c r="D69" s="301"/>
      <c r="E69" s="301"/>
      <c r="F69" s="1">
        <v>65</v>
      </c>
      <c r="G69" s="1">
        <v>50</v>
      </c>
      <c r="H69" s="5">
        <v>10600</v>
      </c>
      <c r="I69" s="95">
        <f t="shared" si="2"/>
        <v>6360</v>
      </c>
    </row>
    <row r="70" spans="1:9" ht="17.25" customHeight="1" x14ac:dyDescent="0.35">
      <c r="A70" s="6">
        <v>13</v>
      </c>
      <c r="B70" s="4" t="s">
        <v>133</v>
      </c>
      <c r="C70" s="18" t="s">
        <v>134</v>
      </c>
      <c r="D70" s="301"/>
      <c r="E70" s="301"/>
      <c r="F70" s="1">
        <v>65</v>
      </c>
      <c r="G70" s="1">
        <v>50</v>
      </c>
      <c r="H70" s="5">
        <v>10800</v>
      </c>
      <c r="I70" s="95">
        <f t="shared" si="2"/>
        <v>6480</v>
      </c>
    </row>
    <row r="71" spans="1:9" ht="17.25" customHeight="1" x14ac:dyDescent="0.35">
      <c r="A71" s="6">
        <v>14</v>
      </c>
      <c r="B71" s="4" t="s">
        <v>135</v>
      </c>
      <c r="C71" s="19" t="s">
        <v>136</v>
      </c>
      <c r="D71" s="301"/>
      <c r="E71" s="301"/>
      <c r="F71" s="1">
        <v>75</v>
      </c>
      <c r="G71" s="1">
        <v>75</v>
      </c>
      <c r="H71" s="8">
        <v>11000</v>
      </c>
      <c r="I71" s="95">
        <f t="shared" si="2"/>
        <v>6600</v>
      </c>
    </row>
    <row r="72" spans="1:9" ht="17.25" customHeight="1" x14ac:dyDescent="0.35">
      <c r="A72" s="4">
        <v>15</v>
      </c>
      <c r="B72" s="4" t="s">
        <v>137</v>
      </c>
      <c r="C72" s="18" t="s">
        <v>138</v>
      </c>
      <c r="D72" s="301"/>
      <c r="E72" s="301"/>
      <c r="F72" s="1">
        <v>75</v>
      </c>
      <c r="G72" s="1">
        <v>75</v>
      </c>
      <c r="H72" s="5">
        <v>11200</v>
      </c>
      <c r="I72" s="95">
        <f t="shared" si="2"/>
        <v>6720</v>
      </c>
    </row>
    <row r="73" spans="1:9" ht="17.25" customHeight="1" x14ac:dyDescent="0.35">
      <c r="A73" s="6">
        <v>16</v>
      </c>
      <c r="B73" s="4" t="s">
        <v>139</v>
      </c>
      <c r="C73" s="18" t="s">
        <v>140</v>
      </c>
      <c r="D73" s="301"/>
      <c r="E73" s="301"/>
      <c r="F73" s="1">
        <v>75</v>
      </c>
      <c r="G73" s="1">
        <v>75</v>
      </c>
      <c r="H73" s="5">
        <v>11200</v>
      </c>
      <c r="I73" s="95">
        <f t="shared" si="2"/>
        <v>6720</v>
      </c>
    </row>
    <row r="74" spans="1:9" ht="17.25" customHeight="1" x14ac:dyDescent="0.35">
      <c r="A74" s="6">
        <v>17</v>
      </c>
      <c r="B74" s="4" t="s">
        <v>141</v>
      </c>
      <c r="C74" s="19" t="s">
        <v>142</v>
      </c>
      <c r="D74" s="301">
        <v>2</v>
      </c>
      <c r="E74" s="301">
        <v>1.5</v>
      </c>
      <c r="F74" s="1">
        <v>50</v>
      </c>
      <c r="G74" s="1">
        <v>40</v>
      </c>
      <c r="H74" s="8">
        <v>15000</v>
      </c>
      <c r="I74" s="95">
        <f t="shared" si="2"/>
        <v>9000</v>
      </c>
    </row>
    <row r="75" spans="1:9" ht="17.25" customHeight="1" x14ac:dyDescent="0.35">
      <c r="A75" s="4">
        <v>18</v>
      </c>
      <c r="B75" s="4" t="s">
        <v>143</v>
      </c>
      <c r="C75" s="18" t="s">
        <v>144</v>
      </c>
      <c r="D75" s="301"/>
      <c r="E75" s="301"/>
      <c r="F75" s="1">
        <v>50</v>
      </c>
      <c r="G75" s="1">
        <v>40</v>
      </c>
      <c r="H75" s="5">
        <v>15200</v>
      </c>
      <c r="I75" s="95">
        <f t="shared" si="2"/>
        <v>9120</v>
      </c>
    </row>
    <row r="76" spans="1:9" ht="17.25" customHeight="1" x14ac:dyDescent="0.35">
      <c r="A76" s="6">
        <v>19</v>
      </c>
      <c r="B76" s="6" t="s">
        <v>145</v>
      </c>
      <c r="C76" s="14" t="s">
        <v>146</v>
      </c>
      <c r="D76" s="301"/>
      <c r="E76" s="301"/>
      <c r="F76" s="1">
        <v>50</v>
      </c>
      <c r="G76" s="1">
        <v>50</v>
      </c>
      <c r="H76" s="8">
        <v>13000</v>
      </c>
      <c r="I76" s="95">
        <f t="shared" si="2"/>
        <v>7800</v>
      </c>
    </row>
    <row r="77" spans="1:9" ht="17.25" customHeight="1" x14ac:dyDescent="0.35">
      <c r="A77" s="6">
        <v>20</v>
      </c>
      <c r="B77" s="4" t="s">
        <v>147</v>
      </c>
      <c r="C77" s="18" t="s">
        <v>148</v>
      </c>
      <c r="D77" s="301"/>
      <c r="E77" s="301"/>
      <c r="F77" s="1">
        <v>50</v>
      </c>
      <c r="G77" s="1">
        <v>50</v>
      </c>
      <c r="H77" s="5">
        <v>13200</v>
      </c>
      <c r="I77" s="95">
        <f t="shared" si="2"/>
        <v>7920</v>
      </c>
    </row>
    <row r="78" spans="1:9" ht="17.25" customHeight="1" x14ac:dyDescent="0.35">
      <c r="A78" s="4">
        <v>21</v>
      </c>
      <c r="B78" s="6" t="s">
        <v>149</v>
      </c>
      <c r="C78" s="14" t="s">
        <v>150</v>
      </c>
      <c r="D78" s="301"/>
      <c r="E78" s="301"/>
      <c r="F78" s="1">
        <v>65</v>
      </c>
      <c r="G78" s="1">
        <v>50</v>
      </c>
      <c r="H78" s="8">
        <v>13300</v>
      </c>
      <c r="I78" s="95">
        <f t="shared" si="2"/>
        <v>7980</v>
      </c>
    </row>
    <row r="79" spans="1:9" ht="17.25" customHeight="1" x14ac:dyDescent="0.35">
      <c r="A79" s="6">
        <v>22</v>
      </c>
      <c r="B79" s="6" t="s">
        <v>151</v>
      </c>
      <c r="C79" s="14" t="s">
        <v>152</v>
      </c>
      <c r="D79" s="301"/>
      <c r="E79" s="301"/>
      <c r="F79" s="1">
        <v>65</v>
      </c>
      <c r="G79" s="1">
        <v>50</v>
      </c>
      <c r="H79" s="5">
        <v>13500</v>
      </c>
      <c r="I79" s="95">
        <f t="shared" si="2"/>
        <v>8100</v>
      </c>
    </row>
    <row r="80" spans="1:9" ht="17.25" customHeight="1" x14ac:dyDescent="0.35">
      <c r="A80" s="6">
        <v>23</v>
      </c>
      <c r="B80" s="4" t="s">
        <v>153</v>
      </c>
      <c r="C80" s="18" t="s">
        <v>154</v>
      </c>
      <c r="D80" s="301"/>
      <c r="E80" s="301"/>
      <c r="F80" s="1">
        <v>65</v>
      </c>
      <c r="G80" s="1">
        <v>50</v>
      </c>
      <c r="H80" s="5">
        <v>13340</v>
      </c>
      <c r="I80" s="95">
        <f t="shared" si="2"/>
        <v>8004</v>
      </c>
    </row>
    <row r="81" spans="1:9" ht="17.25" customHeight="1" x14ac:dyDescent="0.35">
      <c r="A81" s="4">
        <v>24</v>
      </c>
      <c r="B81" s="6"/>
      <c r="C81" s="14" t="s">
        <v>155</v>
      </c>
      <c r="D81" s="301"/>
      <c r="E81" s="301"/>
      <c r="F81" s="1">
        <v>65</v>
      </c>
      <c r="G81" s="1">
        <v>50</v>
      </c>
      <c r="H81" s="8">
        <v>13300</v>
      </c>
      <c r="I81" s="95">
        <f t="shared" si="2"/>
        <v>7980</v>
      </c>
    </row>
    <row r="82" spans="1:9" ht="17.25" customHeight="1" x14ac:dyDescent="0.35">
      <c r="A82" s="6">
        <v>25</v>
      </c>
      <c r="B82" s="4" t="s">
        <v>156</v>
      </c>
      <c r="C82" s="18" t="s">
        <v>157</v>
      </c>
      <c r="D82" s="301"/>
      <c r="E82" s="301"/>
      <c r="F82" s="1">
        <v>75</v>
      </c>
      <c r="G82" s="1">
        <v>75</v>
      </c>
      <c r="H82" s="5">
        <v>13600</v>
      </c>
      <c r="I82" s="95">
        <f t="shared" si="2"/>
        <v>8160</v>
      </c>
    </row>
    <row r="83" spans="1:9" ht="17.25" customHeight="1" x14ac:dyDescent="0.35">
      <c r="A83" s="6">
        <v>26</v>
      </c>
      <c r="B83" s="6" t="s">
        <v>158</v>
      </c>
      <c r="C83" s="14" t="s">
        <v>159</v>
      </c>
      <c r="D83" s="301"/>
      <c r="E83" s="301"/>
      <c r="F83" s="1">
        <v>75</v>
      </c>
      <c r="G83" s="1">
        <v>75</v>
      </c>
      <c r="H83" s="8">
        <v>13450</v>
      </c>
      <c r="I83" s="95">
        <f t="shared" si="2"/>
        <v>8070</v>
      </c>
    </row>
    <row r="84" spans="1:9" ht="17.25" customHeight="1" x14ac:dyDescent="0.35">
      <c r="A84" s="4">
        <v>27</v>
      </c>
      <c r="B84" s="6" t="s">
        <v>160</v>
      </c>
      <c r="C84" s="14" t="s">
        <v>161</v>
      </c>
      <c r="D84" s="301"/>
      <c r="E84" s="301"/>
      <c r="F84" s="1">
        <v>75</v>
      </c>
      <c r="G84" s="1">
        <v>75</v>
      </c>
      <c r="H84" s="5">
        <v>13800</v>
      </c>
      <c r="I84" s="105">
        <f>H84*0.58</f>
        <v>8003.9999999999991</v>
      </c>
    </row>
    <row r="85" spans="1:9" ht="17.25" customHeight="1" x14ac:dyDescent="0.35">
      <c r="A85" s="6">
        <v>28</v>
      </c>
      <c r="B85" s="6" t="s">
        <v>162</v>
      </c>
      <c r="C85" s="14" t="s">
        <v>163</v>
      </c>
      <c r="D85" s="301"/>
      <c r="E85" s="301"/>
      <c r="F85" s="1">
        <v>75</v>
      </c>
      <c r="G85" s="1">
        <v>75</v>
      </c>
      <c r="H85" s="5">
        <v>14000</v>
      </c>
      <c r="I85" s="95">
        <f t="shared" si="2"/>
        <v>8400</v>
      </c>
    </row>
    <row r="86" spans="1:9" ht="17.25" customHeight="1" x14ac:dyDescent="0.35">
      <c r="A86" s="6">
        <v>29</v>
      </c>
      <c r="B86" s="6" t="s">
        <v>164</v>
      </c>
      <c r="C86" s="14" t="s">
        <v>165</v>
      </c>
      <c r="D86" s="301"/>
      <c r="E86" s="301"/>
      <c r="F86" s="1">
        <v>75</v>
      </c>
      <c r="G86" s="1">
        <v>75</v>
      </c>
      <c r="H86" s="5">
        <v>14500</v>
      </c>
      <c r="I86" s="95">
        <f>H86*0.58</f>
        <v>8410</v>
      </c>
    </row>
    <row r="87" spans="1:9" ht="17.25" customHeight="1" x14ac:dyDescent="0.35">
      <c r="A87" s="4">
        <v>30</v>
      </c>
      <c r="B87" s="4" t="s">
        <v>166</v>
      </c>
      <c r="C87" s="18" t="s">
        <v>167</v>
      </c>
      <c r="D87" s="301"/>
      <c r="E87" s="301"/>
      <c r="F87" s="1">
        <v>75</v>
      </c>
      <c r="G87" s="1">
        <v>75</v>
      </c>
      <c r="H87" s="5">
        <v>13550</v>
      </c>
      <c r="I87" s="95">
        <f t="shared" si="2"/>
        <v>8130</v>
      </c>
    </row>
    <row r="88" spans="1:9" ht="17.25" customHeight="1" x14ac:dyDescent="0.35">
      <c r="A88" s="6">
        <v>31</v>
      </c>
      <c r="B88" s="6" t="s">
        <v>168</v>
      </c>
      <c r="C88" s="14" t="s">
        <v>169</v>
      </c>
      <c r="D88" s="301"/>
      <c r="E88" s="301"/>
      <c r="F88" s="1">
        <v>75</v>
      </c>
      <c r="G88" s="1">
        <v>65</v>
      </c>
      <c r="H88" s="8">
        <v>13450</v>
      </c>
      <c r="I88" s="95">
        <f t="shared" si="2"/>
        <v>8070</v>
      </c>
    </row>
    <row r="89" spans="1:9" ht="17.25" customHeight="1" x14ac:dyDescent="0.35">
      <c r="A89" s="6">
        <v>32</v>
      </c>
      <c r="B89" s="6" t="s">
        <v>170</v>
      </c>
      <c r="C89" s="14" t="s">
        <v>171</v>
      </c>
      <c r="D89" s="301"/>
      <c r="E89" s="301"/>
      <c r="F89" s="1">
        <v>75</v>
      </c>
      <c r="G89" s="1">
        <v>65</v>
      </c>
      <c r="H89" s="5">
        <v>13740</v>
      </c>
      <c r="I89" s="95">
        <f t="shared" si="2"/>
        <v>8244</v>
      </c>
    </row>
    <row r="90" spans="1:9" ht="17.25" customHeight="1" x14ac:dyDescent="0.35">
      <c r="A90" s="4">
        <v>33</v>
      </c>
      <c r="B90" s="4"/>
      <c r="C90" s="19" t="s">
        <v>172</v>
      </c>
      <c r="D90" s="301"/>
      <c r="E90" s="301"/>
      <c r="F90" s="1">
        <v>100</v>
      </c>
      <c r="G90" s="1">
        <v>100</v>
      </c>
      <c r="H90" s="8">
        <v>15000</v>
      </c>
      <c r="I90" s="95">
        <f t="shared" si="2"/>
        <v>9000</v>
      </c>
    </row>
    <row r="91" spans="1:9" ht="17.25" customHeight="1" x14ac:dyDescent="0.35">
      <c r="A91" s="6">
        <v>34</v>
      </c>
      <c r="B91" s="4"/>
      <c r="C91" s="18" t="s">
        <v>173</v>
      </c>
      <c r="D91" s="301"/>
      <c r="E91" s="301"/>
      <c r="F91" s="1">
        <v>100</v>
      </c>
      <c r="G91" s="1">
        <v>100</v>
      </c>
      <c r="H91" s="5">
        <v>15200</v>
      </c>
      <c r="I91" s="95">
        <f t="shared" si="2"/>
        <v>9120</v>
      </c>
    </row>
    <row r="92" spans="1:9" ht="17.25" customHeight="1" x14ac:dyDescent="0.35">
      <c r="A92" s="6">
        <v>35</v>
      </c>
      <c r="B92" s="4"/>
      <c r="C92" s="19" t="s">
        <v>174</v>
      </c>
      <c r="D92" s="301">
        <v>3</v>
      </c>
      <c r="E92" s="301">
        <v>2.25</v>
      </c>
      <c r="F92" s="1">
        <v>50</v>
      </c>
      <c r="G92" s="1">
        <v>40</v>
      </c>
      <c r="H92" s="8">
        <v>18000</v>
      </c>
      <c r="I92" s="95">
        <f t="shared" si="2"/>
        <v>10800</v>
      </c>
    </row>
    <row r="93" spans="1:9" ht="17.25" customHeight="1" x14ac:dyDescent="0.35">
      <c r="A93" s="4">
        <v>36</v>
      </c>
      <c r="B93" s="4" t="s">
        <v>175</v>
      </c>
      <c r="C93" s="18" t="s">
        <v>176</v>
      </c>
      <c r="D93" s="301"/>
      <c r="E93" s="301"/>
      <c r="F93" s="1">
        <v>50</v>
      </c>
      <c r="G93" s="1">
        <v>40</v>
      </c>
      <c r="H93" s="5">
        <v>18560</v>
      </c>
      <c r="I93" s="95">
        <f t="shared" si="2"/>
        <v>11136</v>
      </c>
    </row>
    <row r="94" spans="1:9" ht="17.25" customHeight="1" x14ac:dyDescent="0.35">
      <c r="A94" s="6">
        <v>37</v>
      </c>
      <c r="B94" s="4" t="s">
        <v>177</v>
      </c>
      <c r="C94" s="19" t="s">
        <v>178</v>
      </c>
      <c r="D94" s="301"/>
      <c r="E94" s="301"/>
      <c r="F94" s="1">
        <v>50</v>
      </c>
      <c r="G94" s="1">
        <v>50</v>
      </c>
      <c r="H94" s="8">
        <v>18250</v>
      </c>
      <c r="I94" s="95">
        <f t="shared" si="2"/>
        <v>10950</v>
      </c>
    </row>
    <row r="95" spans="1:9" ht="17.25" customHeight="1" x14ac:dyDescent="0.35">
      <c r="A95" s="6">
        <v>38</v>
      </c>
      <c r="B95" s="4" t="s">
        <v>179</v>
      </c>
      <c r="C95" s="18" t="s">
        <v>180</v>
      </c>
      <c r="D95" s="301"/>
      <c r="E95" s="301"/>
      <c r="F95" s="1">
        <v>50</v>
      </c>
      <c r="G95" s="1">
        <v>50</v>
      </c>
      <c r="H95" s="5">
        <v>18670</v>
      </c>
      <c r="I95" s="95">
        <f t="shared" si="2"/>
        <v>11202</v>
      </c>
    </row>
    <row r="96" spans="1:9" ht="17.25" customHeight="1" x14ac:dyDescent="0.35">
      <c r="A96" s="4">
        <v>39</v>
      </c>
      <c r="B96" s="6" t="s">
        <v>181</v>
      </c>
      <c r="C96" s="14" t="s">
        <v>182</v>
      </c>
      <c r="D96" s="301"/>
      <c r="E96" s="301"/>
      <c r="F96" s="1">
        <v>65</v>
      </c>
      <c r="G96" s="1">
        <v>50</v>
      </c>
      <c r="H96" s="8">
        <v>18100</v>
      </c>
      <c r="I96" s="95">
        <f t="shared" si="2"/>
        <v>10860</v>
      </c>
    </row>
    <row r="97" spans="1:9" ht="17.25" customHeight="1" x14ac:dyDescent="0.35">
      <c r="A97" s="6">
        <v>40</v>
      </c>
      <c r="B97" s="6" t="s">
        <v>183</v>
      </c>
      <c r="C97" s="14" t="s">
        <v>184</v>
      </c>
      <c r="D97" s="301"/>
      <c r="E97" s="301"/>
      <c r="F97" s="1">
        <v>65</v>
      </c>
      <c r="G97" s="1">
        <v>50</v>
      </c>
      <c r="H97" s="5">
        <v>18770</v>
      </c>
      <c r="I97" s="95">
        <f t="shared" si="2"/>
        <v>11262</v>
      </c>
    </row>
    <row r="98" spans="1:9" ht="17.25" customHeight="1" x14ac:dyDescent="0.35">
      <c r="A98" s="6">
        <v>41</v>
      </c>
      <c r="B98" s="6" t="s">
        <v>185</v>
      </c>
      <c r="C98" s="14" t="s">
        <v>186</v>
      </c>
      <c r="D98" s="301"/>
      <c r="E98" s="301"/>
      <c r="F98" s="1">
        <v>75</v>
      </c>
      <c r="G98" s="1">
        <v>75</v>
      </c>
      <c r="H98" s="8">
        <v>18020</v>
      </c>
      <c r="I98" s="95">
        <f t="shared" si="2"/>
        <v>10812</v>
      </c>
    </row>
    <row r="99" spans="1:9" ht="17.25" customHeight="1" x14ac:dyDescent="0.35">
      <c r="A99" s="4">
        <v>42</v>
      </c>
      <c r="B99" s="6" t="s">
        <v>187</v>
      </c>
      <c r="C99" s="14" t="s">
        <v>188</v>
      </c>
      <c r="D99" s="301"/>
      <c r="E99" s="301"/>
      <c r="F99" s="1">
        <v>75</v>
      </c>
      <c r="G99" s="1">
        <v>75</v>
      </c>
      <c r="H99" s="5">
        <v>18680</v>
      </c>
      <c r="I99" s="95">
        <f t="shared" si="2"/>
        <v>11208</v>
      </c>
    </row>
    <row r="100" spans="1:9" ht="17.25" customHeight="1" x14ac:dyDescent="0.35">
      <c r="A100" s="6">
        <v>43</v>
      </c>
      <c r="B100" s="6" t="s">
        <v>189</v>
      </c>
      <c r="C100" s="14" t="s">
        <v>190</v>
      </c>
      <c r="D100" s="301"/>
      <c r="E100" s="301"/>
      <c r="F100" s="1">
        <v>100</v>
      </c>
      <c r="G100" s="1">
        <v>100</v>
      </c>
      <c r="H100" s="8">
        <v>19100</v>
      </c>
      <c r="I100" s="95">
        <f t="shared" si="2"/>
        <v>11460</v>
      </c>
    </row>
    <row r="101" spans="1:9" ht="17.25" customHeight="1" x14ac:dyDescent="0.35">
      <c r="A101" s="6">
        <v>44</v>
      </c>
      <c r="B101" s="6" t="s">
        <v>191</v>
      </c>
      <c r="C101" s="14" t="s">
        <v>192</v>
      </c>
      <c r="D101" s="301"/>
      <c r="E101" s="301"/>
      <c r="F101" s="1">
        <v>100</v>
      </c>
      <c r="G101" s="1">
        <v>100</v>
      </c>
      <c r="H101" s="5">
        <v>19500</v>
      </c>
      <c r="I101" s="95">
        <f t="shared" si="2"/>
        <v>11700</v>
      </c>
    </row>
    <row r="102" spans="1:9" ht="17.25" customHeight="1" x14ac:dyDescent="0.35">
      <c r="A102" s="4">
        <v>45</v>
      </c>
      <c r="B102" s="6" t="s">
        <v>193</v>
      </c>
      <c r="C102" s="14" t="s">
        <v>194</v>
      </c>
      <c r="D102" s="301"/>
      <c r="E102" s="301"/>
      <c r="F102" s="1">
        <v>100</v>
      </c>
      <c r="G102" s="1">
        <v>100</v>
      </c>
      <c r="H102" s="5">
        <v>14800</v>
      </c>
      <c r="I102" s="95">
        <f t="shared" si="2"/>
        <v>8880</v>
      </c>
    </row>
    <row r="103" spans="1:9" ht="17.25" customHeight="1" x14ac:dyDescent="0.35">
      <c r="A103" s="6">
        <v>46</v>
      </c>
      <c r="B103" s="4" t="s">
        <v>195</v>
      </c>
      <c r="C103" s="18" t="s">
        <v>196</v>
      </c>
      <c r="D103" s="301"/>
      <c r="E103" s="301"/>
      <c r="F103" s="1">
        <v>100</v>
      </c>
      <c r="G103" s="1">
        <v>100</v>
      </c>
      <c r="H103" s="5">
        <v>15000</v>
      </c>
      <c r="I103" s="105">
        <f>H103*0.58</f>
        <v>8700</v>
      </c>
    </row>
    <row r="104" spans="1:9" ht="17.25" customHeight="1" x14ac:dyDescent="0.35">
      <c r="A104" s="6">
        <v>47</v>
      </c>
      <c r="B104" s="6" t="s">
        <v>197</v>
      </c>
      <c r="C104" s="14" t="s">
        <v>198</v>
      </c>
      <c r="D104" s="301">
        <v>5</v>
      </c>
      <c r="E104" s="301">
        <v>3.75</v>
      </c>
      <c r="F104" s="1">
        <v>80</v>
      </c>
      <c r="G104" s="1">
        <v>65</v>
      </c>
      <c r="H104" s="5">
        <v>24600</v>
      </c>
      <c r="I104" s="95">
        <f t="shared" si="2"/>
        <v>14760</v>
      </c>
    </row>
    <row r="105" spans="1:9" ht="17.25" customHeight="1" x14ac:dyDescent="0.35">
      <c r="A105" s="4">
        <v>48</v>
      </c>
      <c r="B105" s="4"/>
      <c r="C105" s="20" t="s">
        <v>199</v>
      </c>
      <c r="D105" s="301"/>
      <c r="E105" s="301"/>
      <c r="F105" s="1">
        <v>80</v>
      </c>
      <c r="G105" s="1">
        <v>65</v>
      </c>
      <c r="H105" s="5">
        <v>26000</v>
      </c>
      <c r="I105" s="95">
        <f t="shared" si="2"/>
        <v>15600</v>
      </c>
    </row>
    <row r="106" spans="1:9" ht="17.25" customHeight="1" x14ac:dyDescent="0.35">
      <c r="A106" s="6">
        <v>49</v>
      </c>
      <c r="B106" s="6" t="s">
        <v>200</v>
      </c>
      <c r="C106" s="20" t="s">
        <v>201</v>
      </c>
      <c r="D106" s="301"/>
      <c r="E106" s="301"/>
      <c r="F106" s="1">
        <v>80</v>
      </c>
      <c r="G106" s="1">
        <v>65</v>
      </c>
      <c r="H106" s="5">
        <v>23600</v>
      </c>
      <c r="I106" s="95">
        <f t="shared" si="2"/>
        <v>14160</v>
      </c>
    </row>
    <row r="107" spans="1:9" ht="17.25" customHeight="1" x14ac:dyDescent="0.35">
      <c r="A107" s="6">
        <v>50</v>
      </c>
      <c r="B107" s="4" t="s">
        <v>202</v>
      </c>
      <c r="C107" s="18" t="s">
        <v>203</v>
      </c>
      <c r="D107" s="7">
        <v>0.75</v>
      </c>
      <c r="E107" s="7">
        <v>0.56000000000000005</v>
      </c>
      <c r="F107" s="2">
        <v>25</v>
      </c>
      <c r="G107" s="2">
        <v>25</v>
      </c>
      <c r="H107" s="5">
        <v>5170</v>
      </c>
      <c r="I107" s="95">
        <f t="shared" si="2"/>
        <v>3102</v>
      </c>
    </row>
    <row r="108" spans="1:9" ht="17.25" customHeight="1" x14ac:dyDescent="0.35">
      <c r="A108" s="4">
        <v>51</v>
      </c>
      <c r="B108" s="4" t="s">
        <v>204</v>
      </c>
      <c r="C108" s="18" t="s">
        <v>205</v>
      </c>
      <c r="D108" s="301">
        <v>1</v>
      </c>
      <c r="E108" s="301">
        <v>0.75</v>
      </c>
      <c r="F108" s="1">
        <v>40</v>
      </c>
      <c r="G108" s="1">
        <v>40</v>
      </c>
      <c r="H108" s="5">
        <v>9000</v>
      </c>
      <c r="I108" s="95">
        <f t="shared" si="2"/>
        <v>5400</v>
      </c>
    </row>
    <row r="109" spans="1:9" ht="17.25" customHeight="1" x14ac:dyDescent="0.35">
      <c r="A109" s="6">
        <v>52</v>
      </c>
      <c r="B109" s="4"/>
      <c r="C109" s="18" t="s">
        <v>206</v>
      </c>
      <c r="D109" s="301"/>
      <c r="E109" s="301"/>
      <c r="F109" s="1">
        <v>40</v>
      </c>
      <c r="G109" s="1">
        <v>40</v>
      </c>
      <c r="H109" s="5">
        <v>9000</v>
      </c>
      <c r="I109" s="95">
        <f t="shared" si="2"/>
        <v>5400</v>
      </c>
    </row>
    <row r="110" spans="1:9" ht="17.25" customHeight="1" x14ac:dyDescent="0.35">
      <c r="A110" s="6">
        <v>53</v>
      </c>
      <c r="B110" s="4"/>
      <c r="C110" s="20" t="s">
        <v>207</v>
      </c>
      <c r="D110" s="301">
        <v>2</v>
      </c>
      <c r="E110" s="301">
        <v>1.5</v>
      </c>
      <c r="F110" s="1">
        <v>75</v>
      </c>
      <c r="G110" s="1">
        <v>75</v>
      </c>
      <c r="H110" s="5">
        <v>12500</v>
      </c>
      <c r="I110" s="95">
        <f t="shared" si="2"/>
        <v>7500</v>
      </c>
    </row>
    <row r="111" spans="1:9" ht="17.25" customHeight="1" x14ac:dyDescent="0.35">
      <c r="A111" s="4">
        <v>54</v>
      </c>
      <c r="B111" s="4" t="s">
        <v>208</v>
      </c>
      <c r="C111" s="20" t="s">
        <v>209</v>
      </c>
      <c r="D111" s="301"/>
      <c r="E111" s="301"/>
      <c r="F111" s="1">
        <v>75</v>
      </c>
      <c r="G111" s="1">
        <v>75</v>
      </c>
      <c r="H111" s="5">
        <v>12500</v>
      </c>
      <c r="I111" s="95">
        <f t="shared" si="2"/>
        <v>7500</v>
      </c>
    </row>
    <row r="112" spans="1:9" ht="17.25" customHeight="1" x14ac:dyDescent="0.35">
      <c r="A112" s="6">
        <v>55</v>
      </c>
      <c r="B112" s="4" t="s">
        <v>210</v>
      </c>
      <c r="C112" s="20" t="s">
        <v>211</v>
      </c>
      <c r="D112" s="301"/>
      <c r="E112" s="301"/>
      <c r="F112" s="1">
        <v>65</v>
      </c>
      <c r="G112" s="1">
        <v>50</v>
      </c>
      <c r="H112" s="5">
        <v>12200</v>
      </c>
      <c r="I112" s="95">
        <f t="shared" si="2"/>
        <v>7320</v>
      </c>
    </row>
    <row r="113" spans="1:9" ht="17.25" customHeight="1" x14ac:dyDescent="0.35">
      <c r="A113" s="6">
        <v>56</v>
      </c>
      <c r="B113" s="4" t="s">
        <v>212</v>
      </c>
      <c r="C113" s="20" t="s">
        <v>213</v>
      </c>
      <c r="D113" s="301"/>
      <c r="E113" s="301"/>
      <c r="F113" s="1">
        <v>50</v>
      </c>
      <c r="G113" s="1">
        <v>50</v>
      </c>
      <c r="H113" s="5">
        <v>12200</v>
      </c>
      <c r="I113" s="95">
        <f t="shared" si="2"/>
        <v>7320</v>
      </c>
    </row>
    <row r="114" spans="1:9" ht="17.25" customHeight="1" x14ac:dyDescent="0.35">
      <c r="A114" s="300" t="s">
        <v>214</v>
      </c>
      <c r="B114" s="300"/>
      <c r="C114" s="300"/>
      <c r="D114" s="300"/>
      <c r="E114" s="300"/>
      <c r="F114" s="300"/>
      <c r="G114" s="300"/>
      <c r="H114" s="287" t="s">
        <v>109</v>
      </c>
      <c r="I114" s="315" t="s">
        <v>504</v>
      </c>
    </row>
    <row r="115" spans="1:9" ht="17.25" customHeight="1" x14ac:dyDescent="0.35">
      <c r="A115" s="287" t="s">
        <v>2</v>
      </c>
      <c r="B115" s="287" t="s">
        <v>3</v>
      </c>
      <c r="C115" s="298" t="s">
        <v>4</v>
      </c>
      <c r="D115" s="287" t="s">
        <v>5</v>
      </c>
      <c r="E115" s="287"/>
      <c r="F115" s="287" t="s">
        <v>6</v>
      </c>
      <c r="G115" s="287"/>
      <c r="H115" s="287"/>
      <c r="I115" s="315"/>
    </row>
    <row r="116" spans="1:9" ht="17.25" customHeight="1" x14ac:dyDescent="0.35">
      <c r="A116" s="287"/>
      <c r="B116" s="287"/>
      <c r="C116" s="298"/>
      <c r="D116" s="11" t="s">
        <v>9</v>
      </c>
      <c r="E116" s="11" t="s">
        <v>10</v>
      </c>
      <c r="F116" s="11" t="s">
        <v>11</v>
      </c>
      <c r="G116" s="11" t="s">
        <v>12</v>
      </c>
      <c r="H116" s="287"/>
      <c r="I116" s="315"/>
    </row>
    <row r="117" spans="1:9" ht="17.25" customHeight="1" x14ac:dyDescent="0.35">
      <c r="A117" s="4">
        <v>1</v>
      </c>
      <c r="B117" s="4" t="s">
        <v>215</v>
      </c>
      <c r="C117" s="12" t="s">
        <v>216</v>
      </c>
      <c r="D117" s="2">
        <v>0.5</v>
      </c>
      <c r="E117" s="2">
        <v>0.37</v>
      </c>
      <c r="F117" s="2">
        <v>25</v>
      </c>
      <c r="G117" s="2">
        <v>25</v>
      </c>
      <c r="H117" s="13">
        <v>5370</v>
      </c>
      <c r="I117" s="96">
        <f t="shared" ref="I117:I128" si="3">H117*0.63</f>
        <v>3383.1</v>
      </c>
    </row>
    <row r="118" spans="1:9" ht="17.25" customHeight="1" x14ac:dyDescent="0.35">
      <c r="A118" s="4">
        <v>2</v>
      </c>
      <c r="B118" s="4" t="s">
        <v>217</v>
      </c>
      <c r="C118" s="12" t="s">
        <v>218</v>
      </c>
      <c r="D118" s="2">
        <v>1</v>
      </c>
      <c r="E118" s="2">
        <v>0.75</v>
      </c>
      <c r="F118" s="2">
        <v>25</v>
      </c>
      <c r="G118" s="2">
        <v>25</v>
      </c>
      <c r="H118" s="13">
        <v>7070</v>
      </c>
      <c r="I118" s="96">
        <f t="shared" si="3"/>
        <v>4454.1000000000004</v>
      </c>
    </row>
    <row r="119" spans="1:9" ht="17.25" customHeight="1" x14ac:dyDescent="0.35">
      <c r="A119" s="4">
        <v>3</v>
      </c>
      <c r="B119" s="21" t="s">
        <v>219</v>
      </c>
      <c r="C119" s="22" t="s">
        <v>220</v>
      </c>
      <c r="D119" s="23">
        <v>2</v>
      </c>
      <c r="E119" s="4">
        <v>1.5</v>
      </c>
      <c r="F119" s="4">
        <v>50</v>
      </c>
      <c r="G119" s="4">
        <v>50</v>
      </c>
      <c r="H119" s="4">
        <v>12200</v>
      </c>
      <c r="I119" s="96">
        <f t="shared" si="3"/>
        <v>7686</v>
      </c>
    </row>
    <row r="120" spans="1:9" ht="17.25" customHeight="1" x14ac:dyDescent="0.35">
      <c r="A120" s="4">
        <v>4</v>
      </c>
      <c r="B120" s="21" t="s">
        <v>221</v>
      </c>
      <c r="C120" s="22" t="s">
        <v>222</v>
      </c>
      <c r="D120" s="23">
        <v>2</v>
      </c>
      <c r="E120" s="4">
        <v>1.5</v>
      </c>
      <c r="F120" s="4">
        <v>50</v>
      </c>
      <c r="G120" s="4">
        <v>50</v>
      </c>
      <c r="H120" s="4">
        <v>12200</v>
      </c>
      <c r="I120" s="96">
        <f t="shared" si="3"/>
        <v>7686</v>
      </c>
    </row>
    <row r="121" spans="1:9" ht="17.25" customHeight="1" x14ac:dyDescent="0.35">
      <c r="A121" s="4">
        <v>5</v>
      </c>
      <c r="B121" s="21" t="s">
        <v>223</v>
      </c>
      <c r="C121" s="22" t="s">
        <v>224</v>
      </c>
      <c r="D121" s="23">
        <v>2</v>
      </c>
      <c r="E121" s="4">
        <v>1.5</v>
      </c>
      <c r="F121" s="4">
        <v>65</v>
      </c>
      <c r="G121" s="4">
        <v>50</v>
      </c>
      <c r="H121" s="4">
        <v>12300</v>
      </c>
      <c r="I121" s="96">
        <f t="shared" si="3"/>
        <v>7749</v>
      </c>
    </row>
    <row r="122" spans="1:9" ht="17.25" customHeight="1" x14ac:dyDescent="0.35">
      <c r="A122" s="4">
        <v>6</v>
      </c>
      <c r="B122" s="21" t="s">
        <v>225</v>
      </c>
      <c r="C122" s="22" t="s">
        <v>226</v>
      </c>
      <c r="D122" s="23">
        <v>2</v>
      </c>
      <c r="E122" s="4">
        <v>1.5</v>
      </c>
      <c r="F122" s="4">
        <v>65</v>
      </c>
      <c r="G122" s="4">
        <v>50</v>
      </c>
      <c r="H122" s="4">
        <v>12300</v>
      </c>
      <c r="I122" s="96">
        <f t="shared" si="3"/>
        <v>7749</v>
      </c>
    </row>
    <row r="123" spans="1:9" ht="17.25" customHeight="1" x14ac:dyDescent="0.35">
      <c r="A123" s="4">
        <v>7</v>
      </c>
      <c r="B123" s="21" t="s">
        <v>227</v>
      </c>
      <c r="C123" s="22" t="s">
        <v>228</v>
      </c>
      <c r="D123" s="21">
        <v>3</v>
      </c>
      <c r="E123" s="4">
        <v>2.25</v>
      </c>
      <c r="F123" s="4">
        <v>65</v>
      </c>
      <c r="G123" s="4">
        <v>50</v>
      </c>
      <c r="H123" s="4">
        <v>12900</v>
      </c>
      <c r="I123" s="96">
        <f t="shared" si="3"/>
        <v>8127</v>
      </c>
    </row>
    <row r="124" spans="1:9" ht="17.25" customHeight="1" x14ac:dyDescent="0.35">
      <c r="A124" s="4">
        <v>8</v>
      </c>
      <c r="B124" s="21" t="s">
        <v>229</v>
      </c>
      <c r="C124" s="24" t="s">
        <v>230</v>
      </c>
      <c r="D124" s="21">
        <v>3</v>
      </c>
      <c r="E124" s="4">
        <v>2.25</v>
      </c>
      <c r="F124" s="4">
        <v>65</v>
      </c>
      <c r="G124" s="4">
        <v>50</v>
      </c>
      <c r="H124" s="4">
        <v>13000</v>
      </c>
      <c r="I124" s="96">
        <f t="shared" si="3"/>
        <v>8190</v>
      </c>
    </row>
    <row r="125" spans="1:9" ht="17.25" customHeight="1" x14ac:dyDescent="0.35">
      <c r="A125" s="4">
        <v>9</v>
      </c>
      <c r="B125" s="21" t="s">
        <v>231</v>
      </c>
      <c r="C125" s="24" t="s">
        <v>232</v>
      </c>
      <c r="D125" s="21">
        <v>3</v>
      </c>
      <c r="E125" s="4">
        <v>2.25</v>
      </c>
      <c r="F125" s="4">
        <v>65</v>
      </c>
      <c r="G125" s="4">
        <v>50</v>
      </c>
      <c r="H125" s="4">
        <v>12900</v>
      </c>
      <c r="I125" s="96">
        <f t="shared" si="3"/>
        <v>8127</v>
      </c>
    </row>
    <row r="126" spans="1:9" ht="17.25" customHeight="1" x14ac:dyDescent="0.35">
      <c r="A126" s="4">
        <v>10</v>
      </c>
      <c r="B126" s="21" t="s">
        <v>233</v>
      </c>
      <c r="C126" s="24" t="s">
        <v>234</v>
      </c>
      <c r="D126" s="21">
        <v>3</v>
      </c>
      <c r="E126" s="4">
        <v>2.25</v>
      </c>
      <c r="F126" s="4">
        <v>65</v>
      </c>
      <c r="G126" s="4">
        <v>50</v>
      </c>
      <c r="H126" s="4">
        <v>19300</v>
      </c>
      <c r="I126" s="96">
        <f t="shared" si="3"/>
        <v>12159</v>
      </c>
    </row>
    <row r="127" spans="1:9" ht="17.25" customHeight="1" x14ac:dyDescent="0.35">
      <c r="A127" s="4">
        <v>11</v>
      </c>
      <c r="B127" s="21" t="s">
        <v>235</v>
      </c>
      <c r="C127" s="24" t="s">
        <v>236</v>
      </c>
      <c r="D127" s="21">
        <v>5</v>
      </c>
      <c r="E127" s="1">
        <v>3.75</v>
      </c>
      <c r="F127" s="4">
        <v>65</v>
      </c>
      <c r="G127" s="4">
        <v>50</v>
      </c>
      <c r="H127" s="4">
        <v>18700</v>
      </c>
      <c r="I127" s="96">
        <f t="shared" si="3"/>
        <v>11781</v>
      </c>
    </row>
    <row r="128" spans="1:9" ht="17.25" customHeight="1" x14ac:dyDescent="0.35">
      <c r="A128" s="4">
        <v>12</v>
      </c>
      <c r="B128" s="21" t="s">
        <v>237</v>
      </c>
      <c r="C128" s="24" t="s">
        <v>238</v>
      </c>
      <c r="D128" s="21">
        <v>5</v>
      </c>
      <c r="E128" s="1">
        <v>3.75</v>
      </c>
      <c r="F128" s="4">
        <v>65</v>
      </c>
      <c r="G128" s="4">
        <v>50</v>
      </c>
      <c r="H128" s="4">
        <v>22900</v>
      </c>
      <c r="I128" s="96">
        <f t="shared" si="3"/>
        <v>14427</v>
      </c>
    </row>
    <row r="129" spans="1:9" ht="17.25" customHeight="1" x14ac:dyDescent="0.35">
      <c r="A129" s="300" t="s">
        <v>239</v>
      </c>
      <c r="B129" s="300"/>
      <c r="C129" s="300"/>
      <c r="D129" s="300"/>
      <c r="E129" s="300"/>
      <c r="F129" s="300"/>
      <c r="G129" s="300"/>
      <c r="H129" s="287" t="s">
        <v>109</v>
      </c>
      <c r="I129" s="315" t="s">
        <v>504</v>
      </c>
    </row>
    <row r="130" spans="1:9" ht="17.25" customHeight="1" x14ac:dyDescent="0.35">
      <c r="A130" s="287" t="s">
        <v>2</v>
      </c>
      <c r="B130" s="287" t="s">
        <v>3</v>
      </c>
      <c r="C130" s="298" t="s">
        <v>4</v>
      </c>
      <c r="D130" s="287" t="s">
        <v>5</v>
      </c>
      <c r="E130" s="287"/>
      <c r="F130" s="287" t="s">
        <v>6</v>
      </c>
      <c r="G130" s="287"/>
      <c r="H130" s="287"/>
      <c r="I130" s="315"/>
    </row>
    <row r="131" spans="1:9" ht="17.25" customHeight="1" x14ac:dyDescent="0.35">
      <c r="A131" s="287"/>
      <c r="B131" s="287"/>
      <c r="C131" s="298"/>
      <c r="D131" s="11" t="s">
        <v>9</v>
      </c>
      <c r="E131" s="11" t="s">
        <v>10</v>
      </c>
      <c r="F131" s="287"/>
      <c r="G131" s="287"/>
      <c r="H131" s="287"/>
      <c r="I131" s="315"/>
    </row>
    <row r="132" spans="1:9" ht="17.25" customHeight="1" x14ac:dyDescent="0.35">
      <c r="A132" s="4">
        <v>1</v>
      </c>
      <c r="B132" s="4" t="s">
        <v>240</v>
      </c>
      <c r="C132" s="25" t="s">
        <v>241</v>
      </c>
      <c r="D132" s="4">
        <v>0.5</v>
      </c>
      <c r="E132" s="4"/>
      <c r="F132" s="292">
        <v>32</v>
      </c>
      <c r="G132" s="292"/>
      <c r="H132" s="4">
        <v>8240</v>
      </c>
      <c r="I132" s="96">
        <f t="shared" ref="I132:I154" si="4">H132*0.63</f>
        <v>5191.2</v>
      </c>
    </row>
    <row r="133" spans="1:9" ht="17.25" customHeight="1" x14ac:dyDescent="0.35">
      <c r="A133" s="4">
        <v>2</v>
      </c>
      <c r="B133" s="4" t="s">
        <v>242</v>
      </c>
      <c r="C133" s="25" t="s">
        <v>243</v>
      </c>
      <c r="D133" s="4">
        <v>0.5</v>
      </c>
      <c r="E133" s="4"/>
      <c r="F133" s="292">
        <v>32</v>
      </c>
      <c r="G133" s="292"/>
      <c r="H133" s="4">
        <v>8450</v>
      </c>
      <c r="I133" s="96">
        <f t="shared" si="4"/>
        <v>5323.5</v>
      </c>
    </row>
    <row r="134" spans="1:9" ht="17.25" customHeight="1" x14ac:dyDescent="0.35">
      <c r="A134" s="4">
        <v>3</v>
      </c>
      <c r="B134" s="4" t="s">
        <v>244</v>
      </c>
      <c r="C134" s="25" t="s">
        <v>245</v>
      </c>
      <c r="D134" s="4">
        <v>0.75</v>
      </c>
      <c r="E134" s="4"/>
      <c r="F134" s="292">
        <v>32</v>
      </c>
      <c r="G134" s="292"/>
      <c r="H134" s="4">
        <v>8550</v>
      </c>
      <c r="I134" s="96">
        <f t="shared" si="4"/>
        <v>5386.5</v>
      </c>
    </row>
    <row r="135" spans="1:9" ht="17.25" customHeight="1" x14ac:dyDescent="0.35">
      <c r="A135" s="4">
        <v>4</v>
      </c>
      <c r="B135" s="4" t="s">
        <v>246</v>
      </c>
      <c r="C135" s="25" t="s">
        <v>247</v>
      </c>
      <c r="D135" s="4">
        <v>0.75</v>
      </c>
      <c r="E135" s="4"/>
      <c r="F135" s="292">
        <v>32</v>
      </c>
      <c r="G135" s="292"/>
      <c r="H135" s="4">
        <v>8750</v>
      </c>
      <c r="I135" s="96">
        <f t="shared" si="4"/>
        <v>5512.5</v>
      </c>
    </row>
    <row r="136" spans="1:9" ht="17.25" customHeight="1" x14ac:dyDescent="0.35">
      <c r="A136" s="4">
        <v>5</v>
      </c>
      <c r="B136" s="4" t="s">
        <v>248</v>
      </c>
      <c r="C136" s="25" t="s">
        <v>249</v>
      </c>
      <c r="D136" s="4">
        <v>1</v>
      </c>
      <c r="E136" s="4"/>
      <c r="F136" s="292">
        <v>32</v>
      </c>
      <c r="G136" s="292"/>
      <c r="H136" s="26">
        <v>8800</v>
      </c>
      <c r="I136" s="96">
        <f t="shared" si="4"/>
        <v>5544</v>
      </c>
    </row>
    <row r="137" spans="1:9" ht="17.25" customHeight="1" x14ac:dyDescent="0.35">
      <c r="A137" s="4">
        <v>6</v>
      </c>
      <c r="B137" s="4" t="s">
        <v>250</v>
      </c>
      <c r="C137" s="25" t="s">
        <v>251</v>
      </c>
      <c r="D137" s="4">
        <v>1</v>
      </c>
      <c r="E137" s="4"/>
      <c r="F137" s="292">
        <v>32</v>
      </c>
      <c r="G137" s="292"/>
      <c r="H137" s="26">
        <v>9000</v>
      </c>
      <c r="I137" s="96">
        <f t="shared" si="4"/>
        <v>5670</v>
      </c>
    </row>
    <row r="138" spans="1:9" ht="17.25" customHeight="1" x14ac:dyDescent="0.35">
      <c r="A138" s="4">
        <v>7</v>
      </c>
      <c r="B138" s="4" t="s">
        <v>252</v>
      </c>
      <c r="C138" s="25" t="s">
        <v>253</v>
      </c>
      <c r="D138" s="4">
        <v>1</v>
      </c>
      <c r="E138" s="4"/>
      <c r="F138" s="292">
        <v>32</v>
      </c>
      <c r="G138" s="292"/>
      <c r="H138" s="4">
        <v>9480</v>
      </c>
      <c r="I138" s="96">
        <f t="shared" si="4"/>
        <v>5972.4</v>
      </c>
    </row>
    <row r="139" spans="1:9" ht="17.25" customHeight="1" x14ac:dyDescent="0.35">
      <c r="A139" s="4">
        <v>8</v>
      </c>
      <c r="B139" s="4" t="s">
        <v>254</v>
      </c>
      <c r="C139" s="25" t="s">
        <v>255</v>
      </c>
      <c r="D139" s="4">
        <v>1</v>
      </c>
      <c r="E139" s="4"/>
      <c r="F139" s="292">
        <v>32</v>
      </c>
      <c r="G139" s="292"/>
      <c r="H139" s="4">
        <v>9790</v>
      </c>
      <c r="I139" s="96">
        <f t="shared" si="4"/>
        <v>6167.7</v>
      </c>
    </row>
    <row r="140" spans="1:9" ht="17.25" customHeight="1" x14ac:dyDescent="0.35">
      <c r="A140" s="4">
        <v>9</v>
      </c>
      <c r="B140" s="4" t="s">
        <v>256</v>
      </c>
      <c r="C140" s="25" t="s">
        <v>257</v>
      </c>
      <c r="D140" s="4">
        <v>1.5</v>
      </c>
      <c r="E140" s="4"/>
      <c r="F140" s="292">
        <v>32</v>
      </c>
      <c r="G140" s="292"/>
      <c r="H140" s="4">
        <v>11330</v>
      </c>
      <c r="I140" s="96">
        <f t="shared" si="4"/>
        <v>7137.9</v>
      </c>
    </row>
    <row r="141" spans="1:9" ht="17.25" customHeight="1" x14ac:dyDescent="0.35">
      <c r="A141" s="4">
        <v>10</v>
      </c>
      <c r="B141" s="4" t="s">
        <v>258</v>
      </c>
      <c r="C141" s="25" t="s">
        <v>259</v>
      </c>
      <c r="D141" s="4">
        <v>1.5</v>
      </c>
      <c r="E141" s="4"/>
      <c r="F141" s="292">
        <v>32</v>
      </c>
      <c r="G141" s="292"/>
      <c r="H141" s="4">
        <v>11640</v>
      </c>
      <c r="I141" s="96">
        <f t="shared" si="4"/>
        <v>7333.2</v>
      </c>
    </row>
    <row r="142" spans="1:9" ht="17.25" customHeight="1" x14ac:dyDescent="0.35">
      <c r="A142" s="4">
        <v>11</v>
      </c>
      <c r="B142" s="4" t="s">
        <v>260</v>
      </c>
      <c r="C142" s="25" t="s">
        <v>261</v>
      </c>
      <c r="D142" s="4">
        <v>1.5</v>
      </c>
      <c r="E142" s="4"/>
      <c r="F142" s="292">
        <v>32</v>
      </c>
      <c r="G142" s="292"/>
      <c r="H142" s="4">
        <v>11800</v>
      </c>
      <c r="I142" s="96">
        <f t="shared" si="4"/>
        <v>7434</v>
      </c>
    </row>
    <row r="143" spans="1:9" ht="17.25" customHeight="1" x14ac:dyDescent="0.35">
      <c r="A143" s="4">
        <v>12</v>
      </c>
      <c r="B143" s="4" t="s">
        <v>262</v>
      </c>
      <c r="C143" s="25" t="s">
        <v>263</v>
      </c>
      <c r="D143" s="4">
        <v>1.5</v>
      </c>
      <c r="E143" s="4"/>
      <c r="F143" s="292">
        <v>32</v>
      </c>
      <c r="G143" s="292"/>
      <c r="H143" s="4">
        <v>12670</v>
      </c>
      <c r="I143" s="96">
        <f t="shared" si="4"/>
        <v>7982.1</v>
      </c>
    </row>
    <row r="144" spans="1:9" ht="17.25" customHeight="1" x14ac:dyDescent="0.35">
      <c r="A144" s="4">
        <v>13</v>
      </c>
      <c r="B144" s="4" t="s">
        <v>264</v>
      </c>
      <c r="C144" s="25" t="s">
        <v>265</v>
      </c>
      <c r="D144" s="4">
        <v>2</v>
      </c>
      <c r="E144" s="4"/>
      <c r="F144" s="292">
        <v>40</v>
      </c>
      <c r="G144" s="292"/>
      <c r="H144" s="4">
        <v>14730</v>
      </c>
      <c r="I144" s="96">
        <f t="shared" si="4"/>
        <v>9279.9</v>
      </c>
    </row>
    <row r="145" spans="1:9" ht="17.25" customHeight="1" x14ac:dyDescent="0.35">
      <c r="A145" s="4">
        <v>14</v>
      </c>
      <c r="B145" s="4" t="s">
        <v>266</v>
      </c>
      <c r="C145" s="25" t="s">
        <v>267</v>
      </c>
      <c r="D145" s="4">
        <v>2</v>
      </c>
      <c r="E145" s="4"/>
      <c r="F145" s="292">
        <v>32</v>
      </c>
      <c r="G145" s="292"/>
      <c r="H145" s="4">
        <v>15250</v>
      </c>
      <c r="I145" s="96">
        <f t="shared" si="4"/>
        <v>9607.5</v>
      </c>
    </row>
    <row r="146" spans="1:9" ht="17.25" customHeight="1" x14ac:dyDescent="0.35">
      <c r="A146" s="4">
        <v>15</v>
      </c>
      <c r="B146" s="4" t="s">
        <v>268</v>
      </c>
      <c r="C146" s="25" t="s">
        <v>269</v>
      </c>
      <c r="D146" s="4">
        <v>2</v>
      </c>
      <c r="E146" s="4"/>
      <c r="F146" s="292">
        <v>32</v>
      </c>
      <c r="G146" s="292"/>
      <c r="H146" s="4">
        <v>15860</v>
      </c>
      <c r="I146" s="96">
        <f t="shared" si="4"/>
        <v>9991.7999999999993</v>
      </c>
    </row>
    <row r="147" spans="1:9" ht="17.25" customHeight="1" x14ac:dyDescent="0.35">
      <c r="A147" s="4">
        <v>16</v>
      </c>
      <c r="B147" s="4" t="s">
        <v>270</v>
      </c>
      <c r="C147" s="25" t="s">
        <v>271</v>
      </c>
      <c r="D147" s="4">
        <v>2</v>
      </c>
      <c r="E147" s="4"/>
      <c r="F147" s="292">
        <v>32</v>
      </c>
      <c r="G147" s="292"/>
      <c r="H147" s="4">
        <v>15970</v>
      </c>
      <c r="I147" s="96">
        <f t="shared" si="4"/>
        <v>10061.1</v>
      </c>
    </row>
    <row r="148" spans="1:9" ht="17.25" customHeight="1" x14ac:dyDescent="0.35">
      <c r="A148" s="4">
        <v>17</v>
      </c>
      <c r="B148" s="4" t="s">
        <v>272</v>
      </c>
      <c r="C148" s="25" t="s">
        <v>273</v>
      </c>
      <c r="D148" s="4">
        <v>2</v>
      </c>
      <c r="E148" s="4"/>
      <c r="F148" s="292">
        <v>32</v>
      </c>
      <c r="G148" s="292"/>
      <c r="H148" s="4">
        <v>16480</v>
      </c>
      <c r="I148" s="96">
        <f t="shared" si="4"/>
        <v>10382.4</v>
      </c>
    </row>
    <row r="149" spans="1:9" ht="17.25" customHeight="1" x14ac:dyDescent="0.35">
      <c r="A149" s="4">
        <v>18</v>
      </c>
      <c r="B149" s="4" t="s">
        <v>274</v>
      </c>
      <c r="C149" s="25" t="s">
        <v>275</v>
      </c>
      <c r="D149" s="4">
        <v>2</v>
      </c>
      <c r="E149" s="4"/>
      <c r="F149" s="292">
        <v>65</v>
      </c>
      <c r="G149" s="292"/>
      <c r="H149" s="4">
        <v>14940</v>
      </c>
      <c r="I149" s="96">
        <f t="shared" si="4"/>
        <v>9412.2000000000007</v>
      </c>
    </row>
    <row r="150" spans="1:9" ht="17.25" customHeight="1" x14ac:dyDescent="0.35">
      <c r="A150" s="4">
        <v>19</v>
      </c>
      <c r="B150" s="4" t="s">
        <v>276</v>
      </c>
      <c r="C150" s="25" t="s">
        <v>277</v>
      </c>
      <c r="D150" s="4">
        <v>3</v>
      </c>
      <c r="E150" s="4"/>
      <c r="F150" s="292">
        <v>32</v>
      </c>
      <c r="G150" s="292"/>
      <c r="H150" s="4">
        <v>23500</v>
      </c>
      <c r="I150" s="96">
        <f t="shared" si="4"/>
        <v>14805</v>
      </c>
    </row>
    <row r="151" spans="1:9" ht="17.25" customHeight="1" x14ac:dyDescent="0.35">
      <c r="A151" s="4">
        <v>20</v>
      </c>
      <c r="B151" s="4" t="s">
        <v>278</v>
      </c>
      <c r="C151" s="25" t="s">
        <v>279</v>
      </c>
      <c r="D151" s="4">
        <v>3</v>
      </c>
      <c r="E151" s="4"/>
      <c r="F151" s="292">
        <v>32</v>
      </c>
      <c r="G151" s="292"/>
      <c r="H151" s="4">
        <v>24000</v>
      </c>
      <c r="I151" s="96">
        <f t="shared" si="4"/>
        <v>15120</v>
      </c>
    </row>
    <row r="152" spans="1:9" ht="17.25" customHeight="1" x14ac:dyDescent="0.35">
      <c r="A152" s="4">
        <v>21</v>
      </c>
      <c r="B152" s="4" t="s">
        <v>280</v>
      </c>
      <c r="C152" s="25" t="s">
        <v>281</v>
      </c>
      <c r="D152" s="4">
        <v>3</v>
      </c>
      <c r="E152" s="4"/>
      <c r="F152" s="292">
        <v>32</v>
      </c>
      <c r="G152" s="292"/>
      <c r="H152" s="4">
        <v>24500</v>
      </c>
      <c r="I152" s="96">
        <f t="shared" si="4"/>
        <v>15435</v>
      </c>
    </row>
    <row r="153" spans="1:9" ht="17.25" customHeight="1" x14ac:dyDescent="0.35">
      <c r="A153" s="4">
        <v>22</v>
      </c>
      <c r="B153" s="4" t="s">
        <v>282</v>
      </c>
      <c r="C153" s="25" t="s">
        <v>283</v>
      </c>
      <c r="D153" s="4">
        <v>3</v>
      </c>
      <c r="E153" s="4"/>
      <c r="F153" s="292">
        <v>65</v>
      </c>
      <c r="G153" s="292"/>
      <c r="H153" s="4">
        <v>23690</v>
      </c>
      <c r="I153" s="96">
        <f t="shared" si="4"/>
        <v>14924.7</v>
      </c>
    </row>
    <row r="154" spans="1:9" ht="17.25" customHeight="1" x14ac:dyDescent="0.35">
      <c r="A154" s="4">
        <v>23</v>
      </c>
      <c r="B154" s="4" t="s">
        <v>284</v>
      </c>
      <c r="C154" s="25" t="s">
        <v>283</v>
      </c>
      <c r="D154" s="4">
        <v>3</v>
      </c>
      <c r="E154" s="4"/>
      <c r="F154" s="292">
        <v>65</v>
      </c>
      <c r="G154" s="292"/>
      <c r="H154" s="4">
        <v>15450</v>
      </c>
      <c r="I154" s="96">
        <f t="shared" si="4"/>
        <v>9733.5</v>
      </c>
    </row>
    <row r="155" spans="1:9" ht="17.25" customHeight="1" x14ac:dyDescent="0.35">
      <c r="A155" s="300" t="s">
        <v>285</v>
      </c>
      <c r="B155" s="300"/>
      <c r="C155" s="300"/>
      <c r="D155" s="300"/>
      <c r="E155" s="300"/>
      <c r="F155" s="300"/>
      <c r="G155" s="300"/>
      <c r="H155" s="287" t="s">
        <v>109</v>
      </c>
      <c r="I155" s="315" t="s">
        <v>504</v>
      </c>
    </row>
    <row r="156" spans="1:9" ht="17.25" customHeight="1" x14ac:dyDescent="0.35">
      <c r="A156" s="287" t="s">
        <v>2</v>
      </c>
      <c r="B156" s="287" t="s">
        <v>3</v>
      </c>
      <c r="C156" s="298" t="s">
        <v>4</v>
      </c>
      <c r="D156" s="287" t="s">
        <v>5</v>
      </c>
      <c r="E156" s="287"/>
      <c r="F156" s="287" t="s">
        <v>6</v>
      </c>
      <c r="G156" s="287"/>
      <c r="H156" s="287"/>
      <c r="I156" s="315"/>
    </row>
    <row r="157" spans="1:9" ht="17.25" customHeight="1" x14ac:dyDescent="0.35">
      <c r="A157" s="287"/>
      <c r="B157" s="287"/>
      <c r="C157" s="298"/>
      <c r="D157" s="11" t="s">
        <v>9</v>
      </c>
      <c r="E157" s="11" t="s">
        <v>10</v>
      </c>
      <c r="F157" s="11" t="s">
        <v>11</v>
      </c>
      <c r="G157" s="11" t="s">
        <v>12</v>
      </c>
      <c r="H157" s="287"/>
      <c r="I157" s="315"/>
    </row>
    <row r="158" spans="1:9" ht="17.25" customHeight="1" x14ac:dyDescent="0.35">
      <c r="A158" s="4">
        <v>1</v>
      </c>
      <c r="B158" s="4" t="s">
        <v>286</v>
      </c>
      <c r="C158" s="25" t="s">
        <v>287</v>
      </c>
      <c r="D158" s="4">
        <v>0.5</v>
      </c>
      <c r="E158" s="4"/>
      <c r="F158" s="292">
        <v>32</v>
      </c>
      <c r="G158" s="292"/>
      <c r="H158" s="4">
        <v>6800</v>
      </c>
      <c r="I158" s="96">
        <f t="shared" ref="I158:I172" si="5">H158*0.63</f>
        <v>4284</v>
      </c>
    </row>
    <row r="159" spans="1:9" ht="17.25" customHeight="1" x14ac:dyDescent="0.35">
      <c r="A159" s="4">
        <v>2</v>
      </c>
      <c r="B159" s="4" t="s">
        <v>288</v>
      </c>
      <c r="C159" s="25" t="s">
        <v>289</v>
      </c>
      <c r="D159" s="4">
        <v>0.5</v>
      </c>
      <c r="E159" s="4"/>
      <c r="F159" s="292">
        <v>32</v>
      </c>
      <c r="G159" s="292"/>
      <c r="H159" s="4">
        <v>7600</v>
      </c>
      <c r="I159" s="96">
        <f t="shared" si="5"/>
        <v>4788</v>
      </c>
    </row>
    <row r="160" spans="1:9" ht="17.25" customHeight="1" x14ac:dyDescent="0.35">
      <c r="A160" s="4">
        <v>3</v>
      </c>
      <c r="B160" s="4" t="s">
        <v>290</v>
      </c>
      <c r="C160" s="25" t="s">
        <v>291</v>
      </c>
      <c r="D160" s="4">
        <v>0.75</v>
      </c>
      <c r="E160" s="4"/>
      <c r="F160" s="292">
        <v>32</v>
      </c>
      <c r="G160" s="292"/>
      <c r="H160" s="4">
        <v>7800</v>
      </c>
      <c r="I160" s="96">
        <f t="shared" si="5"/>
        <v>4914</v>
      </c>
    </row>
    <row r="161" spans="1:9" ht="17.25" customHeight="1" x14ac:dyDescent="0.35">
      <c r="A161" s="4">
        <v>4</v>
      </c>
      <c r="B161" s="4" t="s">
        <v>292</v>
      </c>
      <c r="C161" s="25" t="s">
        <v>293</v>
      </c>
      <c r="D161" s="4">
        <v>0.75</v>
      </c>
      <c r="E161" s="4"/>
      <c r="F161" s="292">
        <v>32</v>
      </c>
      <c r="G161" s="292"/>
      <c r="H161" s="4">
        <v>8000</v>
      </c>
      <c r="I161" s="96">
        <f t="shared" si="5"/>
        <v>5040</v>
      </c>
    </row>
    <row r="162" spans="1:9" ht="17.25" customHeight="1" x14ac:dyDescent="0.35">
      <c r="A162" s="4">
        <v>5</v>
      </c>
      <c r="B162" s="4" t="s">
        <v>294</v>
      </c>
      <c r="C162" s="25" t="s">
        <v>295</v>
      </c>
      <c r="D162" s="4">
        <v>1</v>
      </c>
      <c r="E162" s="4"/>
      <c r="F162" s="292">
        <v>32</v>
      </c>
      <c r="G162" s="292"/>
      <c r="H162" s="4">
        <v>8200</v>
      </c>
      <c r="I162" s="103">
        <f>H162*0.6</f>
        <v>4920</v>
      </c>
    </row>
    <row r="163" spans="1:9" ht="17.25" customHeight="1" x14ac:dyDescent="0.35">
      <c r="A163" s="4">
        <v>6</v>
      </c>
      <c r="B163" s="4" t="s">
        <v>296</v>
      </c>
      <c r="C163" s="25" t="s">
        <v>297</v>
      </c>
      <c r="D163" s="4">
        <v>1</v>
      </c>
      <c r="E163" s="4"/>
      <c r="F163" s="292">
        <v>32</v>
      </c>
      <c r="G163" s="292"/>
      <c r="H163" s="4">
        <v>8400</v>
      </c>
      <c r="I163" s="96">
        <f t="shared" si="5"/>
        <v>5292</v>
      </c>
    </row>
    <row r="164" spans="1:9" ht="17.25" customHeight="1" x14ac:dyDescent="0.35">
      <c r="A164" s="4">
        <v>7</v>
      </c>
      <c r="B164" s="4" t="s">
        <v>298</v>
      </c>
      <c r="C164" s="25" t="s">
        <v>299</v>
      </c>
      <c r="D164" s="4">
        <v>1</v>
      </c>
      <c r="E164" s="4"/>
      <c r="F164" s="292">
        <v>32</v>
      </c>
      <c r="G164" s="292"/>
      <c r="H164" s="4">
        <v>8600</v>
      </c>
      <c r="I164" s="96">
        <f t="shared" si="5"/>
        <v>5418</v>
      </c>
    </row>
    <row r="165" spans="1:9" ht="17.25" customHeight="1" x14ac:dyDescent="0.35">
      <c r="A165" s="4">
        <v>8</v>
      </c>
      <c r="B165" s="4" t="s">
        <v>300</v>
      </c>
      <c r="C165" s="25" t="s">
        <v>301</v>
      </c>
      <c r="D165" s="4">
        <v>1.5</v>
      </c>
      <c r="E165" s="4"/>
      <c r="F165" s="292">
        <v>32</v>
      </c>
      <c r="G165" s="292"/>
      <c r="H165" s="4">
        <v>9000</v>
      </c>
      <c r="I165" s="96">
        <f t="shared" si="5"/>
        <v>5670</v>
      </c>
    </row>
    <row r="166" spans="1:9" ht="17.25" customHeight="1" x14ac:dyDescent="0.35">
      <c r="A166" s="4">
        <v>9</v>
      </c>
      <c r="B166" s="4" t="s">
        <v>302</v>
      </c>
      <c r="C166" s="25" t="s">
        <v>303</v>
      </c>
      <c r="D166" s="4">
        <v>1.5</v>
      </c>
      <c r="E166" s="4"/>
      <c r="F166" s="292">
        <v>32</v>
      </c>
      <c r="G166" s="292"/>
      <c r="H166" s="4">
        <v>10600</v>
      </c>
      <c r="I166" s="96">
        <f t="shared" si="5"/>
        <v>6678</v>
      </c>
    </row>
    <row r="167" spans="1:9" ht="17.25" customHeight="1" x14ac:dyDescent="0.35">
      <c r="A167" s="4">
        <v>10</v>
      </c>
      <c r="B167" s="4" t="s">
        <v>304</v>
      </c>
      <c r="C167" s="25" t="s">
        <v>305</v>
      </c>
      <c r="D167" s="4">
        <v>1.5</v>
      </c>
      <c r="E167" s="4"/>
      <c r="F167" s="292">
        <v>32</v>
      </c>
      <c r="G167" s="292"/>
      <c r="H167" s="4">
        <v>11000</v>
      </c>
      <c r="I167" s="96">
        <f t="shared" si="5"/>
        <v>6930</v>
      </c>
    </row>
    <row r="168" spans="1:9" ht="17.25" customHeight="1" x14ac:dyDescent="0.35">
      <c r="A168" s="4">
        <v>11</v>
      </c>
      <c r="B168" s="4" t="s">
        <v>306</v>
      </c>
      <c r="C168" s="25" t="s">
        <v>307</v>
      </c>
      <c r="D168" s="4">
        <v>2</v>
      </c>
      <c r="E168" s="4"/>
      <c r="F168" s="292">
        <v>32</v>
      </c>
      <c r="G168" s="292"/>
      <c r="H168" s="4">
        <v>13000</v>
      </c>
      <c r="I168" s="96">
        <f t="shared" si="5"/>
        <v>8190</v>
      </c>
    </row>
    <row r="169" spans="1:9" ht="17.25" customHeight="1" x14ac:dyDescent="0.35">
      <c r="A169" s="4">
        <v>12</v>
      </c>
      <c r="B169" s="4" t="s">
        <v>308</v>
      </c>
      <c r="C169" s="25" t="s">
        <v>309</v>
      </c>
      <c r="D169" s="4">
        <v>2</v>
      </c>
      <c r="E169" s="4"/>
      <c r="F169" s="292">
        <v>32</v>
      </c>
      <c r="G169" s="292"/>
      <c r="H169" s="4">
        <v>15500</v>
      </c>
      <c r="I169" s="96">
        <f t="shared" si="5"/>
        <v>9765</v>
      </c>
    </row>
    <row r="170" spans="1:9" ht="17.25" customHeight="1" x14ac:dyDescent="0.35">
      <c r="A170" s="4">
        <v>13</v>
      </c>
      <c r="B170" s="4" t="s">
        <v>310</v>
      </c>
      <c r="C170" s="25" t="s">
        <v>311</v>
      </c>
      <c r="D170" s="4">
        <v>3</v>
      </c>
      <c r="E170" s="4"/>
      <c r="F170" s="292">
        <v>32</v>
      </c>
      <c r="G170" s="292"/>
      <c r="H170" s="4">
        <v>19000</v>
      </c>
      <c r="I170" s="96">
        <f t="shared" si="5"/>
        <v>11970</v>
      </c>
    </row>
    <row r="171" spans="1:9" ht="17.25" customHeight="1" x14ac:dyDescent="0.35">
      <c r="A171" s="4">
        <v>14</v>
      </c>
      <c r="B171" s="4" t="s">
        <v>312</v>
      </c>
      <c r="C171" s="25" t="s">
        <v>313</v>
      </c>
      <c r="D171" s="4">
        <v>3</v>
      </c>
      <c r="E171" s="4"/>
      <c r="F171" s="292">
        <v>32</v>
      </c>
      <c r="G171" s="292"/>
      <c r="H171" s="4">
        <v>20000</v>
      </c>
      <c r="I171" s="96">
        <f t="shared" si="5"/>
        <v>12600</v>
      </c>
    </row>
    <row r="172" spans="1:9" ht="17.25" customHeight="1" x14ac:dyDescent="0.35">
      <c r="A172" s="4">
        <v>15</v>
      </c>
      <c r="B172" s="4" t="s">
        <v>314</v>
      </c>
      <c r="C172" s="25" t="s">
        <v>315</v>
      </c>
      <c r="D172" s="4">
        <v>3</v>
      </c>
      <c r="E172" s="4"/>
      <c r="F172" s="292">
        <v>32</v>
      </c>
      <c r="G172" s="292"/>
      <c r="H172" s="4">
        <v>20500</v>
      </c>
      <c r="I172" s="96">
        <f t="shared" si="5"/>
        <v>12915</v>
      </c>
    </row>
  </sheetData>
  <mergeCells count="95">
    <mergeCell ref="A1:I3"/>
    <mergeCell ref="A4:I4"/>
    <mergeCell ref="A5:A6"/>
    <mergeCell ref="B5:B6"/>
    <mergeCell ref="C5:C6"/>
    <mergeCell ref="D5:E5"/>
    <mergeCell ref="F5:G5"/>
    <mergeCell ref="H5:H6"/>
    <mergeCell ref="I5:I6"/>
    <mergeCell ref="A55:G55"/>
    <mergeCell ref="H55:H57"/>
    <mergeCell ref="I55:I57"/>
    <mergeCell ref="A56:A57"/>
    <mergeCell ref="B56:B57"/>
    <mergeCell ref="C56:C57"/>
    <mergeCell ref="D56:E56"/>
    <mergeCell ref="F56:G56"/>
    <mergeCell ref="D58:D59"/>
    <mergeCell ref="E58:E59"/>
    <mergeCell ref="D61:D66"/>
    <mergeCell ref="E61:E66"/>
    <mergeCell ref="D67:D73"/>
    <mergeCell ref="E67:E73"/>
    <mergeCell ref="D74:D91"/>
    <mergeCell ref="E74:E91"/>
    <mergeCell ref="D92:D103"/>
    <mergeCell ref="E92:E103"/>
    <mergeCell ref="D104:D106"/>
    <mergeCell ref="E104:E106"/>
    <mergeCell ref="D108:D109"/>
    <mergeCell ref="E108:E109"/>
    <mergeCell ref="D110:D113"/>
    <mergeCell ref="E110:E113"/>
    <mergeCell ref="A114:G114"/>
    <mergeCell ref="I114:I116"/>
    <mergeCell ref="A115:A116"/>
    <mergeCell ref="B115:B116"/>
    <mergeCell ref="C115:C116"/>
    <mergeCell ref="D115:E115"/>
    <mergeCell ref="F115:G115"/>
    <mergeCell ref="H114:H116"/>
    <mergeCell ref="F137:G137"/>
    <mergeCell ref="A129:G129"/>
    <mergeCell ref="H129:H131"/>
    <mergeCell ref="I129:I131"/>
    <mergeCell ref="A130:A131"/>
    <mergeCell ref="B130:B131"/>
    <mergeCell ref="C130:C131"/>
    <mergeCell ref="D130:E130"/>
    <mergeCell ref="F130:G131"/>
    <mergeCell ref="F132:G132"/>
    <mergeCell ref="F133:G133"/>
    <mergeCell ref="F134:G134"/>
    <mergeCell ref="F135:G135"/>
    <mergeCell ref="F136:G136"/>
    <mergeCell ref="F149:G149"/>
    <mergeCell ref="F138:G138"/>
    <mergeCell ref="F139:G139"/>
    <mergeCell ref="F140:G140"/>
    <mergeCell ref="F141:G141"/>
    <mergeCell ref="F142:G142"/>
    <mergeCell ref="F143:G143"/>
    <mergeCell ref="F144:G144"/>
    <mergeCell ref="F145:G145"/>
    <mergeCell ref="F146:G146"/>
    <mergeCell ref="F147:G147"/>
    <mergeCell ref="F148:G148"/>
    <mergeCell ref="F150:G150"/>
    <mergeCell ref="F151:G151"/>
    <mergeCell ref="F152:G152"/>
    <mergeCell ref="F153:G153"/>
    <mergeCell ref="F154:G154"/>
    <mergeCell ref="F163:G163"/>
    <mergeCell ref="H155:H157"/>
    <mergeCell ref="I155:I157"/>
    <mergeCell ref="A156:A157"/>
    <mergeCell ref="B156:B157"/>
    <mergeCell ref="C156:C157"/>
    <mergeCell ref="D156:E156"/>
    <mergeCell ref="F156:G156"/>
    <mergeCell ref="A155:G155"/>
    <mergeCell ref="F158:G158"/>
    <mergeCell ref="F159:G159"/>
    <mergeCell ref="F160:G160"/>
    <mergeCell ref="F161:G161"/>
    <mergeCell ref="F162:G162"/>
    <mergeCell ref="F170:G170"/>
    <mergeCell ref="F171:G171"/>
    <mergeCell ref="F172:G172"/>
    <mergeCell ref="F164:G164"/>
    <mergeCell ref="F165:G165"/>
    <mergeCell ref="F166:G166"/>
    <mergeCell ref="F167:G167"/>
    <mergeCell ref="F168:G168"/>
    <mergeCell ref="F169:G169"/>
  </mergeCells>
  <conditionalFormatting sqref="B1:B172">
    <cfRule type="duplicateValues" dxfId="27" priority="1"/>
    <cfRule type="duplicateValues" dxfId="26" priority="2"/>
  </conditionalFormatting>
  <pageMargins left="0.7" right="0.7" top="0.75" bottom="0.75" header="0.3" footer="0.3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L172"/>
  <sheetViews>
    <sheetView topLeftCell="A106" workbookViewId="0">
      <selection activeCell="I118" sqref="I118:L118"/>
    </sheetView>
  </sheetViews>
  <sheetFormatPr defaultRowHeight="17.25" customHeight="1" x14ac:dyDescent="0.35"/>
  <cols>
    <col min="2" max="2" width="14.1796875" customWidth="1"/>
    <col min="3" max="3" width="16" customWidth="1"/>
  </cols>
  <sheetData>
    <row r="1" spans="1:12" ht="17.25" customHeight="1" x14ac:dyDescent="0.35">
      <c r="A1" s="203" t="s">
        <v>0</v>
      </c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</row>
    <row r="2" spans="1:12" ht="17.25" customHeight="1" x14ac:dyDescent="0.35">
      <c r="A2" s="203"/>
      <c r="B2" s="204"/>
      <c r="C2" s="204"/>
      <c r="D2" s="204"/>
      <c r="E2" s="204"/>
      <c r="F2" s="204"/>
      <c r="G2" s="204"/>
      <c r="H2" s="204"/>
      <c r="I2" s="204"/>
      <c r="J2" s="204"/>
      <c r="K2" s="204"/>
      <c r="L2" s="204"/>
    </row>
    <row r="3" spans="1:12" ht="17.25" customHeight="1" x14ac:dyDescent="0.35">
      <c r="A3" s="203"/>
      <c r="B3" s="204"/>
      <c r="C3" s="204"/>
      <c r="D3" s="204"/>
      <c r="E3" s="204"/>
      <c r="F3" s="204"/>
      <c r="G3" s="204"/>
      <c r="H3" s="204"/>
      <c r="I3" s="204"/>
      <c r="J3" s="204"/>
      <c r="K3" s="204"/>
      <c r="L3" s="204"/>
    </row>
    <row r="4" spans="1:12" ht="23.25" customHeight="1" x14ac:dyDescent="0.35">
      <c r="A4" s="205" t="s">
        <v>514</v>
      </c>
      <c r="B4" s="206"/>
      <c r="C4" s="206"/>
      <c r="D4" s="206"/>
      <c r="E4" s="206"/>
      <c r="F4" s="206"/>
      <c r="G4" s="206"/>
      <c r="H4" s="206"/>
      <c r="I4" s="206"/>
      <c r="J4" s="206"/>
      <c r="K4" s="206"/>
      <c r="L4" s="206"/>
    </row>
    <row r="5" spans="1:12" ht="17.25" customHeight="1" x14ac:dyDescent="0.35">
      <c r="A5" s="287" t="s">
        <v>2</v>
      </c>
      <c r="B5" s="287" t="s">
        <v>3</v>
      </c>
      <c r="C5" s="287" t="s">
        <v>4</v>
      </c>
      <c r="D5" s="287" t="s">
        <v>5</v>
      </c>
      <c r="E5" s="287"/>
      <c r="F5" s="287" t="s">
        <v>6</v>
      </c>
      <c r="G5" s="287"/>
      <c r="H5" s="287" t="s">
        <v>7</v>
      </c>
      <c r="I5" s="321" t="s">
        <v>334</v>
      </c>
      <c r="J5" s="322"/>
      <c r="K5" s="322"/>
      <c r="L5" s="322"/>
    </row>
    <row r="6" spans="1:12" ht="17.25" customHeight="1" x14ac:dyDescent="0.35">
      <c r="A6" s="287"/>
      <c r="B6" s="287"/>
      <c r="C6" s="287"/>
      <c r="D6" s="11" t="s">
        <v>9</v>
      </c>
      <c r="E6" s="11" t="s">
        <v>10</v>
      </c>
      <c r="F6" s="11" t="s">
        <v>11</v>
      </c>
      <c r="G6" s="11" t="s">
        <v>12</v>
      </c>
      <c r="H6" s="287"/>
      <c r="I6" s="41">
        <v>0.3</v>
      </c>
      <c r="J6" s="41">
        <v>0.02</v>
      </c>
      <c r="K6" s="41">
        <v>0.03</v>
      </c>
      <c r="L6" s="41">
        <v>0.03</v>
      </c>
    </row>
    <row r="7" spans="1:12" ht="17.25" customHeight="1" x14ac:dyDescent="0.35">
      <c r="A7" s="6">
        <v>1</v>
      </c>
      <c r="B7" s="4" t="s">
        <v>13</v>
      </c>
      <c r="C7" s="12" t="s">
        <v>14</v>
      </c>
      <c r="D7" s="2">
        <v>0.5</v>
      </c>
      <c r="E7" s="2">
        <v>0.37</v>
      </c>
      <c r="F7" s="2">
        <v>25</v>
      </c>
      <c r="G7" s="2">
        <v>25</v>
      </c>
      <c r="H7" s="13">
        <v>2640</v>
      </c>
      <c r="I7" s="297">
        <f>H7*0.63</f>
        <v>1663.2</v>
      </c>
      <c r="J7" s="297"/>
      <c r="K7" s="297"/>
      <c r="L7" s="297"/>
    </row>
    <row r="8" spans="1:12" ht="17.25" customHeight="1" x14ac:dyDescent="0.35">
      <c r="A8" s="6">
        <v>2</v>
      </c>
      <c r="B8" s="4" t="s">
        <v>15</v>
      </c>
      <c r="C8" s="12" t="s">
        <v>16</v>
      </c>
      <c r="D8" s="2">
        <v>1</v>
      </c>
      <c r="E8" s="2">
        <v>0.75</v>
      </c>
      <c r="F8" s="2">
        <v>25</v>
      </c>
      <c r="G8" s="2">
        <v>25</v>
      </c>
      <c r="H8" s="13">
        <v>3420</v>
      </c>
      <c r="I8" s="297">
        <f>H8*0.63</f>
        <v>2154.6</v>
      </c>
      <c r="J8" s="297"/>
      <c r="K8" s="297"/>
      <c r="L8" s="297"/>
    </row>
    <row r="9" spans="1:12" ht="17.25" customHeight="1" x14ac:dyDescent="0.35">
      <c r="A9" s="4">
        <v>3</v>
      </c>
      <c r="B9" s="4" t="s">
        <v>17</v>
      </c>
      <c r="C9" s="12" t="s">
        <v>18</v>
      </c>
      <c r="D9" s="2">
        <v>0.5</v>
      </c>
      <c r="E9" s="2">
        <v>0.37</v>
      </c>
      <c r="F9" s="2">
        <v>25</v>
      </c>
      <c r="G9" s="2">
        <v>25</v>
      </c>
      <c r="H9" s="13">
        <v>2840</v>
      </c>
      <c r="I9" s="297">
        <f>H9*0.63</f>
        <v>1789.2</v>
      </c>
      <c r="J9" s="297"/>
      <c r="K9" s="297"/>
      <c r="L9" s="297"/>
    </row>
    <row r="10" spans="1:12" ht="17.25" customHeight="1" x14ac:dyDescent="0.35">
      <c r="A10" s="6">
        <v>4</v>
      </c>
      <c r="B10" s="4" t="s">
        <v>19</v>
      </c>
      <c r="C10" s="12" t="s">
        <v>20</v>
      </c>
      <c r="D10" s="2">
        <v>1</v>
      </c>
      <c r="E10" s="2">
        <v>0.75</v>
      </c>
      <c r="F10" s="2">
        <v>25</v>
      </c>
      <c r="G10" s="2">
        <v>25</v>
      </c>
      <c r="H10" s="13">
        <v>3660</v>
      </c>
      <c r="I10" s="297">
        <f>H10*0.63</f>
        <v>2305.8000000000002</v>
      </c>
      <c r="J10" s="297"/>
      <c r="K10" s="297"/>
      <c r="L10" s="297"/>
    </row>
    <row r="11" spans="1:12" ht="17.25" customHeight="1" x14ac:dyDescent="0.35">
      <c r="A11" s="6">
        <v>5</v>
      </c>
      <c r="B11" s="6" t="s">
        <v>21</v>
      </c>
      <c r="C11" s="14" t="s">
        <v>22</v>
      </c>
      <c r="D11" s="2">
        <v>0.5</v>
      </c>
      <c r="E11" s="2">
        <v>0.37</v>
      </c>
      <c r="F11" s="2">
        <v>25</v>
      </c>
      <c r="G11" s="2">
        <v>25</v>
      </c>
      <c r="H11" s="8">
        <v>3160</v>
      </c>
      <c r="I11" s="26">
        <f>H11*0.7</f>
        <v>2212</v>
      </c>
      <c r="J11" s="26">
        <f>I11*0.98</f>
        <v>2167.7599999999998</v>
      </c>
      <c r="K11" s="26">
        <f t="shared" ref="K11:L25" si="0">J11*0.97</f>
        <v>2102.7271999999998</v>
      </c>
      <c r="L11" s="26">
        <f t="shared" si="0"/>
        <v>2039.6453839999997</v>
      </c>
    </row>
    <row r="12" spans="1:12" ht="17.25" customHeight="1" x14ac:dyDescent="0.35">
      <c r="A12" s="6">
        <v>6</v>
      </c>
      <c r="B12" s="6" t="s">
        <v>23</v>
      </c>
      <c r="C12" s="14" t="s">
        <v>24</v>
      </c>
      <c r="D12" s="2">
        <v>1</v>
      </c>
      <c r="E12" s="2">
        <v>0.75</v>
      </c>
      <c r="F12" s="2">
        <v>25</v>
      </c>
      <c r="G12" s="2">
        <v>25</v>
      </c>
      <c r="H12" s="8">
        <v>4120</v>
      </c>
      <c r="I12" s="26">
        <f t="shared" ref="I12:I25" si="1">H12*0.7</f>
        <v>2884</v>
      </c>
      <c r="J12" s="26">
        <f t="shared" ref="J12:J25" si="2">I12*0.98</f>
        <v>2826.32</v>
      </c>
      <c r="K12" s="26">
        <f t="shared" si="0"/>
        <v>2741.5304000000001</v>
      </c>
      <c r="L12" s="26">
        <f t="shared" si="0"/>
        <v>2659.2844880000002</v>
      </c>
    </row>
    <row r="13" spans="1:12" ht="17.25" customHeight="1" x14ac:dyDescent="0.35">
      <c r="A13" s="4">
        <v>7</v>
      </c>
      <c r="B13" s="4" t="s">
        <v>25</v>
      </c>
      <c r="C13" s="12" t="s">
        <v>26</v>
      </c>
      <c r="D13" s="2">
        <v>1.5</v>
      </c>
      <c r="E13" s="2">
        <v>1</v>
      </c>
      <c r="F13" s="2">
        <v>25</v>
      </c>
      <c r="G13" s="2">
        <v>25</v>
      </c>
      <c r="H13" s="8">
        <v>5750</v>
      </c>
      <c r="I13" s="26">
        <f t="shared" si="1"/>
        <v>4024.9999999999995</v>
      </c>
      <c r="J13" s="26">
        <f t="shared" si="2"/>
        <v>3944.4999999999995</v>
      </c>
      <c r="K13" s="26">
        <f t="shared" si="0"/>
        <v>3826.1649999999995</v>
      </c>
      <c r="L13" s="26">
        <f t="shared" si="0"/>
        <v>3711.3800499999993</v>
      </c>
    </row>
    <row r="14" spans="1:12" ht="17.25" customHeight="1" x14ac:dyDescent="0.35">
      <c r="A14" s="6">
        <v>8</v>
      </c>
      <c r="B14" s="6" t="s">
        <v>27</v>
      </c>
      <c r="C14" s="14" t="s">
        <v>28</v>
      </c>
      <c r="D14" s="2">
        <v>0.5</v>
      </c>
      <c r="E14" s="2">
        <v>0.37</v>
      </c>
      <c r="F14" s="2">
        <v>25</v>
      </c>
      <c r="G14" s="2">
        <v>25</v>
      </c>
      <c r="H14" s="8">
        <v>3520</v>
      </c>
      <c r="I14" s="26">
        <f t="shared" si="1"/>
        <v>2464</v>
      </c>
      <c r="J14" s="26">
        <f t="shared" si="2"/>
        <v>2414.7199999999998</v>
      </c>
      <c r="K14" s="26">
        <f t="shared" si="0"/>
        <v>2342.2783999999997</v>
      </c>
      <c r="L14" s="26">
        <f t="shared" si="0"/>
        <v>2272.0100479999996</v>
      </c>
    </row>
    <row r="15" spans="1:12" ht="17.25" customHeight="1" x14ac:dyDescent="0.35">
      <c r="A15" s="6">
        <v>9</v>
      </c>
      <c r="B15" s="4" t="s">
        <v>29</v>
      </c>
      <c r="C15" s="15" t="s">
        <v>30</v>
      </c>
      <c r="D15" s="2">
        <v>1</v>
      </c>
      <c r="E15" s="2">
        <v>0.75</v>
      </c>
      <c r="F15" s="2">
        <v>25</v>
      </c>
      <c r="G15" s="2">
        <v>25</v>
      </c>
      <c r="H15" s="8">
        <v>3660</v>
      </c>
      <c r="I15" s="26">
        <f t="shared" si="1"/>
        <v>2562</v>
      </c>
      <c r="J15" s="26">
        <f t="shared" si="2"/>
        <v>2510.7599999999998</v>
      </c>
      <c r="K15" s="26">
        <f t="shared" si="0"/>
        <v>2435.4371999999998</v>
      </c>
      <c r="L15" s="26">
        <f t="shared" si="0"/>
        <v>2362.3740839999996</v>
      </c>
    </row>
    <row r="16" spans="1:12" ht="17.25" customHeight="1" x14ac:dyDescent="0.35">
      <c r="A16" s="6">
        <v>10</v>
      </c>
      <c r="B16" s="4" t="s">
        <v>31</v>
      </c>
      <c r="C16" s="12" t="s">
        <v>32</v>
      </c>
      <c r="D16" s="2">
        <v>1</v>
      </c>
      <c r="E16" s="2">
        <v>0.75</v>
      </c>
      <c r="F16" s="2">
        <v>25</v>
      </c>
      <c r="G16" s="2">
        <v>25</v>
      </c>
      <c r="H16" s="8">
        <v>4220</v>
      </c>
      <c r="I16" s="26">
        <f t="shared" si="1"/>
        <v>2954</v>
      </c>
      <c r="J16" s="26">
        <f t="shared" si="2"/>
        <v>2894.92</v>
      </c>
      <c r="K16" s="26">
        <f t="shared" si="0"/>
        <v>2808.0724</v>
      </c>
      <c r="L16" s="26">
        <f t="shared" si="0"/>
        <v>2723.8302279999998</v>
      </c>
    </row>
    <row r="17" spans="1:12" ht="17.25" customHeight="1" x14ac:dyDescent="0.35">
      <c r="A17" s="4">
        <v>11</v>
      </c>
      <c r="B17" s="6" t="s">
        <v>33</v>
      </c>
      <c r="C17" s="14" t="s">
        <v>34</v>
      </c>
      <c r="D17" s="2">
        <v>0.75</v>
      </c>
      <c r="E17" s="2">
        <v>0.56000000000000005</v>
      </c>
      <c r="F17" s="2">
        <v>25</v>
      </c>
      <c r="G17" s="2">
        <v>25</v>
      </c>
      <c r="H17" s="8">
        <v>4080</v>
      </c>
      <c r="I17" s="26">
        <f t="shared" si="1"/>
        <v>2856</v>
      </c>
      <c r="J17" s="26">
        <f t="shared" si="2"/>
        <v>2798.88</v>
      </c>
      <c r="K17" s="26">
        <f t="shared" si="0"/>
        <v>2714.9135999999999</v>
      </c>
      <c r="L17" s="26">
        <f t="shared" si="0"/>
        <v>2633.4661919999999</v>
      </c>
    </row>
    <row r="18" spans="1:12" ht="17.25" customHeight="1" x14ac:dyDescent="0.35">
      <c r="A18" s="6">
        <v>12</v>
      </c>
      <c r="B18" s="4" t="s">
        <v>35</v>
      </c>
      <c r="C18" s="16" t="s">
        <v>36</v>
      </c>
      <c r="D18" s="2">
        <v>1</v>
      </c>
      <c r="E18" s="2">
        <v>0.75</v>
      </c>
      <c r="F18" s="2">
        <v>25</v>
      </c>
      <c r="G18" s="2">
        <v>25</v>
      </c>
      <c r="H18" s="8">
        <v>4730</v>
      </c>
      <c r="I18" s="26">
        <f t="shared" si="1"/>
        <v>3311</v>
      </c>
      <c r="J18" s="26">
        <f t="shared" si="2"/>
        <v>3244.7799999999997</v>
      </c>
      <c r="K18" s="26">
        <f t="shared" si="0"/>
        <v>3147.4365999999995</v>
      </c>
      <c r="L18" s="26">
        <f t="shared" si="0"/>
        <v>3053.0135019999993</v>
      </c>
    </row>
    <row r="19" spans="1:12" ht="17.25" customHeight="1" x14ac:dyDescent="0.35">
      <c r="A19" s="6">
        <v>13</v>
      </c>
      <c r="B19" s="4" t="s">
        <v>37</v>
      </c>
      <c r="C19" s="16" t="s">
        <v>38</v>
      </c>
      <c r="D19" s="2">
        <v>1</v>
      </c>
      <c r="E19" s="2">
        <v>0.75</v>
      </c>
      <c r="F19" s="2">
        <v>25</v>
      </c>
      <c r="G19" s="2">
        <v>25</v>
      </c>
      <c r="H19" s="8">
        <v>4730</v>
      </c>
      <c r="I19" s="26">
        <f t="shared" si="1"/>
        <v>3311</v>
      </c>
      <c r="J19" s="26">
        <f t="shared" si="2"/>
        <v>3244.7799999999997</v>
      </c>
      <c r="K19" s="26">
        <f t="shared" si="0"/>
        <v>3147.4365999999995</v>
      </c>
      <c r="L19" s="26">
        <f t="shared" si="0"/>
        <v>3053.0135019999993</v>
      </c>
    </row>
    <row r="20" spans="1:12" ht="17.25" customHeight="1" x14ac:dyDescent="0.35">
      <c r="A20" s="6">
        <v>14</v>
      </c>
      <c r="B20" s="6" t="s">
        <v>39</v>
      </c>
      <c r="C20" s="14" t="s">
        <v>40</v>
      </c>
      <c r="D20" s="2">
        <v>1</v>
      </c>
      <c r="E20" s="2">
        <v>0.75</v>
      </c>
      <c r="F20" s="2">
        <v>25</v>
      </c>
      <c r="G20" s="2">
        <v>25</v>
      </c>
      <c r="H20" s="8">
        <v>5170</v>
      </c>
      <c r="I20" s="26">
        <f t="shared" si="1"/>
        <v>3618.9999999999995</v>
      </c>
      <c r="J20" s="26">
        <f t="shared" si="2"/>
        <v>3546.6199999999994</v>
      </c>
      <c r="K20" s="26">
        <f t="shared" si="0"/>
        <v>3440.2213999999994</v>
      </c>
      <c r="L20" s="26">
        <f t="shared" si="0"/>
        <v>3337.0147579999993</v>
      </c>
    </row>
    <row r="21" spans="1:12" ht="17.25" customHeight="1" x14ac:dyDescent="0.35">
      <c r="A21" s="4">
        <v>15</v>
      </c>
      <c r="B21" s="6" t="s">
        <v>41</v>
      </c>
      <c r="C21" s="14" t="s">
        <v>42</v>
      </c>
      <c r="D21" s="2">
        <v>1</v>
      </c>
      <c r="E21" s="2">
        <v>0.75</v>
      </c>
      <c r="F21" s="2">
        <v>25</v>
      </c>
      <c r="G21" s="2">
        <v>25</v>
      </c>
      <c r="H21" s="8">
        <v>4670</v>
      </c>
      <c r="I21" s="26">
        <f t="shared" si="1"/>
        <v>3269</v>
      </c>
      <c r="J21" s="26">
        <f t="shared" si="2"/>
        <v>3203.62</v>
      </c>
      <c r="K21" s="26">
        <f t="shared" si="0"/>
        <v>3107.5113999999999</v>
      </c>
      <c r="L21" s="26">
        <f t="shared" si="0"/>
        <v>3014.2860579999997</v>
      </c>
    </row>
    <row r="22" spans="1:12" ht="17.25" customHeight="1" x14ac:dyDescent="0.35">
      <c r="A22" s="6">
        <v>16</v>
      </c>
      <c r="B22" s="4" t="s">
        <v>43</v>
      </c>
      <c r="C22" s="12" t="s">
        <v>44</v>
      </c>
      <c r="D22" s="2">
        <v>1.2</v>
      </c>
      <c r="E22" s="2">
        <v>0.9</v>
      </c>
      <c r="F22" s="2">
        <v>25</v>
      </c>
      <c r="G22" s="2">
        <v>25</v>
      </c>
      <c r="H22" s="8">
        <v>6650</v>
      </c>
      <c r="I22" s="26">
        <f t="shared" si="1"/>
        <v>4655</v>
      </c>
      <c r="J22" s="26">
        <f t="shared" si="2"/>
        <v>4561.8999999999996</v>
      </c>
      <c r="K22" s="26">
        <f t="shared" si="0"/>
        <v>4425.0429999999997</v>
      </c>
      <c r="L22" s="26">
        <f t="shared" si="0"/>
        <v>4292.2917099999995</v>
      </c>
    </row>
    <row r="23" spans="1:12" ht="17.25" customHeight="1" x14ac:dyDescent="0.35">
      <c r="A23" s="6">
        <v>17</v>
      </c>
      <c r="B23" s="6" t="s">
        <v>45</v>
      </c>
      <c r="C23" s="14" t="s">
        <v>46</v>
      </c>
      <c r="D23" s="2">
        <v>1.5</v>
      </c>
      <c r="E23" s="2">
        <v>1.1000000000000001</v>
      </c>
      <c r="F23" s="2">
        <v>25</v>
      </c>
      <c r="G23" s="2">
        <v>25</v>
      </c>
      <c r="H23" s="8">
        <v>8150</v>
      </c>
      <c r="I23" s="26">
        <f t="shared" si="1"/>
        <v>5705</v>
      </c>
      <c r="J23" s="26">
        <f t="shared" si="2"/>
        <v>5590.9</v>
      </c>
      <c r="K23" s="26">
        <f t="shared" si="0"/>
        <v>5423.1729999999998</v>
      </c>
      <c r="L23" s="26">
        <f t="shared" si="0"/>
        <v>5260.4778099999994</v>
      </c>
    </row>
    <row r="24" spans="1:12" ht="17.25" customHeight="1" x14ac:dyDescent="0.35">
      <c r="A24" s="6">
        <v>18</v>
      </c>
      <c r="B24" s="6" t="s">
        <v>47</v>
      </c>
      <c r="C24" s="14" t="s">
        <v>48</v>
      </c>
      <c r="D24" s="2">
        <v>2</v>
      </c>
      <c r="E24" s="2">
        <v>1.5</v>
      </c>
      <c r="F24" s="2">
        <v>25</v>
      </c>
      <c r="G24" s="2">
        <v>25</v>
      </c>
      <c r="H24" s="8">
        <v>9190</v>
      </c>
      <c r="I24" s="26">
        <f t="shared" si="1"/>
        <v>6433</v>
      </c>
      <c r="J24" s="26">
        <f t="shared" si="2"/>
        <v>6304.34</v>
      </c>
      <c r="K24" s="26">
        <f t="shared" si="0"/>
        <v>6115.2097999999996</v>
      </c>
      <c r="L24" s="26">
        <f t="shared" si="0"/>
        <v>5931.7535059999991</v>
      </c>
    </row>
    <row r="25" spans="1:12" ht="17.25" customHeight="1" x14ac:dyDescent="0.35">
      <c r="A25" s="4">
        <v>19</v>
      </c>
      <c r="B25" s="6" t="s">
        <v>49</v>
      </c>
      <c r="C25" s="14" t="s">
        <v>50</v>
      </c>
      <c r="D25" s="2">
        <v>0.5</v>
      </c>
      <c r="E25" s="2">
        <v>0.37</v>
      </c>
      <c r="F25" s="2">
        <v>25</v>
      </c>
      <c r="G25" s="2">
        <v>25</v>
      </c>
      <c r="H25" s="8">
        <v>3310</v>
      </c>
      <c r="I25" s="26">
        <f t="shared" si="1"/>
        <v>2317</v>
      </c>
      <c r="J25" s="26">
        <f t="shared" si="2"/>
        <v>2270.66</v>
      </c>
      <c r="K25" s="26">
        <f t="shared" si="0"/>
        <v>2202.5401999999999</v>
      </c>
      <c r="L25" s="26">
        <f t="shared" si="0"/>
        <v>2136.4639939999997</v>
      </c>
    </row>
    <row r="26" spans="1:12" ht="17.25" customHeight="1" x14ac:dyDescent="0.35">
      <c r="A26" s="6">
        <v>20</v>
      </c>
      <c r="B26" s="4" t="s">
        <v>51</v>
      </c>
      <c r="C26" s="12" t="s">
        <v>52</v>
      </c>
      <c r="D26" s="2">
        <v>0.5</v>
      </c>
      <c r="E26" s="2">
        <v>0.37</v>
      </c>
      <c r="F26" s="2">
        <v>25</v>
      </c>
      <c r="G26" s="2">
        <v>25</v>
      </c>
      <c r="H26" s="10">
        <v>4380</v>
      </c>
      <c r="I26" s="297">
        <f>H26*0.63</f>
        <v>2759.4</v>
      </c>
      <c r="J26" s="297"/>
      <c r="K26" s="297"/>
      <c r="L26" s="297"/>
    </row>
    <row r="27" spans="1:12" ht="17.25" customHeight="1" x14ac:dyDescent="0.35">
      <c r="A27" s="6">
        <v>21</v>
      </c>
      <c r="B27" s="4" t="s">
        <v>53</v>
      </c>
      <c r="C27" s="12" t="s">
        <v>54</v>
      </c>
      <c r="D27" s="2">
        <v>1</v>
      </c>
      <c r="E27" s="2">
        <v>0.75</v>
      </c>
      <c r="F27" s="2">
        <v>25</v>
      </c>
      <c r="G27" s="2">
        <v>25</v>
      </c>
      <c r="H27" s="10">
        <v>5300</v>
      </c>
      <c r="I27" s="297">
        <f>H27*0.63</f>
        <v>3339</v>
      </c>
      <c r="J27" s="297"/>
      <c r="K27" s="297"/>
      <c r="L27" s="297"/>
    </row>
    <row r="28" spans="1:12" ht="17.25" customHeight="1" x14ac:dyDescent="0.35">
      <c r="A28" s="6">
        <v>22</v>
      </c>
      <c r="B28" s="6" t="s">
        <v>55</v>
      </c>
      <c r="C28" s="14" t="s">
        <v>56</v>
      </c>
      <c r="D28" s="2">
        <v>1.1000000000000001</v>
      </c>
      <c r="E28" s="2">
        <v>0.8</v>
      </c>
      <c r="F28" s="2">
        <v>25</v>
      </c>
      <c r="G28" s="2">
        <v>25</v>
      </c>
      <c r="H28" s="8">
        <v>5040</v>
      </c>
      <c r="I28" s="26">
        <f>H28*0.7</f>
        <v>3528</v>
      </c>
      <c r="J28" s="26">
        <f>I28*0.98</f>
        <v>3457.44</v>
      </c>
      <c r="K28" s="26">
        <f t="shared" ref="K28:L30" si="3">J28*0.97</f>
        <v>3353.7168000000001</v>
      </c>
      <c r="L28" s="26">
        <f t="shared" si="3"/>
        <v>3253.1052960000002</v>
      </c>
    </row>
    <row r="29" spans="1:12" ht="17.25" customHeight="1" x14ac:dyDescent="0.35">
      <c r="A29" s="4">
        <v>23</v>
      </c>
      <c r="B29" s="6" t="s">
        <v>57</v>
      </c>
      <c r="C29" s="14" t="s">
        <v>58</v>
      </c>
      <c r="D29" s="2">
        <v>1.1000000000000001</v>
      </c>
      <c r="E29" s="2">
        <v>0.8</v>
      </c>
      <c r="F29" s="2">
        <v>25</v>
      </c>
      <c r="G29" s="2">
        <v>25</v>
      </c>
      <c r="H29" s="8">
        <v>5150</v>
      </c>
      <c r="I29" s="26">
        <f>H29*0.7</f>
        <v>3604.9999999999995</v>
      </c>
      <c r="J29" s="26">
        <f>I29*0.98</f>
        <v>3532.8999999999996</v>
      </c>
      <c r="K29" s="26">
        <f t="shared" si="3"/>
        <v>3426.9129999999996</v>
      </c>
      <c r="L29" s="26">
        <f t="shared" si="3"/>
        <v>3324.1056099999996</v>
      </c>
    </row>
    <row r="30" spans="1:12" ht="17.25" customHeight="1" x14ac:dyDescent="0.35">
      <c r="A30" s="6">
        <v>24</v>
      </c>
      <c r="B30" s="4" t="s">
        <v>59</v>
      </c>
      <c r="C30" s="16" t="s">
        <v>60</v>
      </c>
      <c r="D30" s="2">
        <v>1.25</v>
      </c>
      <c r="E30" s="2">
        <v>0.94</v>
      </c>
      <c r="F30" s="2">
        <v>25</v>
      </c>
      <c r="G30" s="2">
        <v>25</v>
      </c>
      <c r="H30" s="8">
        <v>6630</v>
      </c>
      <c r="I30" s="26">
        <f>H30*0.7</f>
        <v>4641</v>
      </c>
      <c r="J30" s="26">
        <f>I30*0.98</f>
        <v>4548.18</v>
      </c>
      <c r="K30" s="26">
        <f t="shared" si="3"/>
        <v>4411.7345999999998</v>
      </c>
      <c r="L30" s="26">
        <f t="shared" si="3"/>
        <v>4279.3825619999998</v>
      </c>
    </row>
    <row r="31" spans="1:12" ht="17.25" customHeight="1" x14ac:dyDescent="0.35">
      <c r="A31" s="6">
        <v>25</v>
      </c>
      <c r="B31" s="6" t="s">
        <v>61</v>
      </c>
      <c r="C31" s="14" t="s">
        <v>62</v>
      </c>
      <c r="D31" s="17">
        <v>0.5</v>
      </c>
      <c r="E31" s="17">
        <v>0.37</v>
      </c>
      <c r="F31" s="17">
        <v>25</v>
      </c>
      <c r="G31" s="17">
        <v>25</v>
      </c>
      <c r="H31" s="9">
        <v>4950</v>
      </c>
      <c r="I31" s="297">
        <f>H31*0.63</f>
        <v>3118.5</v>
      </c>
      <c r="J31" s="297"/>
      <c r="K31" s="297"/>
      <c r="L31" s="297"/>
    </row>
    <row r="32" spans="1:12" ht="17.25" customHeight="1" x14ac:dyDescent="0.35">
      <c r="A32" s="6">
        <v>26</v>
      </c>
      <c r="B32" s="6" t="s">
        <v>63</v>
      </c>
      <c r="C32" s="14" t="s">
        <v>64</v>
      </c>
      <c r="D32" s="17">
        <v>0.5</v>
      </c>
      <c r="E32" s="17">
        <v>0.37</v>
      </c>
      <c r="F32" s="17">
        <v>25</v>
      </c>
      <c r="G32" s="17">
        <v>25</v>
      </c>
      <c r="H32" s="9">
        <v>5000</v>
      </c>
      <c r="I32" s="297">
        <f>H32*0.63</f>
        <v>3150</v>
      </c>
      <c r="J32" s="297"/>
      <c r="K32" s="297"/>
      <c r="L32" s="297"/>
    </row>
    <row r="33" spans="1:12" ht="17.25" customHeight="1" x14ac:dyDescent="0.35">
      <c r="A33" s="4">
        <v>27</v>
      </c>
      <c r="B33" s="6" t="s">
        <v>65</v>
      </c>
      <c r="C33" s="14" t="s">
        <v>66</v>
      </c>
      <c r="D33" s="2">
        <v>1</v>
      </c>
      <c r="E33" s="2">
        <v>0.75</v>
      </c>
      <c r="F33" s="2">
        <v>25</v>
      </c>
      <c r="G33" s="2">
        <v>25</v>
      </c>
      <c r="H33" s="8">
        <v>5560</v>
      </c>
      <c r="I33" s="26">
        <f t="shared" ref="I33:I54" si="4">H33*0.7</f>
        <v>3891.9999999999995</v>
      </c>
      <c r="J33" s="26">
        <f t="shared" ref="J33:J54" si="5">I33*0.98</f>
        <v>3814.1599999999994</v>
      </c>
      <c r="K33" s="26">
        <f t="shared" ref="K33:L46" si="6">J33*0.97</f>
        <v>3699.7351999999992</v>
      </c>
      <c r="L33" s="26">
        <f t="shared" si="6"/>
        <v>3588.7431439999991</v>
      </c>
    </row>
    <row r="34" spans="1:12" ht="17.25" customHeight="1" x14ac:dyDescent="0.35">
      <c r="A34" s="6">
        <v>28</v>
      </c>
      <c r="B34" s="6" t="s">
        <v>67</v>
      </c>
      <c r="C34" s="14" t="s">
        <v>68</v>
      </c>
      <c r="D34" s="2">
        <v>1</v>
      </c>
      <c r="E34" s="2">
        <v>0.75</v>
      </c>
      <c r="F34" s="2">
        <v>25</v>
      </c>
      <c r="G34" s="2">
        <v>25</v>
      </c>
      <c r="H34" s="8">
        <v>5650</v>
      </c>
      <c r="I34" s="26">
        <f t="shared" si="4"/>
        <v>3954.9999999999995</v>
      </c>
      <c r="J34" s="26">
        <f t="shared" si="5"/>
        <v>3875.8999999999996</v>
      </c>
      <c r="K34" s="26">
        <f t="shared" si="6"/>
        <v>3759.6229999999996</v>
      </c>
      <c r="L34" s="26">
        <f t="shared" si="6"/>
        <v>3646.8343099999993</v>
      </c>
    </row>
    <row r="35" spans="1:12" ht="17.25" customHeight="1" x14ac:dyDescent="0.35">
      <c r="A35" s="6">
        <v>29</v>
      </c>
      <c r="B35" s="6" t="s">
        <v>69</v>
      </c>
      <c r="C35" s="14" t="s">
        <v>70</v>
      </c>
      <c r="D35" s="2">
        <v>1.5</v>
      </c>
      <c r="E35" s="2">
        <v>1.1000000000000001</v>
      </c>
      <c r="F35" s="2">
        <v>25</v>
      </c>
      <c r="G35" s="2">
        <v>25</v>
      </c>
      <c r="H35" s="8">
        <v>7840</v>
      </c>
      <c r="I35" s="26">
        <f t="shared" si="4"/>
        <v>5488</v>
      </c>
      <c r="J35" s="26">
        <f t="shared" si="5"/>
        <v>5378.24</v>
      </c>
      <c r="K35" s="26">
        <f t="shared" si="6"/>
        <v>5216.8927999999996</v>
      </c>
      <c r="L35" s="26">
        <f t="shared" si="6"/>
        <v>5060.3860159999995</v>
      </c>
    </row>
    <row r="36" spans="1:12" ht="17.25" customHeight="1" x14ac:dyDescent="0.35">
      <c r="A36" s="6">
        <v>30</v>
      </c>
      <c r="B36" s="6" t="s">
        <v>71</v>
      </c>
      <c r="C36" s="14" t="s">
        <v>72</v>
      </c>
      <c r="D36" s="2">
        <v>1.5</v>
      </c>
      <c r="E36" s="2">
        <v>1.1000000000000001</v>
      </c>
      <c r="F36" s="2">
        <v>25</v>
      </c>
      <c r="G36" s="2">
        <v>25</v>
      </c>
      <c r="H36" s="8">
        <v>8170</v>
      </c>
      <c r="I36" s="26">
        <f t="shared" si="4"/>
        <v>5719</v>
      </c>
      <c r="J36" s="26">
        <f t="shared" si="5"/>
        <v>5604.62</v>
      </c>
      <c r="K36" s="26">
        <f t="shared" si="6"/>
        <v>5436.4813999999997</v>
      </c>
      <c r="L36" s="26">
        <f t="shared" si="6"/>
        <v>5273.3869579999991</v>
      </c>
    </row>
    <row r="37" spans="1:12" ht="17.25" customHeight="1" x14ac:dyDescent="0.35">
      <c r="A37" s="4">
        <v>31</v>
      </c>
      <c r="B37" s="4" t="s">
        <v>73</v>
      </c>
      <c r="C37" s="12" t="s">
        <v>74</v>
      </c>
      <c r="D37" s="2">
        <v>0.5</v>
      </c>
      <c r="E37" s="2">
        <v>0.37</v>
      </c>
      <c r="F37" s="2">
        <v>25</v>
      </c>
      <c r="G37" s="2">
        <v>25</v>
      </c>
      <c r="H37" s="8">
        <v>6450</v>
      </c>
      <c r="I37" s="26">
        <f t="shared" si="4"/>
        <v>4515</v>
      </c>
      <c r="J37" s="26">
        <f t="shared" si="5"/>
        <v>4424.7</v>
      </c>
      <c r="K37" s="26">
        <f t="shared" si="6"/>
        <v>4291.9589999999998</v>
      </c>
      <c r="L37" s="26">
        <f t="shared" si="6"/>
        <v>4163.2002299999995</v>
      </c>
    </row>
    <row r="38" spans="1:12" ht="17.25" customHeight="1" x14ac:dyDescent="0.35">
      <c r="A38" s="6">
        <v>32</v>
      </c>
      <c r="B38" s="6" t="s">
        <v>75</v>
      </c>
      <c r="C38" s="14" t="s">
        <v>76</v>
      </c>
      <c r="D38" s="3">
        <v>0.9</v>
      </c>
      <c r="E38" s="3">
        <v>0.7</v>
      </c>
      <c r="F38" s="3">
        <v>25</v>
      </c>
      <c r="G38" s="3">
        <v>25</v>
      </c>
      <c r="H38" s="8">
        <v>6640</v>
      </c>
      <c r="I38" s="26">
        <f t="shared" si="4"/>
        <v>4648</v>
      </c>
      <c r="J38" s="26">
        <f t="shared" si="5"/>
        <v>4555.04</v>
      </c>
      <c r="K38" s="26">
        <f t="shared" si="6"/>
        <v>4418.3887999999997</v>
      </c>
      <c r="L38" s="26">
        <f t="shared" si="6"/>
        <v>4285.8371359999992</v>
      </c>
    </row>
    <row r="39" spans="1:12" ht="17.25" customHeight="1" x14ac:dyDescent="0.35">
      <c r="A39" s="6">
        <v>33</v>
      </c>
      <c r="B39" s="6" t="s">
        <v>77</v>
      </c>
      <c r="C39" s="14" t="s">
        <v>78</v>
      </c>
      <c r="D39" s="3">
        <v>1</v>
      </c>
      <c r="E39" s="3">
        <v>0.75</v>
      </c>
      <c r="F39" s="3">
        <v>25</v>
      </c>
      <c r="G39" s="3">
        <v>25</v>
      </c>
      <c r="H39" s="8">
        <v>7100</v>
      </c>
      <c r="I39" s="26">
        <f t="shared" si="4"/>
        <v>4970</v>
      </c>
      <c r="J39" s="26">
        <f t="shared" si="5"/>
        <v>4870.6000000000004</v>
      </c>
      <c r="K39" s="26">
        <f t="shared" si="6"/>
        <v>4724.482</v>
      </c>
      <c r="L39" s="26">
        <f t="shared" si="6"/>
        <v>4582.7475400000003</v>
      </c>
    </row>
    <row r="40" spans="1:12" ht="17.25" customHeight="1" x14ac:dyDescent="0.35">
      <c r="A40" s="6">
        <v>34</v>
      </c>
      <c r="B40" s="4" t="s">
        <v>79</v>
      </c>
      <c r="C40" s="15" t="s">
        <v>80</v>
      </c>
      <c r="D40" s="3">
        <v>0.5</v>
      </c>
      <c r="E40" s="3">
        <v>0.37</v>
      </c>
      <c r="F40" s="3">
        <v>25</v>
      </c>
      <c r="G40" s="3">
        <v>25</v>
      </c>
      <c r="H40" s="8">
        <v>5500</v>
      </c>
      <c r="I40" s="26">
        <f t="shared" si="4"/>
        <v>3849.9999999999995</v>
      </c>
      <c r="J40" s="26">
        <f t="shared" si="5"/>
        <v>3772.9999999999995</v>
      </c>
      <c r="K40" s="26">
        <f t="shared" si="6"/>
        <v>3659.8099999999995</v>
      </c>
      <c r="L40" s="26">
        <f t="shared" si="6"/>
        <v>3550.0156999999995</v>
      </c>
    </row>
    <row r="41" spans="1:12" ht="17.25" customHeight="1" x14ac:dyDescent="0.35">
      <c r="A41" s="4">
        <v>35</v>
      </c>
      <c r="B41" s="4"/>
      <c r="C41" s="15" t="s">
        <v>81</v>
      </c>
      <c r="D41" s="3">
        <v>1</v>
      </c>
      <c r="E41" s="3">
        <v>0.75</v>
      </c>
      <c r="F41" s="3">
        <v>25</v>
      </c>
      <c r="G41" s="3">
        <v>25</v>
      </c>
      <c r="H41" s="8">
        <v>6200</v>
      </c>
      <c r="I41" s="26">
        <f t="shared" si="4"/>
        <v>4340</v>
      </c>
      <c r="J41" s="26">
        <f t="shared" si="5"/>
        <v>4253.2</v>
      </c>
      <c r="K41" s="26">
        <f t="shared" si="6"/>
        <v>4125.6039999999994</v>
      </c>
      <c r="L41" s="26">
        <f t="shared" si="6"/>
        <v>4001.8358799999992</v>
      </c>
    </row>
    <row r="42" spans="1:12" ht="17.25" customHeight="1" x14ac:dyDescent="0.35">
      <c r="A42" s="6">
        <v>36</v>
      </c>
      <c r="B42" s="4" t="s">
        <v>82</v>
      </c>
      <c r="C42" s="12" t="s">
        <v>83</v>
      </c>
      <c r="D42" s="1">
        <v>0.5</v>
      </c>
      <c r="E42" s="1">
        <v>0.37</v>
      </c>
      <c r="F42" s="1">
        <v>25</v>
      </c>
      <c r="G42" s="1">
        <v>25</v>
      </c>
      <c r="H42" s="8">
        <v>7140</v>
      </c>
      <c r="I42" s="26">
        <f t="shared" si="4"/>
        <v>4998</v>
      </c>
      <c r="J42" s="26">
        <f t="shared" si="5"/>
        <v>4898.04</v>
      </c>
      <c r="K42" s="26">
        <f t="shared" si="6"/>
        <v>4751.0987999999998</v>
      </c>
      <c r="L42" s="26">
        <f t="shared" si="6"/>
        <v>4608.5658359999998</v>
      </c>
    </row>
    <row r="43" spans="1:12" ht="17.25" customHeight="1" x14ac:dyDescent="0.35">
      <c r="A43" s="6">
        <v>37</v>
      </c>
      <c r="B43" s="6" t="s">
        <v>84</v>
      </c>
      <c r="C43" s="14" t="s">
        <v>85</v>
      </c>
      <c r="D43" s="1">
        <v>1.1000000000000001</v>
      </c>
      <c r="E43" s="1">
        <v>0.8</v>
      </c>
      <c r="F43" s="1">
        <v>25</v>
      </c>
      <c r="G43" s="1">
        <v>25</v>
      </c>
      <c r="H43" s="8">
        <v>7700</v>
      </c>
      <c r="I43" s="26">
        <f t="shared" si="4"/>
        <v>5390</v>
      </c>
      <c r="J43" s="26">
        <f t="shared" si="5"/>
        <v>5282.2</v>
      </c>
      <c r="K43" s="26">
        <f t="shared" si="6"/>
        <v>5123.7339999999995</v>
      </c>
      <c r="L43" s="26">
        <f t="shared" si="6"/>
        <v>4970.0219799999995</v>
      </c>
    </row>
    <row r="44" spans="1:12" ht="17.25" customHeight="1" x14ac:dyDescent="0.35">
      <c r="A44" s="6">
        <v>38</v>
      </c>
      <c r="B44" s="6" t="s">
        <v>86</v>
      </c>
      <c r="C44" s="14" t="s">
        <v>87</v>
      </c>
      <c r="D44" s="1">
        <v>1.5</v>
      </c>
      <c r="E44" s="1">
        <v>1.1000000000000001</v>
      </c>
      <c r="F44" s="1">
        <v>25</v>
      </c>
      <c r="G44" s="1">
        <v>25</v>
      </c>
      <c r="H44" s="8">
        <v>8690</v>
      </c>
      <c r="I44" s="26">
        <f t="shared" si="4"/>
        <v>6083</v>
      </c>
      <c r="J44" s="26">
        <f t="shared" si="5"/>
        <v>5961.34</v>
      </c>
      <c r="K44" s="26">
        <f t="shared" si="6"/>
        <v>5782.4997999999996</v>
      </c>
      <c r="L44" s="26">
        <f t="shared" si="6"/>
        <v>5609.0248059999994</v>
      </c>
    </row>
    <row r="45" spans="1:12" ht="17.25" customHeight="1" x14ac:dyDescent="0.35">
      <c r="A45" s="4">
        <v>39</v>
      </c>
      <c r="B45" s="4" t="s">
        <v>88</v>
      </c>
      <c r="C45" s="12" t="s">
        <v>89</v>
      </c>
      <c r="D45" s="2">
        <v>0.5</v>
      </c>
      <c r="E45" s="2">
        <v>0.37</v>
      </c>
      <c r="F45" s="2">
        <v>25</v>
      </c>
      <c r="G45" s="2">
        <v>12</v>
      </c>
      <c r="H45" s="8">
        <v>4860</v>
      </c>
      <c r="I45" s="26">
        <f t="shared" si="4"/>
        <v>3402</v>
      </c>
      <c r="J45" s="26">
        <f t="shared" si="5"/>
        <v>3333.96</v>
      </c>
      <c r="K45" s="26">
        <f t="shared" si="6"/>
        <v>3233.9411999999998</v>
      </c>
      <c r="L45" s="26">
        <f t="shared" si="6"/>
        <v>3136.9229639999999</v>
      </c>
    </row>
    <row r="46" spans="1:12" ht="17.25" customHeight="1" x14ac:dyDescent="0.35">
      <c r="A46" s="6">
        <v>40</v>
      </c>
      <c r="B46" s="4" t="s">
        <v>90</v>
      </c>
      <c r="C46" s="12" t="s">
        <v>91</v>
      </c>
      <c r="D46" s="2">
        <v>1</v>
      </c>
      <c r="E46" s="2">
        <v>0.75</v>
      </c>
      <c r="F46" s="2">
        <v>25</v>
      </c>
      <c r="G46" s="2">
        <v>25</v>
      </c>
      <c r="H46" s="8">
        <v>5600</v>
      </c>
      <c r="I46" s="26">
        <f t="shared" si="4"/>
        <v>3919.9999999999995</v>
      </c>
      <c r="J46" s="26">
        <f t="shared" si="5"/>
        <v>3841.5999999999995</v>
      </c>
      <c r="K46" s="26">
        <f t="shared" si="6"/>
        <v>3726.3519999999994</v>
      </c>
      <c r="L46" s="26">
        <f t="shared" si="6"/>
        <v>3614.5614399999995</v>
      </c>
    </row>
    <row r="47" spans="1:12" ht="17.25" customHeight="1" x14ac:dyDescent="0.35">
      <c r="A47" s="6">
        <v>41</v>
      </c>
      <c r="B47" s="6" t="s">
        <v>92</v>
      </c>
      <c r="C47" s="14" t="s">
        <v>93</v>
      </c>
      <c r="D47" s="17">
        <v>1</v>
      </c>
      <c r="E47" s="17">
        <v>0.75</v>
      </c>
      <c r="F47" s="17">
        <v>25</v>
      </c>
      <c r="G47" s="17">
        <v>25</v>
      </c>
      <c r="H47" s="9">
        <v>8420</v>
      </c>
      <c r="I47" s="297">
        <f>H47*0.63</f>
        <v>5304.6</v>
      </c>
      <c r="J47" s="297"/>
      <c r="K47" s="297"/>
      <c r="L47" s="297"/>
    </row>
    <row r="48" spans="1:12" ht="17.25" customHeight="1" x14ac:dyDescent="0.35">
      <c r="A48" s="6">
        <v>42</v>
      </c>
      <c r="B48" s="6" t="s">
        <v>94</v>
      </c>
      <c r="C48" s="14" t="s">
        <v>95</v>
      </c>
      <c r="D48" s="2">
        <v>1.1000000000000001</v>
      </c>
      <c r="E48" s="2">
        <v>0.8</v>
      </c>
      <c r="F48" s="2">
        <v>25</v>
      </c>
      <c r="G48" s="2">
        <v>25</v>
      </c>
      <c r="H48" s="8">
        <v>12020</v>
      </c>
      <c r="I48" s="26">
        <f t="shared" si="4"/>
        <v>8414</v>
      </c>
      <c r="J48" s="26">
        <f t="shared" si="5"/>
        <v>8245.7199999999993</v>
      </c>
      <c r="K48" s="26">
        <f t="shared" ref="K48:L54" si="7">J48*0.97</f>
        <v>7998.3483999999989</v>
      </c>
      <c r="L48" s="26">
        <f t="shared" si="7"/>
        <v>7758.3979479999989</v>
      </c>
    </row>
    <row r="49" spans="1:12" ht="17.25" customHeight="1" x14ac:dyDescent="0.35">
      <c r="A49" s="4">
        <v>43</v>
      </c>
      <c r="B49" s="4" t="s">
        <v>96</v>
      </c>
      <c r="C49" s="12" t="s">
        <v>97</v>
      </c>
      <c r="D49" s="2">
        <v>0.5</v>
      </c>
      <c r="E49" s="2">
        <v>0.37</v>
      </c>
      <c r="F49" s="2">
        <v>25</v>
      </c>
      <c r="G49" s="2">
        <v>25</v>
      </c>
      <c r="H49" s="8">
        <v>7530</v>
      </c>
      <c r="I49" s="26">
        <f t="shared" si="4"/>
        <v>5271</v>
      </c>
      <c r="J49" s="26">
        <f t="shared" si="5"/>
        <v>5165.58</v>
      </c>
      <c r="K49" s="26">
        <f t="shared" si="7"/>
        <v>5010.6125999999995</v>
      </c>
      <c r="L49" s="26">
        <f t="shared" si="7"/>
        <v>4860.2942219999995</v>
      </c>
    </row>
    <row r="50" spans="1:12" ht="17.25" customHeight="1" x14ac:dyDescent="0.35">
      <c r="A50" s="6">
        <v>44</v>
      </c>
      <c r="B50" s="4" t="s">
        <v>98</v>
      </c>
      <c r="C50" s="12" t="s">
        <v>99</v>
      </c>
      <c r="D50" s="2">
        <v>1</v>
      </c>
      <c r="E50" s="2">
        <v>0.75</v>
      </c>
      <c r="F50" s="2">
        <v>25</v>
      </c>
      <c r="G50" s="2">
        <v>25</v>
      </c>
      <c r="H50" s="8">
        <v>9150</v>
      </c>
      <c r="I50" s="26">
        <f t="shared" si="4"/>
        <v>6405</v>
      </c>
      <c r="J50" s="26">
        <f t="shared" si="5"/>
        <v>6276.9</v>
      </c>
      <c r="K50" s="26">
        <f t="shared" si="7"/>
        <v>6088.5929999999998</v>
      </c>
      <c r="L50" s="26">
        <f t="shared" si="7"/>
        <v>5905.9352099999996</v>
      </c>
    </row>
    <row r="51" spans="1:12" ht="17.25" customHeight="1" x14ac:dyDescent="0.35">
      <c r="A51" s="6">
        <v>45</v>
      </c>
      <c r="B51" s="4" t="s">
        <v>100</v>
      </c>
      <c r="C51" s="12" t="s">
        <v>101</v>
      </c>
      <c r="D51" s="2">
        <v>1</v>
      </c>
      <c r="E51" s="2">
        <v>0.75</v>
      </c>
      <c r="F51" s="2">
        <v>25</v>
      </c>
      <c r="G51" s="2">
        <v>25</v>
      </c>
      <c r="H51" s="5">
        <v>16800</v>
      </c>
      <c r="I51" s="26">
        <f t="shared" si="4"/>
        <v>11760</v>
      </c>
      <c r="J51" s="26">
        <f t="shared" si="5"/>
        <v>11524.8</v>
      </c>
      <c r="K51" s="26">
        <f t="shared" si="7"/>
        <v>11179.055999999999</v>
      </c>
      <c r="L51" s="26">
        <f t="shared" si="7"/>
        <v>10843.684319999998</v>
      </c>
    </row>
    <row r="52" spans="1:12" ht="17.25" customHeight="1" x14ac:dyDescent="0.35">
      <c r="A52" s="6">
        <v>46</v>
      </c>
      <c r="B52" s="6" t="s">
        <v>102</v>
      </c>
      <c r="C52" s="14" t="s">
        <v>103</v>
      </c>
      <c r="D52" s="2">
        <v>0.5</v>
      </c>
      <c r="E52" s="2">
        <v>0.37</v>
      </c>
      <c r="F52" s="2">
        <v>25</v>
      </c>
      <c r="G52" s="2">
        <v>25</v>
      </c>
      <c r="H52" s="8">
        <v>17760</v>
      </c>
      <c r="I52" s="26">
        <f t="shared" si="4"/>
        <v>12432</v>
      </c>
      <c r="J52" s="26">
        <f t="shared" si="5"/>
        <v>12183.36</v>
      </c>
      <c r="K52" s="26">
        <f t="shared" si="7"/>
        <v>11817.859200000001</v>
      </c>
      <c r="L52" s="26">
        <f t="shared" si="7"/>
        <v>11463.323424</v>
      </c>
    </row>
    <row r="53" spans="1:12" ht="17.25" customHeight="1" x14ac:dyDescent="0.35">
      <c r="A53" s="4">
        <v>47</v>
      </c>
      <c r="B53" s="6" t="s">
        <v>104</v>
      </c>
      <c r="C53" s="14" t="s">
        <v>105</v>
      </c>
      <c r="D53" s="2">
        <v>1</v>
      </c>
      <c r="E53" s="2">
        <v>0.75</v>
      </c>
      <c r="F53" s="2">
        <v>25</v>
      </c>
      <c r="G53" s="2">
        <v>25</v>
      </c>
      <c r="H53" s="8">
        <v>19120</v>
      </c>
      <c r="I53" s="26">
        <f t="shared" si="4"/>
        <v>13384</v>
      </c>
      <c r="J53" s="26">
        <f t="shared" si="5"/>
        <v>13116.32</v>
      </c>
      <c r="K53" s="26">
        <f t="shared" si="7"/>
        <v>12722.830399999999</v>
      </c>
      <c r="L53" s="26">
        <f t="shared" si="7"/>
        <v>12341.145487999998</v>
      </c>
    </row>
    <row r="54" spans="1:12" ht="17.25" customHeight="1" x14ac:dyDescent="0.35">
      <c r="A54" s="6">
        <v>48</v>
      </c>
      <c r="B54" s="6" t="s">
        <v>106</v>
      </c>
      <c r="C54" s="14" t="s">
        <v>107</v>
      </c>
      <c r="D54" s="2">
        <v>1.1000000000000001</v>
      </c>
      <c r="E54" s="2">
        <v>0.8</v>
      </c>
      <c r="F54" s="2">
        <v>25</v>
      </c>
      <c r="G54" s="2">
        <v>25</v>
      </c>
      <c r="H54" s="8">
        <v>20900</v>
      </c>
      <c r="I54" s="26">
        <f t="shared" si="4"/>
        <v>14629.999999999998</v>
      </c>
      <c r="J54" s="26">
        <f t="shared" si="5"/>
        <v>14337.399999999998</v>
      </c>
      <c r="K54" s="26">
        <f t="shared" si="7"/>
        <v>13907.277999999997</v>
      </c>
      <c r="L54" s="26">
        <f t="shared" si="7"/>
        <v>13490.059659999997</v>
      </c>
    </row>
    <row r="55" spans="1:12" ht="17.25" customHeight="1" x14ac:dyDescent="0.35">
      <c r="A55" s="267" t="s">
        <v>108</v>
      </c>
      <c r="B55" s="268"/>
      <c r="C55" s="268"/>
      <c r="D55" s="268"/>
      <c r="E55" s="268"/>
      <c r="F55" s="268"/>
      <c r="G55" s="269"/>
      <c r="H55" s="207" t="s">
        <v>109</v>
      </c>
      <c r="I55" s="315" t="s">
        <v>334</v>
      </c>
      <c r="J55" s="315"/>
      <c r="K55" s="315"/>
      <c r="L55" s="315"/>
    </row>
    <row r="56" spans="1:12" ht="17.25" customHeight="1" x14ac:dyDescent="0.35">
      <c r="A56" s="207" t="s">
        <v>2</v>
      </c>
      <c r="B56" s="287" t="s">
        <v>3</v>
      </c>
      <c r="C56" s="260" t="s">
        <v>4</v>
      </c>
      <c r="D56" s="209" t="s">
        <v>5</v>
      </c>
      <c r="E56" s="210"/>
      <c r="F56" s="209" t="s">
        <v>6</v>
      </c>
      <c r="G56" s="210"/>
      <c r="H56" s="259"/>
      <c r="I56" s="315"/>
      <c r="J56" s="315"/>
      <c r="K56" s="315"/>
      <c r="L56" s="315"/>
    </row>
    <row r="57" spans="1:12" ht="17.25" customHeight="1" x14ac:dyDescent="0.35">
      <c r="A57" s="208"/>
      <c r="B57" s="287"/>
      <c r="C57" s="261"/>
      <c r="D57" s="11" t="s">
        <v>9</v>
      </c>
      <c r="E57" s="11" t="s">
        <v>10</v>
      </c>
      <c r="F57" s="11" t="s">
        <v>11</v>
      </c>
      <c r="G57" s="11" t="s">
        <v>12</v>
      </c>
      <c r="H57" s="208"/>
      <c r="I57" s="41">
        <v>0.3</v>
      </c>
      <c r="J57" s="41">
        <v>0.02</v>
      </c>
      <c r="K57" s="41">
        <v>0.03</v>
      </c>
      <c r="L57" s="41">
        <v>0.03</v>
      </c>
    </row>
    <row r="58" spans="1:12" ht="17.25" customHeight="1" x14ac:dyDescent="0.35">
      <c r="A58" s="6">
        <v>1</v>
      </c>
      <c r="B58" s="6" t="s">
        <v>110</v>
      </c>
      <c r="C58" s="14" t="s">
        <v>111</v>
      </c>
      <c r="D58" s="303">
        <v>0.5</v>
      </c>
      <c r="E58" s="303">
        <v>0.37</v>
      </c>
      <c r="F58" s="2">
        <v>25</v>
      </c>
      <c r="G58" s="2">
        <v>25</v>
      </c>
      <c r="H58" s="8">
        <v>4680</v>
      </c>
      <c r="I58" s="26">
        <f t="shared" ref="I58:I113" si="8">H58*0.7</f>
        <v>3276</v>
      </c>
      <c r="J58" s="26">
        <f t="shared" ref="J58:J113" si="9">I58*0.98</f>
        <v>3210.48</v>
      </c>
      <c r="K58" s="26">
        <f t="shared" ref="K58:L77" si="10">J58*0.97</f>
        <v>3114.1655999999998</v>
      </c>
      <c r="L58" s="26">
        <f t="shared" si="10"/>
        <v>3020.7406319999996</v>
      </c>
    </row>
    <row r="59" spans="1:12" ht="17.25" customHeight="1" x14ac:dyDescent="0.35">
      <c r="A59" s="6">
        <v>2</v>
      </c>
      <c r="B59" s="6" t="s">
        <v>112</v>
      </c>
      <c r="C59" s="14" t="s">
        <v>113</v>
      </c>
      <c r="D59" s="303"/>
      <c r="E59" s="303"/>
      <c r="F59" s="2">
        <v>40</v>
      </c>
      <c r="G59" s="2">
        <v>40</v>
      </c>
      <c r="H59" s="8">
        <v>6430</v>
      </c>
      <c r="I59" s="26">
        <f t="shared" si="8"/>
        <v>4501</v>
      </c>
      <c r="J59" s="26">
        <f t="shared" si="9"/>
        <v>4410.9799999999996</v>
      </c>
      <c r="K59" s="26">
        <f t="shared" si="10"/>
        <v>4278.650599999999</v>
      </c>
      <c r="L59" s="26">
        <f t="shared" si="10"/>
        <v>4150.2910819999988</v>
      </c>
    </row>
    <row r="60" spans="1:12" ht="17.25" customHeight="1" x14ac:dyDescent="0.35">
      <c r="A60" s="4">
        <v>3</v>
      </c>
      <c r="B60" s="4" t="s">
        <v>114</v>
      </c>
      <c r="C60" s="18" t="s">
        <v>115</v>
      </c>
      <c r="D60" s="2">
        <v>0.75</v>
      </c>
      <c r="E60" s="2">
        <v>0.56000000000000005</v>
      </c>
      <c r="F60" s="2">
        <v>40</v>
      </c>
      <c r="G60" s="2">
        <v>40</v>
      </c>
      <c r="H60" s="5">
        <v>6240</v>
      </c>
      <c r="I60" s="26">
        <f t="shared" si="8"/>
        <v>4368</v>
      </c>
      <c r="J60" s="26">
        <f t="shared" si="9"/>
        <v>4280.6400000000003</v>
      </c>
      <c r="K60" s="26">
        <f t="shared" si="10"/>
        <v>4152.2208000000001</v>
      </c>
      <c r="L60" s="26">
        <f t="shared" si="10"/>
        <v>4027.654176</v>
      </c>
    </row>
    <row r="61" spans="1:12" ht="17.25" customHeight="1" x14ac:dyDescent="0.35">
      <c r="A61" s="6">
        <v>4</v>
      </c>
      <c r="B61" s="6" t="s">
        <v>116</v>
      </c>
      <c r="C61" s="14" t="s">
        <v>117</v>
      </c>
      <c r="D61" s="262">
        <v>1</v>
      </c>
      <c r="E61" s="262">
        <v>0.75</v>
      </c>
      <c r="F61" s="1">
        <v>25</v>
      </c>
      <c r="G61" s="1">
        <v>25</v>
      </c>
      <c r="H61" s="8">
        <v>7572</v>
      </c>
      <c r="I61" s="26">
        <f t="shared" si="8"/>
        <v>5300.4</v>
      </c>
      <c r="J61" s="26">
        <f t="shared" si="9"/>
        <v>5194.3919999999998</v>
      </c>
      <c r="K61" s="26">
        <f t="shared" si="10"/>
        <v>5038.5602399999998</v>
      </c>
      <c r="L61" s="26">
        <f t="shared" si="10"/>
        <v>4887.4034327999998</v>
      </c>
    </row>
    <row r="62" spans="1:12" ht="17.25" customHeight="1" x14ac:dyDescent="0.35">
      <c r="A62" s="6">
        <v>5</v>
      </c>
      <c r="B62" s="6" t="s">
        <v>118</v>
      </c>
      <c r="C62" s="14" t="s">
        <v>119</v>
      </c>
      <c r="D62" s="266"/>
      <c r="E62" s="266"/>
      <c r="F62" s="1">
        <v>50</v>
      </c>
      <c r="G62" s="1">
        <v>50</v>
      </c>
      <c r="H62" s="8">
        <v>8900</v>
      </c>
      <c r="I62" s="26">
        <f t="shared" si="8"/>
        <v>6230</v>
      </c>
      <c r="J62" s="26">
        <f t="shared" si="9"/>
        <v>6105.4</v>
      </c>
      <c r="K62" s="26">
        <f t="shared" si="10"/>
        <v>5922.2379999999994</v>
      </c>
      <c r="L62" s="26">
        <f t="shared" si="10"/>
        <v>5744.5708599999989</v>
      </c>
    </row>
    <row r="63" spans="1:12" ht="17.25" customHeight="1" x14ac:dyDescent="0.35">
      <c r="A63" s="4">
        <v>6</v>
      </c>
      <c r="B63" s="6" t="s">
        <v>120</v>
      </c>
      <c r="C63" s="14" t="s">
        <v>121</v>
      </c>
      <c r="D63" s="266"/>
      <c r="E63" s="266"/>
      <c r="F63" s="1">
        <v>50</v>
      </c>
      <c r="G63" s="1">
        <v>50</v>
      </c>
      <c r="H63" s="5">
        <v>9100</v>
      </c>
      <c r="I63" s="26">
        <f t="shared" si="8"/>
        <v>6370</v>
      </c>
      <c r="J63" s="26">
        <f t="shared" si="9"/>
        <v>6242.5999999999995</v>
      </c>
      <c r="K63" s="26">
        <f t="shared" si="10"/>
        <v>6055.3219999999992</v>
      </c>
      <c r="L63" s="26">
        <f t="shared" si="10"/>
        <v>5873.6623399999989</v>
      </c>
    </row>
    <row r="64" spans="1:12" ht="17.25" customHeight="1" x14ac:dyDescent="0.35">
      <c r="A64" s="6">
        <v>7</v>
      </c>
      <c r="B64" s="4" t="s">
        <v>122</v>
      </c>
      <c r="C64" s="18" t="s">
        <v>123</v>
      </c>
      <c r="D64" s="266"/>
      <c r="E64" s="266"/>
      <c r="F64" s="1">
        <v>50</v>
      </c>
      <c r="G64" s="1">
        <v>50</v>
      </c>
      <c r="H64" s="5">
        <v>9000</v>
      </c>
      <c r="I64" s="26">
        <f t="shared" si="8"/>
        <v>6300</v>
      </c>
      <c r="J64" s="26">
        <f t="shared" si="9"/>
        <v>6174</v>
      </c>
      <c r="K64" s="26">
        <f t="shared" si="10"/>
        <v>5988.78</v>
      </c>
      <c r="L64" s="26">
        <f t="shared" si="10"/>
        <v>5809.1165999999994</v>
      </c>
    </row>
    <row r="65" spans="1:12" ht="17.25" customHeight="1" x14ac:dyDescent="0.35">
      <c r="A65" s="6">
        <v>8</v>
      </c>
      <c r="B65" s="4" t="s">
        <v>124</v>
      </c>
      <c r="C65" s="19" t="s">
        <v>125</v>
      </c>
      <c r="D65" s="266"/>
      <c r="E65" s="266"/>
      <c r="F65" s="1">
        <v>75</v>
      </c>
      <c r="G65" s="1">
        <v>75</v>
      </c>
      <c r="H65" s="8">
        <v>10000</v>
      </c>
      <c r="I65" s="26">
        <f t="shared" si="8"/>
        <v>7000</v>
      </c>
      <c r="J65" s="26">
        <f t="shared" si="9"/>
        <v>6860</v>
      </c>
      <c r="K65" s="26">
        <f t="shared" si="10"/>
        <v>6654.2</v>
      </c>
      <c r="L65" s="26">
        <f t="shared" si="10"/>
        <v>6454.5739999999996</v>
      </c>
    </row>
    <row r="66" spans="1:12" ht="17.25" customHeight="1" x14ac:dyDescent="0.35">
      <c r="A66" s="4">
        <v>9</v>
      </c>
      <c r="B66" s="4"/>
      <c r="C66" s="18" t="s">
        <v>126</v>
      </c>
      <c r="D66" s="263"/>
      <c r="E66" s="263"/>
      <c r="F66" s="1">
        <v>75</v>
      </c>
      <c r="G66" s="1">
        <v>75</v>
      </c>
      <c r="H66" s="5">
        <v>10200</v>
      </c>
      <c r="I66" s="26">
        <f t="shared" si="8"/>
        <v>7140</v>
      </c>
      <c r="J66" s="26">
        <f t="shared" si="9"/>
        <v>6997.2</v>
      </c>
      <c r="K66" s="26">
        <f t="shared" si="10"/>
        <v>6787.2839999999997</v>
      </c>
      <c r="L66" s="26">
        <f t="shared" si="10"/>
        <v>6583.6654799999997</v>
      </c>
    </row>
    <row r="67" spans="1:12" ht="17.25" customHeight="1" x14ac:dyDescent="0.35">
      <c r="A67" s="6">
        <v>10</v>
      </c>
      <c r="B67" s="4" t="s">
        <v>127</v>
      </c>
      <c r="C67" s="19" t="s">
        <v>128</v>
      </c>
      <c r="D67" s="262">
        <v>1.5</v>
      </c>
      <c r="E67" s="262">
        <v>1.1000000000000001</v>
      </c>
      <c r="F67" s="1">
        <v>50</v>
      </c>
      <c r="G67" s="1">
        <v>50</v>
      </c>
      <c r="H67" s="5">
        <v>10420</v>
      </c>
      <c r="I67" s="26">
        <f t="shared" si="8"/>
        <v>7293.9999999999991</v>
      </c>
      <c r="J67" s="26">
        <f t="shared" si="9"/>
        <v>7148.119999999999</v>
      </c>
      <c r="K67" s="26">
        <f t="shared" si="10"/>
        <v>6933.6763999999985</v>
      </c>
      <c r="L67" s="26">
        <f t="shared" si="10"/>
        <v>6725.6661079999985</v>
      </c>
    </row>
    <row r="68" spans="1:12" ht="17.25" customHeight="1" x14ac:dyDescent="0.35">
      <c r="A68" s="6">
        <v>11</v>
      </c>
      <c r="B68" s="4" t="s">
        <v>129</v>
      </c>
      <c r="C68" s="18" t="s">
        <v>130</v>
      </c>
      <c r="D68" s="266"/>
      <c r="E68" s="266"/>
      <c r="F68" s="1">
        <v>50</v>
      </c>
      <c r="G68" s="1">
        <v>50</v>
      </c>
      <c r="H68" s="5">
        <v>10600</v>
      </c>
      <c r="I68" s="26">
        <f t="shared" si="8"/>
        <v>7419.9999999999991</v>
      </c>
      <c r="J68" s="26">
        <f t="shared" si="9"/>
        <v>7271.5999999999985</v>
      </c>
      <c r="K68" s="26">
        <f t="shared" si="10"/>
        <v>7053.4519999999984</v>
      </c>
      <c r="L68" s="26">
        <f t="shared" si="10"/>
        <v>6841.8484399999979</v>
      </c>
    </row>
    <row r="69" spans="1:12" ht="17.25" customHeight="1" x14ac:dyDescent="0.35">
      <c r="A69" s="4">
        <v>12</v>
      </c>
      <c r="B69" s="4" t="s">
        <v>131</v>
      </c>
      <c r="C69" s="19" t="s">
        <v>132</v>
      </c>
      <c r="D69" s="266"/>
      <c r="E69" s="266"/>
      <c r="F69" s="1">
        <v>65</v>
      </c>
      <c r="G69" s="1">
        <v>50</v>
      </c>
      <c r="H69" s="5">
        <v>10600</v>
      </c>
      <c r="I69" s="26">
        <f t="shared" si="8"/>
        <v>7419.9999999999991</v>
      </c>
      <c r="J69" s="26">
        <f t="shared" si="9"/>
        <v>7271.5999999999985</v>
      </c>
      <c r="K69" s="26">
        <f t="shared" si="10"/>
        <v>7053.4519999999984</v>
      </c>
      <c r="L69" s="26">
        <f t="shared" si="10"/>
        <v>6841.8484399999979</v>
      </c>
    </row>
    <row r="70" spans="1:12" ht="17.25" customHeight="1" x14ac:dyDescent="0.35">
      <c r="A70" s="6">
        <v>13</v>
      </c>
      <c r="B70" s="4" t="s">
        <v>133</v>
      </c>
      <c r="C70" s="18" t="s">
        <v>134</v>
      </c>
      <c r="D70" s="266"/>
      <c r="E70" s="266"/>
      <c r="F70" s="1">
        <v>65</v>
      </c>
      <c r="G70" s="1">
        <v>50</v>
      </c>
      <c r="H70" s="5">
        <v>10800</v>
      </c>
      <c r="I70" s="26">
        <f t="shared" si="8"/>
        <v>7559.9999999999991</v>
      </c>
      <c r="J70" s="26">
        <f t="shared" si="9"/>
        <v>7408.7999999999993</v>
      </c>
      <c r="K70" s="26">
        <f t="shared" si="10"/>
        <v>7186.5359999999991</v>
      </c>
      <c r="L70" s="26">
        <f t="shared" si="10"/>
        <v>6970.9399199999989</v>
      </c>
    </row>
    <row r="71" spans="1:12" ht="17.25" customHeight="1" x14ac:dyDescent="0.35">
      <c r="A71" s="6">
        <v>14</v>
      </c>
      <c r="B71" s="4" t="s">
        <v>135</v>
      </c>
      <c r="C71" s="19" t="s">
        <v>136</v>
      </c>
      <c r="D71" s="266"/>
      <c r="E71" s="266"/>
      <c r="F71" s="1">
        <v>75</v>
      </c>
      <c r="G71" s="1">
        <v>75</v>
      </c>
      <c r="H71" s="8">
        <v>11000</v>
      </c>
      <c r="I71" s="26">
        <f t="shared" si="8"/>
        <v>7699.9999999999991</v>
      </c>
      <c r="J71" s="26">
        <f t="shared" si="9"/>
        <v>7545.9999999999991</v>
      </c>
      <c r="K71" s="26">
        <f t="shared" si="10"/>
        <v>7319.619999999999</v>
      </c>
      <c r="L71" s="26">
        <f t="shared" si="10"/>
        <v>7100.0313999999989</v>
      </c>
    </row>
    <row r="72" spans="1:12" ht="17.25" customHeight="1" x14ac:dyDescent="0.35">
      <c r="A72" s="4">
        <v>15</v>
      </c>
      <c r="B72" s="4" t="s">
        <v>137</v>
      </c>
      <c r="C72" s="18" t="s">
        <v>138</v>
      </c>
      <c r="D72" s="266"/>
      <c r="E72" s="266"/>
      <c r="F72" s="1">
        <v>75</v>
      </c>
      <c r="G72" s="1">
        <v>75</v>
      </c>
      <c r="H72" s="5">
        <v>11200</v>
      </c>
      <c r="I72" s="26">
        <f t="shared" si="8"/>
        <v>7839.9999999999991</v>
      </c>
      <c r="J72" s="26">
        <f t="shared" si="9"/>
        <v>7683.1999999999989</v>
      </c>
      <c r="K72" s="26">
        <f t="shared" si="10"/>
        <v>7452.7039999999988</v>
      </c>
      <c r="L72" s="26">
        <f t="shared" si="10"/>
        <v>7229.122879999999</v>
      </c>
    </row>
    <row r="73" spans="1:12" ht="17.25" customHeight="1" x14ac:dyDescent="0.35">
      <c r="A73" s="6">
        <v>16</v>
      </c>
      <c r="B73" s="4" t="s">
        <v>139</v>
      </c>
      <c r="C73" s="18" t="s">
        <v>140</v>
      </c>
      <c r="D73" s="263"/>
      <c r="E73" s="263"/>
      <c r="F73" s="1">
        <v>75</v>
      </c>
      <c r="G73" s="1">
        <v>75</v>
      </c>
      <c r="H73" s="5">
        <v>11200</v>
      </c>
      <c r="I73" s="26">
        <f t="shared" si="8"/>
        <v>7839.9999999999991</v>
      </c>
      <c r="J73" s="26">
        <f t="shared" si="9"/>
        <v>7683.1999999999989</v>
      </c>
      <c r="K73" s="26">
        <f t="shared" si="10"/>
        <v>7452.7039999999988</v>
      </c>
      <c r="L73" s="26">
        <f t="shared" si="10"/>
        <v>7229.122879999999</v>
      </c>
    </row>
    <row r="74" spans="1:12" ht="17.25" customHeight="1" x14ac:dyDescent="0.35">
      <c r="A74" s="6">
        <v>17</v>
      </c>
      <c r="B74" s="4" t="s">
        <v>141</v>
      </c>
      <c r="C74" s="19" t="s">
        <v>142</v>
      </c>
      <c r="D74" s="262">
        <v>2</v>
      </c>
      <c r="E74" s="262">
        <v>1.5</v>
      </c>
      <c r="F74" s="1">
        <v>50</v>
      </c>
      <c r="G74" s="1">
        <v>40</v>
      </c>
      <c r="H74" s="8">
        <v>15000</v>
      </c>
      <c r="I74" s="26">
        <f t="shared" si="8"/>
        <v>10500</v>
      </c>
      <c r="J74" s="26">
        <f t="shared" si="9"/>
        <v>10290</v>
      </c>
      <c r="K74" s="26">
        <f t="shared" si="10"/>
        <v>9981.2999999999993</v>
      </c>
      <c r="L74" s="26">
        <f t="shared" si="10"/>
        <v>9681.860999999999</v>
      </c>
    </row>
    <row r="75" spans="1:12" ht="17.25" customHeight="1" x14ac:dyDescent="0.35">
      <c r="A75" s="4">
        <v>18</v>
      </c>
      <c r="B75" s="4" t="s">
        <v>143</v>
      </c>
      <c r="C75" s="18" t="s">
        <v>144</v>
      </c>
      <c r="D75" s="266"/>
      <c r="E75" s="266"/>
      <c r="F75" s="1">
        <v>50</v>
      </c>
      <c r="G75" s="1">
        <v>40</v>
      </c>
      <c r="H75" s="5">
        <v>15200</v>
      </c>
      <c r="I75" s="26">
        <f t="shared" si="8"/>
        <v>10640</v>
      </c>
      <c r="J75" s="26">
        <f t="shared" si="9"/>
        <v>10427.199999999999</v>
      </c>
      <c r="K75" s="26">
        <f t="shared" si="10"/>
        <v>10114.383999999998</v>
      </c>
      <c r="L75" s="26">
        <f t="shared" si="10"/>
        <v>9810.9524799999981</v>
      </c>
    </row>
    <row r="76" spans="1:12" ht="17.25" customHeight="1" x14ac:dyDescent="0.35">
      <c r="A76" s="6">
        <v>19</v>
      </c>
      <c r="B76" s="6" t="s">
        <v>145</v>
      </c>
      <c r="C76" s="14" t="s">
        <v>146</v>
      </c>
      <c r="D76" s="266"/>
      <c r="E76" s="266"/>
      <c r="F76" s="1">
        <v>50</v>
      </c>
      <c r="G76" s="1">
        <v>50</v>
      </c>
      <c r="H76" s="8">
        <v>13000</v>
      </c>
      <c r="I76" s="26">
        <f t="shared" si="8"/>
        <v>9100</v>
      </c>
      <c r="J76" s="26">
        <f t="shared" si="9"/>
        <v>8918</v>
      </c>
      <c r="K76" s="26">
        <f t="shared" si="10"/>
        <v>8650.4599999999991</v>
      </c>
      <c r="L76" s="26">
        <f t="shared" si="10"/>
        <v>8390.9461999999985</v>
      </c>
    </row>
    <row r="77" spans="1:12" ht="17.25" customHeight="1" x14ac:dyDescent="0.35">
      <c r="A77" s="6">
        <v>20</v>
      </c>
      <c r="B77" s="4" t="s">
        <v>147</v>
      </c>
      <c r="C77" s="18" t="s">
        <v>148</v>
      </c>
      <c r="D77" s="266"/>
      <c r="E77" s="266"/>
      <c r="F77" s="1">
        <v>50</v>
      </c>
      <c r="G77" s="1">
        <v>50</v>
      </c>
      <c r="H77" s="5">
        <v>13200</v>
      </c>
      <c r="I77" s="26">
        <f t="shared" si="8"/>
        <v>9240</v>
      </c>
      <c r="J77" s="26">
        <f t="shared" si="9"/>
        <v>9055.2000000000007</v>
      </c>
      <c r="K77" s="26">
        <f t="shared" si="10"/>
        <v>8783.5439999999999</v>
      </c>
      <c r="L77" s="26">
        <f t="shared" si="10"/>
        <v>8520.0376799999995</v>
      </c>
    </row>
    <row r="78" spans="1:12" ht="17.25" customHeight="1" x14ac:dyDescent="0.35">
      <c r="A78" s="4">
        <v>21</v>
      </c>
      <c r="B78" s="6" t="s">
        <v>149</v>
      </c>
      <c r="C78" s="14" t="s">
        <v>150</v>
      </c>
      <c r="D78" s="266"/>
      <c r="E78" s="266"/>
      <c r="F78" s="1">
        <v>65</v>
      </c>
      <c r="G78" s="1">
        <v>50</v>
      </c>
      <c r="H78" s="8">
        <v>13300</v>
      </c>
      <c r="I78" s="26">
        <f t="shared" si="8"/>
        <v>9310</v>
      </c>
      <c r="J78" s="26">
        <f t="shared" si="9"/>
        <v>9123.7999999999993</v>
      </c>
      <c r="K78" s="26">
        <f t="shared" ref="K78:L97" si="11">J78*0.97</f>
        <v>8850.0859999999993</v>
      </c>
      <c r="L78" s="26">
        <f t="shared" si="11"/>
        <v>8584.583419999999</v>
      </c>
    </row>
    <row r="79" spans="1:12" ht="17.25" customHeight="1" x14ac:dyDescent="0.35">
      <c r="A79" s="6">
        <v>22</v>
      </c>
      <c r="B79" s="6" t="s">
        <v>151</v>
      </c>
      <c r="C79" s="14" t="s">
        <v>152</v>
      </c>
      <c r="D79" s="266"/>
      <c r="E79" s="266"/>
      <c r="F79" s="1">
        <v>65</v>
      </c>
      <c r="G79" s="1">
        <v>50</v>
      </c>
      <c r="H79" s="5">
        <v>13500</v>
      </c>
      <c r="I79" s="26">
        <f t="shared" si="8"/>
        <v>9450</v>
      </c>
      <c r="J79" s="26">
        <f t="shared" si="9"/>
        <v>9261</v>
      </c>
      <c r="K79" s="26">
        <f t="shared" si="11"/>
        <v>8983.17</v>
      </c>
      <c r="L79" s="26">
        <f t="shared" si="11"/>
        <v>8713.6749</v>
      </c>
    </row>
    <row r="80" spans="1:12" ht="17.25" customHeight="1" x14ac:dyDescent="0.35">
      <c r="A80" s="6">
        <v>23</v>
      </c>
      <c r="B80" s="4" t="s">
        <v>153</v>
      </c>
      <c r="C80" s="18" t="s">
        <v>154</v>
      </c>
      <c r="D80" s="266"/>
      <c r="E80" s="266"/>
      <c r="F80" s="1">
        <v>65</v>
      </c>
      <c r="G80" s="1">
        <v>50</v>
      </c>
      <c r="H80" s="5">
        <v>13340</v>
      </c>
      <c r="I80" s="26">
        <f t="shared" si="8"/>
        <v>9338</v>
      </c>
      <c r="J80" s="26">
        <f t="shared" si="9"/>
        <v>9151.24</v>
      </c>
      <c r="K80" s="26">
        <f t="shared" si="11"/>
        <v>8876.7027999999991</v>
      </c>
      <c r="L80" s="26">
        <f t="shared" si="11"/>
        <v>8610.4017159999985</v>
      </c>
    </row>
    <row r="81" spans="1:12" ht="17.25" customHeight="1" x14ac:dyDescent="0.35">
      <c r="A81" s="4">
        <v>24</v>
      </c>
      <c r="B81" s="6"/>
      <c r="C81" s="14" t="s">
        <v>155</v>
      </c>
      <c r="D81" s="266"/>
      <c r="E81" s="266"/>
      <c r="F81" s="1">
        <v>65</v>
      </c>
      <c r="G81" s="1">
        <v>50</v>
      </c>
      <c r="H81" s="8">
        <v>13300</v>
      </c>
      <c r="I81" s="26">
        <f t="shared" si="8"/>
        <v>9310</v>
      </c>
      <c r="J81" s="26">
        <f t="shared" si="9"/>
        <v>9123.7999999999993</v>
      </c>
      <c r="K81" s="26">
        <f t="shared" si="11"/>
        <v>8850.0859999999993</v>
      </c>
      <c r="L81" s="26">
        <f t="shared" si="11"/>
        <v>8584.583419999999</v>
      </c>
    </row>
    <row r="82" spans="1:12" ht="17.25" customHeight="1" x14ac:dyDescent="0.35">
      <c r="A82" s="6">
        <v>25</v>
      </c>
      <c r="B82" s="4" t="s">
        <v>156</v>
      </c>
      <c r="C82" s="18" t="s">
        <v>157</v>
      </c>
      <c r="D82" s="266"/>
      <c r="E82" s="266"/>
      <c r="F82" s="1">
        <v>75</v>
      </c>
      <c r="G82" s="1">
        <v>75</v>
      </c>
      <c r="H82" s="5">
        <v>13600</v>
      </c>
      <c r="I82" s="26">
        <f t="shared" si="8"/>
        <v>9520</v>
      </c>
      <c r="J82" s="26">
        <f t="shared" si="9"/>
        <v>9329.6</v>
      </c>
      <c r="K82" s="26">
        <f t="shared" si="11"/>
        <v>9049.7119999999995</v>
      </c>
      <c r="L82" s="26">
        <f t="shared" si="11"/>
        <v>8778.2206399999995</v>
      </c>
    </row>
    <row r="83" spans="1:12" ht="17.25" customHeight="1" x14ac:dyDescent="0.35">
      <c r="A83" s="6">
        <v>26</v>
      </c>
      <c r="B83" s="6" t="s">
        <v>158</v>
      </c>
      <c r="C83" s="14" t="s">
        <v>159</v>
      </c>
      <c r="D83" s="266"/>
      <c r="E83" s="266"/>
      <c r="F83" s="1">
        <v>75</v>
      </c>
      <c r="G83" s="1">
        <v>75</v>
      </c>
      <c r="H83" s="8">
        <v>13450</v>
      </c>
      <c r="I83" s="26">
        <f t="shared" si="8"/>
        <v>9415</v>
      </c>
      <c r="J83" s="26">
        <f t="shared" si="9"/>
        <v>9226.7000000000007</v>
      </c>
      <c r="K83" s="26">
        <f t="shared" si="11"/>
        <v>8949.8990000000013</v>
      </c>
      <c r="L83" s="26">
        <f t="shared" si="11"/>
        <v>8681.4020300000011</v>
      </c>
    </row>
    <row r="84" spans="1:12" ht="17.25" customHeight="1" x14ac:dyDescent="0.35">
      <c r="A84" s="4">
        <v>27</v>
      </c>
      <c r="B84" s="6" t="s">
        <v>160</v>
      </c>
      <c r="C84" s="14" t="s">
        <v>161</v>
      </c>
      <c r="D84" s="266"/>
      <c r="E84" s="266"/>
      <c r="F84" s="1">
        <v>75</v>
      </c>
      <c r="G84" s="1">
        <v>75</v>
      </c>
      <c r="H84" s="5">
        <v>13800</v>
      </c>
      <c r="I84" s="26">
        <f t="shared" si="8"/>
        <v>9660</v>
      </c>
      <c r="J84" s="26">
        <f t="shared" si="9"/>
        <v>9466.7999999999993</v>
      </c>
      <c r="K84" s="26">
        <f t="shared" si="11"/>
        <v>9182.7959999999985</v>
      </c>
      <c r="L84" s="26">
        <f t="shared" si="11"/>
        <v>8907.3121199999987</v>
      </c>
    </row>
    <row r="85" spans="1:12" ht="17.25" customHeight="1" x14ac:dyDescent="0.35">
      <c r="A85" s="6">
        <v>28</v>
      </c>
      <c r="B85" s="6" t="s">
        <v>162</v>
      </c>
      <c r="C85" s="14" t="s">
        <v>163</v>
      </c>
      <c r="D85" s="266"/>
      <c r="E85" s="266"/>
      <c r="F85" s="1">
        <v>75</v>
      </c>
      <c r="G85" s="1">
        <v>75</v>
      </c>
      <c r="H85" s="5">
        <v>14000</v>
      </c>
      <c r="I85" s="26">
        <f t="shared" si="8"/>
        <v>9800</v>
      </c>
      <c r="J85" s="26">
        <f t="shared" si="9"/>
        <v>9604</v>
      </c>
      <c r="K85" s="26">
        <f t="shared" si="11"/>
        <v>9315.8799999999992</v>
      </c>
      <c r="L85" s="26">
        <f t="shared" si="11"/>
        <v>9036.4035999999996</v>
      </c>
    </row>
    <row r="86" spans="1:12" ht="17.25" customHeight="1" x14ac:dyDescent="0.35">
      <c r="A86" s="6">
        <v>29</v>
      </c>
      <c r="B86" s="6" t="s">
        <v>164</v>
      </c>
      <c r="C86" s="14" t="s">
        <v>165</v>
      </c>
      <c r="D86" s="266"/>
      <c r="E86" s="266"/>
      <c r="F86" s="1">
        <v>75</v>
      </c>
      <c r="G86" s="1">
        <v>75</v>
      </c>
      <c r="H86" s="5">
        <v>14500</v>
      </c>
      <c r="I86" s="26">
        <f t="shared" si="8"/>
        <v>10150</v>
      </c>
      <c r="J86" s="26">
        <f t="shared" si="9"/>
        <v>9947</v>
      </c>
      <c r="K86" s="26">
        <f t="shared" si="11"/>
        <v>9648.59</v>
      </c>
      <c r="L86" s="26">
        <f t="shared" si="11"/>
        <v>9359.1322999999993</v>
      </c>
    </row>
    <row r="87" spans="1:12" ht="17.25" customHeight="1" x14ac:dyDescent="0.35">
      <c r="A87" s="4">
        <v>30</v>
      </c>
      <c r="B87" s="4" t="s">
        <v>166</v>
      </c>
      <c r="C87" s="18" t="s">
        <v>167</v>
      </c>
      <c r="D87" s="266"/>
      <c r="E87" s="266"/>
      <c r="F87" s="1">
        <v>75</v>
      </c>
      <c r="G87" s="1">
        <v>75</v>
      </c>
      <c r="H87" s="5">
        <v>13550</v>
      </c>
      <c r="I87" s="26">
        <f t="shared" si="8"/>
        <v>9485</v>
      </c>
      <c r="J87" s="26">
        <f t="shared" si="9"/>
        <v>9295.2999999999993</v>
      </c>
      <c r="K87" s="26">
        <f t="shared" si="11"/>
        <v>9016.4409999999989</v>
      </c>
      <c r="L87" s="26">
        <f t="shared" si="11"/>
        <v>8745.9477699999989</v>
      </c>
    </row>
    <row r="88" spans="1:12" ht="17.25" customHeight="1" x14ac:dyDescent="0.35">
      <c r="A88" s="6">
        <v>31</v>
      </c>
      <c r="B88" s="6" t="s">
        <v>168</v>
      </c>
      <c r="C88" s="14" t="s">
        <v>169</v>
      </c>
      <c r="D88" s="266"/>
      <c r="E88" s="266"/>
      <c r="F88" s="1">
        <v>75</v>
      </c>
      <c r="G88" s="1">
        <v>65</v>
      </c>
      <c r="H88" s="8">
        <v>13450</v>
      </c>
      <c r="I88" s="26">
        <f t="shared" si="8"/>
        <v>9415</v>
      </c>
      <c r="J88" s="26">
        <f t="shared" si="9"/>
        <v>9226.7000000000007</v>
      </c>
      <c r="K88" s="26">
        <f t="shared" si="11"/>
        <v>8949.8990000000013</v>
      </c>
      <c r="L88" s="26">
        <f t="shared" si="11"/>
        <v>8681.4020300000011</v>
      </c>
    </row>
    <row r="89" spans="1:12" ht="17.25" customHeight="1" x14ac:dyDescent="0.35">
      <c r="A89" s="6">
        <v>32</v>
      </c>
      <c r="B89" s="6" t="s">
        <v>170</v>
      </c>
      <c r="C89" s="14" t="s">
        <v>171</v>
      </c>
      <c r="D89" s="266"/>
      <c r="E89" s="266"/>
      <c r="F89" s="1">
        <v>75</v>
      </c>
      <c r="G89" s="1">
        <v>65</v>
      </c>
      <c r="H89" s="5">
        <v>13740</v>
      </c>
      <c r="I89" s="26">
        <f t="shared" si="8"/>
        <v>9618</v>
      </c>
      <c r="J89" s="26">
        <f t="shared" si="9"/>
        <v>9425.64</v>
      </c>
      <c r="K89" s="26">
        <f t="shared" si="11"/>
        <v>9142.8707999999988</v>
      </c>
      <c r="L89" s="26">
        <f t="shared" si="11"/>
        <v>8868.5846759999986</v>
      </c>
    </row>
    <row r="90" spans="1:12" ht="17.25" customHeight="1" x14ac:dyDescent="0.35">
      <c r="A90" s="4">
        <v>33</v>
      </c>
      <c r="B90" s="4"/>
      <c r="C90" s="19" t="s">
        <v>172</v>
      </c>
      <c r="D90" s="266"/>
      <c r="E90" s="266"/>
      <c r="F90" s="1">
        <v>100</v>
      </c>
      <c r="G90" s="1">
        <v>100</v>
      </c>
      <c r="H90" s="8">
        <v>15000</v>
      </c>
      <c r="I90" s="26">
        <f t="shared" si="8"/>
        <v>10500</v>
      </c>
      <c r="J90" s="26">
        <f t="shared" si="9"/>
        <v>10290</v>
      </c>
      <c r="K90" s="26">
        <f t="shared" si="11"/>
        <v>9981.2999999999993</v>
      </c>
      <c r="L90" s="26">
        <f t="shared" si="11"/>
        <v>9681.860999999999</v>
      </c>
    </row>
    <row r="91" spans="1:12" ht="17.25" customHeight="1" x14ac:dyDescent="0.35">
      <c r="A91" s="6">
        <v>34</v>
      </c>
      <c r="B91" s="4"/>
      <c r="C91" s="18" t="s">
        <v>173</v>
      </c>
      <c r="D91" s="263"/>
      <c r="E91" s="263"/>
      <c r="F91" s="1">
        <v>100</v>
      </c>
      <c r="G91" s="1">
        <v>100</v>
      </c>
      <c r="H91" s="5">
        <v>15200</v>
      </c>
      <c r="I91" s="26">
        <f t="shared" si="8"/>
        <v>10640</v>
      </c>
      <c r="J91" s="26">
        <f t="shared" si="9"/>
        <v>10427.199999999999</v>
      </c>
      <c r="K91" s="26">
        <f t="shared" si="11"/>
        <v>10114.383999999998</v>
      </c>
      <c r="L91" s="26">
        <f t="shared" si="11"/>
        <v>9810.9524799999981</v>
      </c>
    </row>
    <row r="92" spans="1:12" ht="17.25" customHeight="1" x14ac:dyDescent="0.35">
      <c r="A92" s="6">
        <v>35</v>
      </c>
      <c r="B92" s="4"/>
      <c r="C92" s="19" t="s">
        <v>174</v>
      </c>
      <c r="D92" s="262">
        <v>3</v>
      </c>
      <c r="E92" s="262">
        <v>2.25</v>
      </c>
      <c r="F92" s="1">
        <v>50</v>
      </c>
      <c r="G92" s="1">
        <v>40</v>
      </c>
      <c r="H92" s="8">
        <v>18000</v>
      </c>
      <c r="I92" s="26">
        <f t="shared" si="8"/>
        <v>12600</v>
      </c>
      <c r="J92" s="26">
        <f t="shared" si="9"/>
        <v>12348</v>
      </c>
      <c r="K92" s="26">
        <f t="shared" si="11"/>
        <v>11977.56</v>
      </c>
      <c r="L92" s="26">
        <f t="shared" si="11"/>
        <v>11618.233199999999</v>
      </c>
    </row>
    <row r="93" spans="1:12" ht="17.25" customHeight="1" x14ac:dyDescent="0.35">
      <c r="A93" s="4">
        <v>36</v>
      </c>
      <c r="B93" s="4" t="s">
        <v>175</v>
      </c>
      <c r="C93" s="18" t="s">
        <v>176</v>
      </c>
      <c r="D93" s="266"/>
      <c r="E93" s="266"/>
      <c r="F93" s="1">
        <v>50</v>
      </c>
      <c r="G93" s="1">
        <v>40</v>
      </c>
      <c r="H93" s="5">
        <v>18560</v>
      </c>
      <c r="I93" s="26">
        <f t="shared" si="8"/>
        <v>12992</v>
      </c>
      <c r="J93" s="26">
        <f t="shared" si="9"/>
        <v>12732.16</v>
      </c>
      <c r="K93" s="26">
        <f t="shared" si="11"/>
        <v>12350.1952</v>
      </c>
      <c r="L93" s="26">
        <f t="shared" si="11"/>
        <v>11979.689344</v>
      </c>
    </row>
    <row r="94" spans="1:12" ht="17.25" customHeight="1" x14ac:dyDescent="0.35">
      <c r="A94" s="6">
        <v>37</v>
      </c>
      <c r="B94" s="4" t="s">
        <v>177</v>
      </c>
      <c r="C94" s="19" t="s">
        <v>178</v>
      </c>
      <c r="D94" s="266"/>
      <c r="E94" s="266"/>
      <c r="F94" s="1">
        <v>50</v>
      </c>
      <c r="G94" s="1">
        <v>50</v>
      </c>
      <c r="H94" s="8">
        <v>18250</v>
      </c>
      <c r="I94" s="26">
        <f t="shared" si="8"/>
        <v>12775</v>
      </c>
      <c r="J94" s="26">
        <f t="shared" si="9"/>
        <v>12519.5</v>
      </c>
      <c r="K94" s="26">
        <f t="shared" si="11"/>
        <v>12143.914999999999</v>
      </c>
      <c r="L94" s="26">
        <f t="shared" si="11"/>
        <v>11779.597549999999</v>
      </c>
    </row>
    <row r="95" spans="1:12" ht="17.25" customHeight="1" x14ac:dyDescent="0.35">
      <c r="A95" s="6">
        <v>38</v>
      </c>
      <c r="B95" s="4" t="s">
        <v>179</v>
      </c>
      <c r="C95" s="18" t="s">
        <v>180</v>
      </c>
      <c r="D95" s="266"/>
      <c r="E95" s="266"/>
      <c r="F95" s="1">
        <v>50</v>
      </c>
      <c r="G95" s="1">
        <v>50</v>
      </c>
      <c r="H95" s="5">
        <v>18670</v>
      </c>
      <c r="I95" s="26">
        <f t="shared" si="8"/>
        <v>13069</v>
      </c>
      <c r="J95" s="26">
        <f t="shared" si="9"/>
        <v>12807.619999999999</v>
      </c>
      <c r="K95" s="26">
        <f t="shared" si="11"/>
        <v>12423.391399999999</v>
      </c>
      <c r="L95" s="26">
        <f t="shared" si="11"/>
        <v>12050.689657999998</v>
      </c>
    </row>
    <row r="96" spans="1:12" ht="17.25" customHeight="1" x14ac:dyDescent="0.35">
      <c r="A96" s="4">
        <v>39</v>
      </c>
      <c r="B96" s="6" t="s">
        <v>181</v>
      </c>
      <c r="C96" s="14" t="s">
        <v>182</v>
      </c>
      <c r="D96" s="266"/>
      <c r="E96" s="266"/>
      <c r="F96" s="1">
        <v>65</v>
      </c>
      <c r="G96" s="1">
        <v>50</v>
      </c>
      <c r="H96" s="8">
        <v>18100</v>
      </c>
      <c r="I96" s="26">
        <f t="shared" si="8"/>
        <v>12670</v>
      </c>
      <c r="J96" s="26">
        <f t="shared" si="9"/>
        <v>12416.6</v>
      </c>
      <c r="K96" s="26">
        <f t="shared" si="11"/>
        <v>12044.102000000001</v>
      </c>
      <c r="L96" s="26">
        <f t="shared" si="11"/>
        <v>11682.77894</v>
      </c>
    </row>
    <row r="97" spans="1:12" ht="17.25" customHeight="1" x14ac:dyDescent="0.35">
      <c r="A97" s="6">
        <v>40</v>
      </c>
      <c r="B97" s="6" t="s">
        <v>183</v>
      </c>
      <c r="C97" s="14" t="s">
        <v>184</v>
      </c>
      <c r="D97" s="266"/>
      <c r="E97" s="266"/>
      <c r="F97" s="1">
        <v>65</v>
      </c>
      <c r="G97" s="1">
        <v>50</v>
      </c>
      <c r="H97" s="5">
        <v>18770</v>
      </c>
      <c r="I97" s="26">
        <f t="shared" si="8"/>
        <v>13139</v>
      </c>
      <c r="J97" s="26">
        <f t="shared" si="9"/>
        <v>12876.22</v>
      </c>
      <c r="K97" s="26">
        <f t="shared" si="11"/>
        <v>12489.9334</v>
      </c>
      <c r="L97" s="26">
        <f t="shared" si="11"/>
        <v>12115.235397999999</v>
      </c>
    </row>
    <row r="98" spans="1:12" ht="17.25" customHeight="1" x14ac:dyDescent="0.35">
      <c r="A98" s="6">
        <v>41</v>
      </c>
      <c r="B98" s="6" t="s">
        <v>185</v>
      </c>
      <c r="C98" s="14" t="s">
        <v>186</v>
      </c>
      <c r="D98" s="266"/>
      <c r="E98" s="266"/>
      <c r="F98" s="1">
        <v>75</v>
      </c>
      <c r="G98" s="1">
        <v>75</v>
      </c>
      <c r="H98" s="8">
        <v>18020</v>
      </c>
      <c r="I98" s="26">
        <f t="shared" si="8"/>
        <v>12614</v>
      </c>
      <c r="J98" s="26">
        <f t="shared" si="9"/>
        <v>12361.72</v>
      </c>
      <c r="K98" s="26">
        <f t="shared" ref="K98:L113" si="12">J98*0.97</f>
        <v>11990.868399999999</v>
      </c>
      <c r="L98" s="26">
        <f t="shared" si="12"/>
        <v>11631.142347999999</v>
      </c>
    </row>
    <row r="99" spans="1:12" ht="17.25" customHeight="1" x14ac:dyDescent="0.35">
      <c r="A99" s="4">
        <v>42</v>
      </c>
      <c r="B99" s="6" t="s">
        <v>187</v>
      </c>
      <c r="C99" s="14" t="s">
        <v>188</v>
      </c>
      <c r="D99" s="266"/>
      <c r="E99" s="266"/>
      <c r="F99" s="1">
        <v>75</v>
      </c>
      <c r="G99" s="1">
        <v>75</v>
      </c>
      <c r="H99" s="5">
        <v>18680</v>
      </c>
      <c r="I99" s="26">
        <f t="shared" si="8"/>
        <v>13076</v>
      </c>
      <c r="J99" s="26">
        <f t="shared" si="9"/>
        <v>12814.48</v>
      </c>
      <c r="K99" s="26">
        <f t="shared" si="12"/>
        <v>12430.045599999999</v>
      </c>
      <c r="L99" s="26">
        <f t="shared" si="12"/>
        <v>12057.144231999999</v>
      </c>
    </row>
    <row r="100" spans="1:12" ht="17.25" customHeight="1" x14ac:dyDescent="0.35">
      <c r="A100" s="6">
        <v>43</v>
      </c>
      <c r="B100" s="6" t="s">
        <v>189</v>
      </c>
      <c r="C100" s="14" t="s">
        <v>190</v>
      </c>
      <c r="D100" s="266"/>
      <c r="E100" s="266"/>
      <c r="F100" s="1">
        <v>100</v>
      </c>
      <c r="G100" s="1">
        <v>100</v>
      </c>
      <c r="H100" s="8">
        <v>19100</v>
      </c>
      <c r="I100" s="26">
        <f t="shared" si="8"/>
        <v>13370</v>
      </c>
      <c r="J100" s="26">
        <f t="shared" si="9"/>
        <v>13102.6</v>
      </c>
      <c r="K100" s="26">
        <f t="shared" si="12"/>
        <v>12709.522000000001</v>
      </c>
      <c r="L100" s="26">
        <f t="shared" si="12"/>
        <v>12328.236340000001</v>
      </c>
    </row>
    <row r="101" spans="1:12" ht="17.25" customHeight="1" x14ac:dyDescent="0.35">
      <c r="A101" s="6">
        <v>44</v>
      </c>
      <c r="B101" s="6" t="s">
        <v>191</v>
      </c>
      <c r="C101" s="14" t="s">
        <v>192</v>
      </c>
      <c r="D101" s="266"/>
      <c r="E101" s="266"/>
      <c r="F101" s="1">
        <v>100</v>
      </c>
      <c r="G101" s="1">
        <v>100</v>
      </c>
      <c r="H101" s="5">
        <v>19500</v>
      </c>
      <c r="I101" s="26">
        <f t="shared" si="8"/>
        <v>13650</v>
      </c>
      <c r="J101" s="26">
        <f t="shared" si="9"/>
        <v>13377</v>
      </c>
      <c r="K101" s="26">
        <f t="shared" si="12"/>
        <v>12975.69</v>
      </c>
      <c r="L101" s="26">
        <f t="shared" si="12"/>
        <v>12586.4193</v>
      </c>
    </row>
    <row r="102" spans="1:12" ht="17.25" customHeight="1" x14ac:dyDescent="0.35">
      <c r="A102" s="4">
        <v>45</v>
      </c>
      <c r="B102" s="6" t="s">
        <v>193</v>
      </c>
      <c r="C102" s="14" t="s">
        <v>194</v>
      </c>
      <c r="D102" s="266"/>
      <c r="E102" s="266"/>
      <c r="F102" s="1">
        <v>100</v>
      </c>
      <c r="G102" s="1">
        <v>100</v>
      </c>
      <c r="H102" s="5">
        <v>14800</v>
      </c>
      <c r="I102" s="26">
        <f t="shared" si="8"/>
        <v>10360</v>
      </c>
      <c r="J102" s="26">
        <f t="shared" si="9"/>
        <v>10152.799999999999</v>
      </c>
      <c r="K102" s="26">
        <f t="shared" si="12"/>
        <v>9848.2159999999985</v>
      </c>
      <c r="L102" s="26">
        <f t="shared" si="12"/>
        <v>9552.769519999998</v>
      </c>
    </row>
    <row r="103" spans="1:12" ht="17.25" customHeight="1" x14ac:dyDescent="0.35">
      <c r="A103" s="6">
        <v>46</v>
      </c>
      <c r="B103" s="4" t="s">
        <v>195</v>
      </c>
      <c r="C103" s="18" t="s">
        <v>196</v>
      </c>
      <c r="D103" s="263"/>
      <c r="E103" s="263"/>
      <c r="F103" s="1">
        <v>100</v>
      </c>
      <c r="G103" s="1">
        <v>100</v>
      </c>
      <c r="H103" s="5">
        <v>15000</v>
      </c>
      <c r="I103" s="26">
        <f t="shared" si="8"/>
        <v>10500</v>
      </c>
      <c r="J103" s="26">
        <f t="shared" si="9"/>
        <v>10290</v>
      </c>
      <c r="K103" s="26">
        <f t="shared" si="12"/>
        <v>9981.2999999999993</v>
      </c>
      <c r="L103" s="26">
        <f t="shared" si="12"/>
        <v>9681.860999999999</v>
      </c>
    </row>
    <row r="104" spans="1:12" ht="17.25" customHeight="1" x14ac:dyDescent="0.35">
      <c r="A104" s="6">
        <v>47</v>
      </c>
      <c r="B104" s="6" t="s">
        <v>197</v>
      </c>
      <c r="C104" s="14" t="s">
        <v>198</v>
      </c>
      <c r="D104" s="262">
        <v>5</v>
      </c>
      <c r="E104" s="262">
        <v>3.75</v>
      </c>
      <c r="F104" s="1">
        <v>80</v>
      </c>
      <c r="G104" s="1">
        <v>65</v>
      </c>
      <c r="H104" s="5">
        <v>24600</v>
      </c>
      <c r="I104" s="26">
        <f t="shared" si="8"/>
        <v>17220</v>
      </c>
      <c r="J104" s="26">
        <f t="shared" si="9"/>
        <v>16875.599999999999</v>
      </c>
      <c r="K104" s="26">
        <f t="shared" si="12"/>
        <v>16369.331999999999</v>
      </c>
      <c r="L104" s="26">
        <f t="shared" si="12"/>
        <v>15878.252039999998</v>
      </c>
    </row>
    <row r="105" spans="1:12" ht="17.25" customHeight="1" x14ac:dyDescent="0.35">
      <c r="A105" s="4">
        <v>48</v>
      </c>
      <c r="B105" s="4"/>
      <c r="C105" s="20" t="s">
        <v>199</v>
      </c>
      <c r="D105" s="266"/>
      <c r="E105" s="266"/>
      <c r="F105" s="1">
        <v>80</v>
      </c>
      <c r="G105" s="1">
        <v>65</v>
      </c>
      <c r="H105" s="5">
        <v>26000</v>
      </c>
      <c r="I105" s="26">
        <f t="shared" si="8"/>
        <v>18200</v>
      </c>
      <c r="J105" s="26">
        <f t="shared" si="9"/>
        <v>17836</v>
      </c>
      <c r="K105" s="26">
        <f t="shared" si="12"/>
        <v>17300.919999999998</v>
      </c>
      <c r="L105" s="26">
        <f t="shared" si="12"/>
        <v>16781.892399999997</v>
      </c>
    </row>
    <row r="106" spans="1:12" ht="17.25" customHeight="1" x14ac:dyDescent="0.35">
      <c r="A106" s="6">
        <v>49</v>
      </c>
      <c r="B106" s="6" t="s">
        <v>200</v>
      </c>
      <c r="C106" s="20" t="s">
        <v>201</v>
      </c>
      <c r="D106" s="263"/>
      <c r="E106" s="263"/>
      <c r="F106" s="1">
        <v>80</v>
      </c>
      <c r="G106" s="1">
        <v>65</v>
      </c>
      <c r="H106" s="5">
        <v>23600</v>
      </c>
      <c r="I106" s="26">
        <f t="shared" si="8"/>
        <v>16520</v>
      </c>
      <c r="J106" s="26">
        <f t="shared" si="9"/>
        <v>16189.6</v>
      </c>
      <c r="K106" s="26">
        <f t="shared" si="12"/>
        <v>15703.912</v>
      </c>
      <c r="L106" s="26">
        <f t="shared" si="12"/>
        <v>15232.79464</v>
      </c>
    </row>
    <row r="107" spans="1:12" ht="17.25" customHeight="1" x14ac:dyDescent="0.35">
      <c r="A107" s="6">
        <v>50</v>
      </c>
      <c r="B107" s="4" t="s">
        <v>202</v>
      </c>
      <c r="C107" s="18" t="s">
        <v>203</v>
      </c>
      <c r="D107" s="7">
        <v>0.75</v>
      </c>
      <c r="E107" s="7">
        <v>0.56000000000000005</v>
      </c>
      <c r="F107" s="2">
        <v>25</v>
      </c>
      <c r="G107" s="2">
        <v>25</v>
      </c>
      <c r="H107" s="5">
        <v>5170</v>
      </c>
      <c r="I107" s="26">
        <f t="shared" si="8"/>
        <v>3618.9999999999995</v>
      </c>
      <c r="J107" s="26">
        <f t="shared" si="9"/>
        <v>3546.6199999999994</v>
      </c>
      <c r="K107" s="26">
        <f t="shared" si="12"/>
        <v>3440.2213999999994</v>
      </c>
      <c r="L107" s="26">
        <f t="shared" si="12"/>
        <v>3337.0147579999993</v>
      </c>
    </row>
    <row r="108" spans="1:12" ht="17.25" customHeight="1" x14ac:dyDescent="0.35">
      <c r="A108" s="4">
        <v>51</v>
      </c>
      <c r="B108" s="4" t="s">
        <v>204</v>
      </c>
      <c r="C108" s="18" t="s">
        <v>205</v>
      </c>
      <c r="D108" s="262">
        <v>1</v>
      </c>
      <c r="E108" s="262">
        <v>0.75</v>
      </c>
      <c r="F108" s="1">
        <v>40</v>
      </c>
      <c r="G108" s="1">
        <v>40</v>
      </c>
      <c r="H108" s="5">
        <v>9000</v>
      </c>
      <c r="I108" s="26">
        <f t="shared" si="8"/>
        <v>6300</v>
      </c>
      <c r="J108" s="26">
        <f t="shared" si="9"/>
        <v>6174</v>
      </c>
      <c r="K108" s="26">
        <f t="shared" si="12"/>
        <v>5988.78</v>
      </c>
      <c r="L108" s="26">
        <f t="shared" si="12"/>
        <v>5809.1165999999994</v>
      </c>
    </row>
    <row r="109" spans="1:12" ht="17.25" customHeight="1" x14ac:dyDescent="0.35">
      <c r="A109" s="6">
        <v>52</v>
      </c>
      <c r="B109" s="4"/>
      <c r="C109" s="18" t="s">
        <v>206</v>
      </c>
      <c r="D109" s="263"/>
      <c r="E109" s="263"/>
      <c r="F109" s="1">
        <v>40</v>
      </c>
      <c r="G109" s="1">
        <v>40</v>
      </c>
      <c r="H109" s="5">
        <v>9000</v>
      </c>
      <c r="I109" s="26">
        <f t="shared" si="8"/>
        <v>6300</v>
      </c>
      <c r="J109" s="26">
        <f t="shared" si="9"/>
        <v>6174</v>
      </c>
      <c r="K109" s="26">
        <f t="shared" si="12"/>
        <v>5988.78</v>
      </c>
      <c r="L109" s="26">
        <f t="shared" si="12"/>
        <v>5809.1165999999994</v>
      </c>
    </row>
    <row r="110" spans="1:12" ht="17.25" customHeight="1" x14ac:dyDescent="0.35">
      <c r="A110" s="6">
        <v>53</v>
      </c>
      <c r="B110" s="4"/>
      <c r="C110" s="20" t="s">
        <v>207</v>
      </c>
      <c r="D110" s="262">
        <v>2</v>
      </c>
      <c r="E110" s="262">
        <v>1.5</v>
      </c>
      <c r="F110" s="1">
        <v>75</v>
      </c>
      <c r="G110" s="1">
        <v>75</v>
      </c>
      <c r="H110" s="5">
        <v>12500</v>
      </c>
      <c r="I110" s="26">
        <f t="shared" si="8"/>
        <v>8750</v>
      </c>
      <c r="J110" s="26">
        <f t="shared" si="9"/>
        <v>8575</v>
      </c>
      <c r="K110" s="26">
        <f t="shared" si="12"/>
        <v>8317.75</v>
      </c>
      <c r="L110" s="26">
        <f t="shared" si="12"/>
        <v>8068.2174999999997</v>
      </c>
    </row>
    <row r="111" spans="1:12" ht="17.25" customHeight="1" x14ac:dyDescent="0.35">
      <c r="A111" s="4">
        <v>54</v>
      </c>
      <c r="B111" s="4" t="s">
        <v>208</v>
      </c>
      <c r="C111" s="20" t="s">
        <v>209</v>
      </c>
      <c r="D111" s="266"/>
      <c r="E111" s="266"/>
      <c r="F111" s="1">
        <v>75</v>
      </c>
      <c r="G111" s="1">
        <v>75</v>
      </c>
      <c r="H111" s="5">
        <v>12500</v>
      </c>
      <c r="I111" s="26">
        <f t="shared" si="8"/>
        <v>8750</v>
      </c>
      <c r="J111" s="26">
        <f t="shared" si="9"/>
        <v>8575</v>
      </c>
      <c r="K111" s="26">
        <f t="shared" si="12"/>
        <v>8317.75</v>
      </c>
      <c r="L111" s="26">
        <f t="shared" si="12"/>
        <v>8068.2174999999997</v>
      </c>
    </row>
    <row r="112" spans="1:12" ht="17.25" customHeight="1" x14ac:dyDescent="0.35">
      <c r="A112" s="6">
        <v>55</v>
      </c>
      <c r="B112" s="4" t="s">
        <v>210</v>
      </c>
      <c r="C112" s="20" t="s">
        <v>211</v>
      </c>
      <c r="D112" s="266"/>
      <c r="E112" s="266"/>
      <c r="F112" s="1">
        <v>65</v>
      </c>
      <c r="G112" s="1">
        <v>50</v>
      </c>
      <c r="H112" s="5">
        <v>12200</v>
      </c>
      <c r="I112" s="26">
        <f t="shared" si="8"/>
        <v>8540</v>
      </c>
      <c r="J112" s="26">
        <f t="shared" si="9"/>
        <v>8369.2000000000007</v>
      </c>
      <c r="K112" s="26">
        <f t="shared" si="12"/>
        <v>8118.1240000000007</v>
      </c>
      <c r="L112" s="26">
        <f t="shared" si="12"/>
        <v>7874.5802800000001</v>
      </c>
    </row>
    <row r="113" spans="1:12" ht="17.25" customHeight="1" x14ac:dyDescent="0.35">
      <c r="A113" s="6">
        <v>56</v>
      </c>
      <c r="B113" s="4" t="s">
        <v>212</v>
      </c>
      <c r="C113" s="20" t="s">
        <v>213</v>
      </c>
      <c r="D113" s="263"/>
      <c r="E113" s="263"/>
      <c r="F113" s="1">
        <v>50</v>
      </c>
      <c r="G113" s="1">
        <v>50</v>
      </c>
      <c r="H113" s="5">
        <v>12200</v>
      </c>
      <c r="I113" s="26">
        <f t="shared" si="8"/>
        <v>8540</v>
      </c>
      <c r="J113" s="26">
        <f t="shared" si="9"/>
        <v>8369.2000000000007</v>
      </c>
      <c r="K113" s="26">
        <f t="shared" si="12"/>
        <v>8118.1240000000007</v>
      </c>
      <c r="L113" s="26">
        <f t="shared" si="12"/>
        <v>7874.5802800000001</v>
      </c>
    </row>
    <row r="114" spans="1:12" ht="17.25" customHeight="1" x14ac:dyDescent="0.35">
      <c r="A114" s="300" t="s">
        <v>214</v>
      </c>
      <c r="B114" s="300"/>
      <c r="C114" s="300"/>
      <c r="D114" s="300"/>
      <c r="E114" s="300"/>
      <c r="F114" s="300"/>
      <c r="G114" s="300"/>
      <c r="H114" s="207" t="s">
        <v>109</v>
      </c>
      <c r="I114" s="315" t="s">
        <v>334</v>
      </c>
      <c r="J114" s="315"/>
      <c r="K114" s="315"/>
      <c r="L114" s="315"/>
    </row>
    <row r="115" spans="1:12" ht="17.25" customHeight="1" x14ac:dyDescent="0.35">
      <c r="A115" s="207" t="s">
        <v>2</v>
      </c>
      <c r="B115" s="287" t="s">
        <v>3</v>
      </c>
      <c r="C115" s="298" t="s">
        <v>4</v>
      </c>
      <c r="D115" s="287" t="s">
        <v>5</v>
      </c>
      <c r="E115" s="287"/>
      <c r="F115" s="287" t="s">
        <v>6</v>
      </c>
      <c r="G115" s="287"/>
      <c r="H115" s="259"/>
      <c r="I115" s="315"/>
      <c r="J115" s="315"/>
      <c r="K115" s="315"/>
      <c r="L115" s="315"/>
    </row>
    <row r="116" spans="1:12" ht="17.25" customHeight="1" x14ac:dyDescent="0.35">
      <c r="A116" s="208"/>
      <c r="B116" s="287"/>
      <c r="C116" s="298"/>
      <c r="D116" s="11" t="s">
        <v>9</v>
      </c>
      <c r="E116" s="11" t="s">
        <v>10</v>
      </c>
      <c r="F116" s="11" t="s">
        <v>11</v>
      </c>
      <c r="G116" s="11" t="s">
        <v>12</v>
      </c>
      <c r="H116" s="208"/>
      <c r="I116" s="41">
        <v>0.3</v>
      </c>
      <c r="J116" s="41">
        <v>0.02</v>
      </c>
      <c r="K116" s="41">
        <v>0.03</v>
      </c>
      <c r="L116" s="41">
        <v>0.03</v>
      </c>
    </row>
    <row r="117" spans="1:12" ht="17.25" customHeight="1" x14ac:dyDescent="0.35">
      <c r="A117" s="4">
        <v>1</v>
      </c>
      <c r="B117" s="4" t="s">
        <v>215</v>
      </c>
      <c r="C117" s="12" t="s">
        <v>216</v>
      </c>
      <c r="D117" s="2">
        <v>0.5</v>
      </c>
      <c r="E117" s="2">
        <v>0.37</v>
      </c>
      <c r="F117" s="2">
        <v>25</v>
      </c>
      <c r="G117" s="2">
        <v>25</v>
      </c>
      <c r="H117" s="13">
        <v>5370</v>
      </c>
      <c r="I117" s="297">
        <f>H117*0.63</f>
        <v>3383.1</v>
      </c>
      <c r="J117" s="297"/>
      <c r="K117" s="297"/>
      <c r="L117" s="297"/>
    </row>
    <row r="118" spans="1:12" ht="17.25" customHeight="1" x14ac:dyDescent="0.35">
      <c r="A118" s="4">
        <v>2</v>
      </c>
      <c r="B118" s="4" t="s">
        <v>217</v>
      </c>
      <c r="C118" s="12" t="s">
        <v>218</v>
      </c>
      <c r="D118" s="2">
        <v>1</v>
      </c>
      <c r="E118" s="2">
        <v>0.75</v>
      </c>
      <c r="F118" s="2">
        <v>25</v>
      </c>
      <c r="G118" s="2">
        <v>25</v>
      </c>
      <c r="H118" s="13">
        <v>7070</v>
      </c>
      <c r="I118" s="320">
        <v>4793</v>
      </c>
      <c r="J118" s="320"/>
      <c r="K118" s="320"/>
      <c r="L118" s="320"/>
    </row>
    <row r="119" spans="1:12" ht="17.25" customHeight="1" x14ac:dyDescent="0.35">
      <c r="A119" s="4">
        <v>3</v>
      </c>
      <c r="B119" s="21" t="s">
        <v>219</v>
      </c>
      <c r="C119" s="22" t="s">
        <v>220</v>
      </c>
      <c r="D119" s="23">
        <v>2</v>
      </c>
      <c r="E119" s="4">
        <v>1.5</v>
      </c>
      <c r="F119" s="4">
        <v>50</v>
      </c>
      <c r="G119" s="4">
        <v>50</v>
      </c>
      <c r="H119" s="4">
        <v>12200</v>
      </c>
      <c r="I119" s="26">
        <f t="shared" ref="I119:I128" si="13">H119*0.7</f>
        <v>8540</v>
      </c>
      <c r="J119" s="26">
        <f t="shared" ref="J119:J128" si="14">I119*0.98</f>
        <v>8369.2000000000007</v>
      </c>
      <c r="K119" s="26">
        <f t="shared" ref="K119:L128" si="15">J119*0.97</f>
        <v>8118.1240000000007</v>
      </c>
      <c r="L119" s="26">
        <f t="shared" si="15"/>
        <v>7874.5802800000001</v>
      </c>
    </row>
    <row r="120" spans="1:12" ht="17.25" customHeight="1" x14ac:dyDescent="0.35">
      <c r="A120" s="4">
        <v>4</v>
      </c>
      <c r="B120" s="21" t="s">
        <v>221</v>
      </c>
      <c r="C120" s="22" t="s">
        <v>222</v>
      </c>
      <c r="D120" s="23">
        <v>2</v>
      </c>
      <c r="E120" s="4">
        <v>1.5</v>
      </c>
      <c r="F120" s="4">
        <v>50</v>
      </c>
      <c r="G120" s="4">
        <v>50</v>
      </c>
      <c r="H120" s="4">
        <v>12200</v>
      </c>
      <c r="I120" s="26">
        <f t="shared" si="13"/>
        <v>8540</v>
      </c>
      <c r="J120" s="26">
        <f t="shared" si="14"/>
        <v>8369.2000000000007</v>
      </c>
      <c r="K120" s="26">
        <f t="shared" si="15"/>
        <v>8118.1240000000007</v>
      </c>
      <c r="L120" s="26">
        <f t="shared" si="15"/>
        <v>7874.5802800000001</v>
      </c>
    </row>
    <row r="121" spans="1:12" ht="17.25" customHeight="1" x14ac:dyDescent="0.35">
      <c r="A121" s="4">
        <v>5</v>
      </c>
      <c r="B121" s="21" t="s">
        <v>223</v>
      </c>
      <c r="C121" s="22" t="s">
        <v>224</v>
      </c>
      <c r="D121" s="23">
        <v>2</v>
      </c>
      <c r="E121" s="4">
        <v>1.5</v>
      </c>
      <c r="F121" s="4">
        <v>65</v>
      </c>
      <c r="G121" s="4">
        <v>50</v>
      </c>
      <c r="H121" s="4">
        <v>12300</v>
      </c>
      <c r="I121" s="26">
        <f t="shared" si="13"/>
        <v>8610</v>
      </c>
      <c r="J121" s="26">
        <f t="shared" si="14"/>
        <v>8437.7999999999993</v>
      </c>
      <c r="K121" s="26">
        <f t="shared" si="15"/>
        <v>8184.6659999999993</v>
      </c>
      <c r="L121" s="26">
        <f t="shared" si="15"/>
        <v>7939.1260199999988</v>
      </c>
    </row>
    <row r="122" spans="1:12" ht="17.25" customHeight="1" x14ac:dyDescent="0.35">
      <c r="A122" s="4">
        <v>6</v>
      </c>
      <c r="B122" s="21" t="s">
        <v>225</v>
      </c>
      <c r="C122" s="22" t="s">
        <v>226</v>
      </c>
      <c r="D122" s="23">
        <v>2</v>
      </c>
      <c r="E122" s="4">
        <v>1.5</v>
      </c>
      <c r="F122" s="4">
        <v>65</v>
      </c>
      <c r="G122" s="4">
        <v>50</v>
      </c>
      <c r="H122" s="4">
        <v>12300</v>
      </c>
      <c r="I122" s="26">
        <f t="shared" si="13"/>
        <v>8610</v>
      </c>
      <c r="J122" s="26">
        <f t="shared" si="14"/>
        <v>8437.7999999999993</v>
      </c>
      <c r="K122" s="26">
        <f t="shared" si="15"/>
        <v>8184.6659999999993</v>
      </c>
      <c r="L122" s="26">
        <f t="shared" si="15"/>
        <v>7939.1260199999988</v>
      </c>
    </row>
    <row r="123" spans="1:12" ht="17.25" customHeight="1" x14ac:dyDescent="0.35">
      <c r="A123" s="4">
        <v>7</v>
      </c>
      <c r="B123" s="21" t="s">
        <v>227</v>
      </c>
      <c r="C123" s="22" t="s">
        <v>228</v>
      </c>
      <c r="D123" s="21">
        <v>3</v>
      </c>
      <c r="E123" s="4">
        <v>2.25</v>
      </c>
      <c r="F123" s="4">
        <v>65</v>
      </c>
      <c r="G123" s="4">
        <v>50</v>
      </c>
      <c r="H123" s="4">
        <v>12900</v>
      </c>
      <c r="I123" s="26">
        <f t="shared" si="13"/>
        <v>9030</v>
      </c>
      <c r="J123" s="26">
        <f t="shared" si="14"/>
        <v>8849.4</v>
      </c>
      <c r="K123" s="26">
        <f t="shared" si="15"/>
        <v>8583.9179999999997</v>
      </c>
      <c r="L123" s="26">
        <f t="shared" si="15"/>
        <v>8326.4004599999989</v>
      </c>
    </row>
    <row r="124" spans="1:12" ht="17.25" customHeight="1" x14ac:dyDescent="0.35">
      <c r="A124" s="4">
        <v>8</v>
      </c>
      <c r="B124" s="21" t="s">
        <v>229</v>
      </c>
      <c r="C124" s="24" t="s">
        <v>230</v>
      </c>
      <c r="D124" s="21">
        <v>3</v>
      </c>
      <c r="E124" s="4">
        <v>2.25</v>
      </c>
      <c r="F124" s="4">
        <v>65</v>
      </c>
      <c r="G124" s="4">
        <v>50</v>
      </c>
      <c r="H124" s="4">
        <v>13000</v>
      </c>
      <c r="I124" s="26">
        <f t="shared" si="13"/>
        <v>9100</v>
      </c>
      <c r="J124" s="26">
        <f t="shared" si="14"/>
        <v>8918</v>
      </c>
      <c r="K124" s="26">
        <f t="shared" si="15"/>
        <v>8650.4599999999991</v>
      </c>
      <c r="L124" s="26">
        <f t="shared" si="15"/>
        <v>8390.9461999999985</v>
      </c>
    </row>
    <row r="125" spans="1:12" ht="17.25" customHeight="1" x14ac:dyDescent="0.35">
      <c r="A125" s="4">
        <v>9</v>
      </c>
      <c r="B125" s="21" t="s">
        <v>231</v>
      </c>
      <c r="C125" s="24" t="s">
        <v>232</v>
      </c>
      <c r="D125" s="21">
        <v>3</v>
      </c>
      <c r="E125" s="4">
        <v>2.25</v>
      </c>
      <c r="F125" s="4">
        <v>65</v>
      </c>
      <c r="G125" s="4">
        <v>50</v>
      </c>
      <c r="H125" s="4">
        <v>12900</v>
      </c>
      <c r="I125" s="26">
        <f t="shared" si="13"/>
        <v>9030</v>
      </c>
      <c r="J125" s="26">
        <f t="shared" si="14"/>
        <v>8849.4</v>
      </c>
      <c r="K125" s="26">
        <f t="shared" si="15"/>
        <v>8583.9179999999997</v>
      </c>
      <c r="L125" s="26">
        <f t="shared" si="15"/>
        <v>8326.4004599999989</v>
      </c>
    </row>
    <row r="126" spans="1:12" ht="17.25" customHeight="1" x14ac:dyDescent="0.35">
      <c r="A126" s="4">
        <v>10</v>
      </c>
      <c r="B126" s="21" t="s">
        <v>233</v>
      </c>
      <c r="C126" s="24" t="s">
        <v>234</v>
      </c>
      <c r="D126" s="21">
        <v>3</v>
      </c>
      <c r="E126" s="4">
        <v>2.25</v>
      </c>
      <c r="F126" s="4">
        <v>65</v>
      </c>
      <c r="G126" s="4">
        <v>50</v>
      </c>
      <c r="H126" s="4">
        <v>19300</v>
      </c>
      <c r="I126" s="26">
        <f t="shared" si="13"/>
        <v>13510</v>
      </c>
      <c r="J126" s="26">
        <f t="shared" si="14"/>
        <v>13239.8</v>
      </c>
      <c r="K126" s="26">
        <f t="shared" si="15"/>
        <v>12842.606</v>
      </c>
      <c r="L126" s="26">
        <f t="shared" si="15"/>
        <v>12457.327819999999</v>
      </c>
    </row>
    <row r="127" spans="1:12" ht="17.25" customHeight="1" x14ac:dyDescent="0.35">
      <c r="A127" s="4">
        <v>11</v>
      </c>
      <c r="B127" s="21" t="s">
        <v>235</v>
      </c>
      <c r="C127" s="24" t="s">
        <v>236</v>
      </c>
      <c r="D127" s="21">
        <v>5</v>
      </c>
      <c r="E127" s="1">
        <v>3.75</v>
      </c>
      <c r="F127" s="4">
        <v>65</v>
      </c>
      <c r="G127" s="4">
        <v>50</v>
      </c>
      <c r="H127" s="4">
        <v>18700</v>
      </c>
      <c r="I127" s="26">
        <f t="shared" si="13"/>
        <v>13090</v>
      </c>
      <c r="J127" s="26">
        <f t="shared" si="14"/>
        <v>12828.199999999999</v>
      </c>
      <c r="K127" s="26">
        <f t="shared" si="15"/>
        <v>12443.353999999999</v>
      </c>
      <c r="L127" s="26">
        <f t="shared" si="15"/>
        <v>12070.053379999999</v>
      </c>
    </row>
    <row r="128" spans="1:12" ht="17.25" customHeight="1" x14ac:dyDescent="0.35">
      <c r="A128" s="4">
        <v>12</v>
      </c>
      <c r="B128" s="21" t="s">
        <v>237</v>
      </c>
      <c r="C128" s="24" t="s">
        <v>238</v>
      </c>
      <c r="D128" s="21">
        <v>5</v>
      </c>
      <c r="E128" s="1">
        <v>3.75</v>
      </c>
      <c r="F128" s="4">
        <v>65</v>
      </c>
      <c r="G128" s="4">
        <v>50</v>
      </c>
      <c r="H128" s="4">
        <v>22900</v>
      </c>
      <c r="I128" s="26">
        <f t="shared" si="13"/>
        <v>16029.999999999998</v>
      </c>
      <c r="J128" s="26">
        <f t="shared" si="14"/>
        <v>15709.399999999998</v>
      </c>
      <c r="K128" s="26">
        <f t="shared" si="15"/>
        <v>15238.117999999997</v>
      </c>
      <c r="L128" s="26">
        <f t="shared" si="15"/>
        <v>14780.974459999996</v>
      </c>
    </row>
    <row r="129" spans="1:12" ht="17.25" customHeight="1" x14ac:dyDescent="0.35">
      <c r="A129" s="300" t="s">
        <v>239</v>
      </c>
      <c r="B129" s="300"/>
      <c r="C129" s="300"/>
      <c r="D129" s="300"/>
      <c r="E129" s="300"/>
      <c r="F129" s="300"/>
      <c r="G129" s="300"/>
      <c r="H129" s="207" t="s">
        <v>109</v>
      </c>
      <c r="I129" s="315" t="s">
        <v>334</v>
      </c>
      <c r="J129" s="315"/>
      <c r="K129" s="315"/>
      <c r="L129" s="315"/>
    </row>
    <row r="130" spans="1:12" ht="17.25" customHeight="1" x14ac:dyDescent="0.35">
      <c r="A130" s="287" t="s">
        <v>2</v>
      </c>
      <c r="B130" s="287" t="s">
        <v>3</v>
      </c>
      <c r="C130" s="298" t="s">
        <v>4</v>
      </c>
      <c r="D130" s="287" t="s">
        <v>5</v>
      </c>
      <c r="E130" s="287"/>
      <c r="F130" s="272" t="s">
        <v>6</v>
      </c>
      <c r="G130" s="273"/>
      <c r="H130" s="259"/>
      <c r="I130" s="315"/>
      <c r="J130" s="315"/>
      <c r="K130" s="315"/>
      <c r="L130" s="315"/>
    </row>
    <row r="131" spans="1:12" ht="17.25" customHeight="1" x14ac:dyDescent="0.35">
      <c r="A131" s="287"/>
      <c r="B131" s="287"/>
      <c r="C131" s="298"/>
      <c r="D131" s="11" t="s">
        <v>9</v>
      </c>
      <c r="E131" s="11" t="s">
        <v>10</v>
      </c>
      <c r="F131" s="274"/>
      <c r="G131" s="275"/>
      <c r="H131" s="208"/>
      <c r="I131" s="41">
        <v>0.3</v>
      </c>
      <c r="J131" s="41">
        <v>0.02</v>
      </c>
      <c r="K131" s="41">
        <v>0.03</v>
      </c>
      <c r="L131" s="41">
        <v>0.03</v>
      </c>
    </row>
    <row r="132" spans="1:12" ht="17.25" customHeight="1" x14ac:dyDescent="0.35">
      <c r="A132" s="4">
        <v>1</v>
      </c>
      <c r="B132" s="4" t="s">
        <v>240</v>
      </c>
      <c r="C132" s="25" t="s">
        <v>241</v>
      </c>
      <c r="D132" s="4">
        <v>0.5</v>
      </c>
      <c r="E132" s="4"/>
      <c r="F132" s="292">
        <v>32</v>
      </c>
      <c r="G132" s="292"/>
      <c r="H132" s="4">
        <v>8240</v>
      </c>
      <c r="I132" s="26">
        <f t="shared" ref="I132:I154" si="16">H132*0.7</f>
        <v>5768</v>
      </c>
      <c r="J132" s="26">
        <f t="shared" ref="J132:J154" si="17">I132*0.98</f>
        <v>5652.64</v>
      </c>
      <c r="K132" s="26">
        <f t="shared" ref="K132:L154" si="18">J132*0.97</f>
        <v>5483.0608000000002</v>
      </c>
      <c r="L132" s="26">
        <f t="shared" si="18"/>
        <v>5318.5689760000005</v>
      </c>
    </row>
    <row r="133" spans="1:12" ht="17.25" customHeight="1" x14ac:dyDescent="0.35">
      <c r="A133" s="4">
        <v>2</v>
      </c>
      <c r="B133" s="4" t="s">
        <v>242</v>
      </c>
      <c r="C133" s="25" t="s">
        <v>243</v>
      </c>
      <c r="D133" s="4">
        <v>0.5</v>
      </c>
      <c r="E133" s="4"/>
      <c r="F133" s="292">
        <v>32</v>
      </c>
      <c r="G133" s="292"/>
      <c r="H133" s="4">
        <v>8450</v>
      </c>
      <c r="I133" s="26">
        <f t="shared" si="16"/>
        <v>5915</v>
      </c>
      <c r="J133" s="26">
        <f t="shared" si="17"/>
        <v>5796.7</v>
      </c>
      <c r="K133" s="26">
        <f t="shared" si="18"/>
        <v>5622.799</v>
      </c>
      <c r="L133" s="26">
        <f t="shared" si="18"/>
        <v>5454.1150299999999</v>
      </c>
    </row>
    <row r="134" spans="1:12" ht="17.25" customHeight="1" x14ac:dyDescent="0.35">
      <c r="A134" s="4">
        <v>3</v>
      </c>
      <c r="B134" s="4" t="s">
        <v>244</v>
      </c>
      <c r="C134" s="25" t="s">
        <v>245</v>
      </c>
      <c r="D134" s="4">
        <v>0.75</v>
      </c>
      <c r="E134" s="4"/>
      <c r="F134" s="292">
        <v>32</v>
      </c>
      <c r="G134" s="292"/>
      <c r="H134" s="4">
        <v>8550</v>
      </c>
      <c r="I134" s="26">
        <f t="shared" si="16"/>
        <v>5985</v>
      </c>
      <c r="J134" s="26">
        <f t="shared" si="17"/>
        <v>5865.3</v>
      </c>
      <c r="K134" s="26">
        <f t="shared" si="18"/>
        <v>5689.3410000000003</v>
      </c>
      <c r="L134" s="26">
        <f t="shared" si="18"/>
        <v>5518.6607700000004</v>
      </c>
    </row>
    <row r="135" spans="1:12" ht="17.25" customHeight="1" x14ac:dyDescent="0.35">
      <c r="A135" s="4">
        <v>4</v>
      </c>
      <c r="B135" s="4" t="s">
        <v>246</v>
      </c>
      <c r="C135" s="25" t="s">
        <v>247</v>
      </c>
      <c r="D135" s="4">
        <v>0.75</v>
      </c>
      <c r="E135" s="4"/>
      <c r="F135" s="292">
        <v>32</v>
      </c>
      <c r="G135" s="292"/>
      <c r="H135" s="4">
        <v>8750</v>
      </c>
      <c r="I135" s="26">
        <f t="shared" si="16"/>
        <v>6125</v>
      </c>
      <c r="J135" s="26">
        <f t="shared" si="17"/>
        <v>6002.5</v>
      </c>
      <c r="K135" s="26">
        <f t="shared" si="18"/>
        <v>5822.4250000000002</v>
      </c>
      <c r="L135" s="26">
        <f t="shared" si="18"/>
        <v>5647.7522500000005</v>
      </c>
    </row>
    <row r="136" spans="1:12" ht="17.25" customHeight="1" x14ac:dyDescent="0.35">
      <c r="A136" s="4">
        <v>5</v>
      </c>
      <c r="B136" s="4" t="s">
        <v>248</v>
      </c>
      <c r="C136" s="25" t="s">
        <v>249</v>
      </c>
      <c r="D136" s="4">
        <v>1</v>
      </c>
      <c r="E136" s="4"/>
      <c r="F136" s="292">
        <v>32</v>
      </c>
      <c r="G136" s="292"/>
      <c r="H136" s="26">
        <v>8800</v>
      </c>
      <c r="I136" s="26">
        <f t="shared" si="16"/>
        <v>6160</v>
      </c>
      <c r="J136" s="26">
        <f t="shared" si="17"/>
        <v>6036.8</v>
      </c>
      <c r="K136" s="26">
        <f t="shared" si="18"/>
        <v>5855.6959999999999</v>
      </c>
      <c r="L136" s="26">
        <f t="shared" si="18"/>
        <v>5680.0251199999993</v>
      </c>
    </row>
    <row r="137" spans="1:12" ht="17.25" customHeight="1" x14ac:dyDescent="0.35">
      <c r="A137" s="4">
        <v>6</v>
      </c>
      <c r="B137" s="4" t="s">
        <v>250</v>
      </c>
      <c r="C137" s="25" t="s">
        <v>251</v>
      </c>
      <c r="D137" s="4">
        <v>1</v>
      </c>
      <c r="E137" s="4"/>
      <c r="F137" s="292">
        <v>32</v>
      </c>
      <c r="G137" s="292"/>
      <c r="H137" s="26">
        <v>9000</v>
      </c>
      <c r="I137" s="26">
        <f t="shared" si="16"/>
        <v>6300</v>
      </c>
      <c r="J137" s="26">
        <f t="shared" si="17"/>
        <v>6174</v>
      </c>
      <c r="K137" s="26">
        <f t="shared" si="18"/>
        <v>5988.78</v>
      </c>
      <c r="L137" s="26">
        <f t="shared" si="18"/>
        <v>5809.1165999999994</v>
      </c>
    </row>
    <row r="138" spans="1:12" ht="17.25" customHeight="1" x14ac:dyDescent="0.35">
      <c r="A138" s="4">
        <v>7</v>
      </c>
      <c r="B138" s="4" t="s">
        <v>252</v>
      </c>
      <c r="C138" s="25" t="s">
        <v>253</v>
      </c>
      <c r="D138" s="4">
        <v>1</v>
      </c>
      <c r="E138" s="4"/>
      <c r="F138" s="292">
        <v>32</v>
      </c>
      <c r="G138" s="292"/>
      <c r="H138" s="4">
        <v>9480</v>
      </c>
      <c r="I138" s="26">
        <f t="shared" si="16"/>
        <v>6636</v>
      </c>
      <c r="J138" s="26">
        <f t="shared" si="17"/>
        <v>6503.28</v>
      </c>
      <c r="K138" s="26">
        <f t="shared" si="18"/>
        <v>6308.1815999999999</v>
      </c>
      <c r="L138" s="26">
        <f t="shared" si="18"/>
        <v>6118.9361519999993</v>
      </c>
    </row>
    <row r="139" spans="1:12" ht="17.25" customHeight="1" x14ac:dyDescent="0.35">
      <c r="A139" s="4">
        <v>8</v>
      </c>
      <c r="B139" s="4" t="s">
        <v>254</v>
      </c>
      <c r="C139" s="25" t="s">
        <v>255</v>
      </c>
      <c r="D139" s="4">
        <v>1</v>
      </c>
      <c r="E139" s="4"/>
      <c r="F139" s="292">
        <v>32</v>
      </c>
      <c r="G139" s="292"/>
      <c r="H139" s="4">
        <v>9790</v>
      </c>
      <c r="I139" s="26">
        <f t="shared" si="16"/>
        <v>6853</v>
      </c>
      <c r="J139" s="26">
        <f t="shared" si="17"/>
        <v>6715.94</v>
      </c>
      <c r="K139" s="26">
        <f t="shared" si="18"/>
        <v>6514.4617999999991</v>
      </c>
      <c r="L139" s="26">
        <f t="shared" si="18"/>
        <v>6319.0279459999992</v>
      </c>
    </row>
    <row r="140" spans="1:12" ht="17.25" customHeight="1" x14ac:dyDescent="0.35">
      <c r="A140" s="4">
        <v>9</v>
      </c>
      <c r="B140" s="4" t="s">
        <v>256</v>
      </c>
      <c r="C140" s="25" t="s">
        <v>257</v>
      </c>
      <c r="D140" s="4">
        <v>1.5</v>
      </c>
      <c r="E140" s="4"/>
      <c r="F140" s="292">
        <v>32</v>
      </c>
      <c r="G140" s="292"/>
      <c r="H140" s="4">
        <v>11330</v>
      </c>
      <c r="I140" s="26">
        <f t="shared" si="16"/>
        <v>7930.9999999999991</v>
      </c>
      <c r="J140" s="26">
        <f t="shared" si="17"/>
        <v>7772.3799999999992</v>
      </c>
      <c r="K140" s="26">
        <f t="shared" si="18"/>
        <v>7539.208599999999</v>
      </c>
      <c r="L140" s="26">
        <f t="shared" si="18"/>
        <v>7313.0323419999986</v>
      </c>
    </row>
    <row r="141" spans="1:12" ht="17.25" customHeight="1" x14ac:dyDescent="0.35">
      <c r="A141" s="4">
        <v>10</v>
      </c>
      <c r="B141" s="4" t="s">
        <v>258</v>
      </c>
      <c r="C141" s="25" t="s">
        <v>259</v>
      </c>
      <c r="D141" s="4">
        <v>1.5</v>
      </c>
      <c r="E141" s="4"/>
      <c r="F141" s="292">
        <v>32</v>
      </c>
      <c r="G141" s="292"/>
      <c r="H141" s="4">
        <v>11640</v>
      </c>
      <c r="I141" s="26">
        <f t="shared" si="16"/>
        <v>8147.9999999999991</v>
      </c>
      <c r="J141" s="26">
        <f t="shared" si="17"/>
        <v>7985.0399999999991</v>
      </c>
      <c r="K141" s="26">
        <f t="shared" si="18"/>
        <v>7745.4887999999992</v>
      </c>
      <c r="L141" s="26">
        <f t="shared" si="18"/>
        <v>7513.1241359999985</v>
      </c>
    </row>
    <row r="142" spans="1:12" ht="17.25" customHeight="1" x14ac:dyDescent="0.35">
      <c r="A142" s="4">
        <v>11</v>
      </c>
      <c r="B142" s="4" t="s">
        <v>260</v>
      </c>
      <c r="C142" s="25" t="s">
        <v>261</v>
      </c>
      <c r="D142" s="4">
        <v>1.5</v>
      </c>
      <c r="E142" s="4"/>
      <c r="F142" s="292">
        <v>32</v>
      </c>
      <c r="G142" s="292"/>
      <c r="H142" s="4">
        <v>11800</v>
      </c>
      <c r="I142" s="26">
        <f t="shared" si="16"/>
        <v>8260</v>
      </c>
      <c r="J142" s="26">
        <f t="shared" si="17"/>
        <v>8094.8</v>
      </c>
      <c r="K142" s="26">
        <f t="shared" si="18"/>
        <v>7851.9560000000001</v>
      </c>
      <c r="L142" s="26">
        <f t="shared" si="18"/>
        <v>7616.39732</v>
      </c>
    </row>
    <row r="143" spans="1:12" ht="17.25" customHeight="1" x14ac:dyDescent="0.35">
      <c r="A143" s="4">
        <v>12</v>
      </c>
      <c r="B143" s="4" t="s">
        <v>262</v>
      </c>
      <c r="C143" s="25" t="s">
        <v>263</v>
      </c>
      <c r="D143" s="4">
        <v>1.5</v>
      </c>
      <c r="E143" s="4"/>
      <c r="F143" s="292">
        <v>32</v>
      </c>
      <c r="G143" s="292"/>
      <c r="H143" s="4">
        <v>12670</v>
      </c>
      <c r="I143" s="26">
        <f t="shared" si="16"/>
        <v>8869</v>
      </c>
      <c r="J143" s="26">
        <f t="shared" si="17"/>
        <v>8691.619999999999</v>
      </c>
      <c r="K143" s="26">
        <f t="shared" si="18"/>
        <v>8430.8713999999982</v>
      </c>
      <c r="L143" s="26">
        <f t="shared" si="18"/>
        <v>8177.9452579999979</v>
      </c>
    </row>
    <row r="144" spans="1:12" ht="17.25" customHeight="1" x14ac:dyDescent="0.35">
      <c r="A144" s="4">
        <v>13</v>
      </c>
      <c r="B144" s="4" t="s">
        <v>264</v>
      </c>
      <c r="C144" s="25" t="s">
        <v>265</v>
      </c>
      <c r="D144" s="4">
        <v>2</v>
      </c>
      <c r="E144" s="4"/>
      <c r="F144" s="292">
        <v>40</v>
      </c>
      <c r="G144" s="292"/>
      <c r="H144" s="4">
        <v>14730</v>
      </c>
      <c r="I144" s="26">
        <f t="shared" si="16"/>
        <v>10311</v>
      </c>
      <c r="J144" s="26">
        <f t="shared" si="17"/>
        <v>10104.780000000001</v>
      </c>
      <c r="K144" s="26">
        <f t="shared" si="18"/>
        <v>9801.6365999999998</v>
      </c>
      <c r="L144" s="26">
        <f t="shared" si="18"/>
        <v>9507.5875020000003</v>
      </c>
    </row>
    <row r="145" spans="1:12" ht="17.25" customHeight="1" x14ac:dyDescent="0.35">
      <c r="A145" s="4">
        <v>14</v>
      </c>
      <c r="B145" s="4" t="s">
        <v>266</v>
      </c>
      <c r="C145" s="25" t="s">
        <v>267</v>
      </c>
      <c r="D145" s="4">
        <v>2</v>
      </c>
      <c r="E145" s="4"/>
      <c r="F145" s="292">
        <v>32</v>
      </c>
      <c r="G145" s="292"/>
      <c r="H145" s="4">
        <v>15250</v>
      </c>
      <c r="I145" s="26">
        <f t="shared" si="16"/>
        <v>10675</v>
      </c>
      <c r="J145" s="26">
        <f t="shared" si="17"/>
        <v>10461.5</v>
      </c>
      <c r="K145" s="26">
        <f t="shared" si="18"/>
        <v>10147.654999999999</v>
      </c>
      <c r="L145" s="26">
        <f t="shared" si="18"/>
        <v>9843.2253499999988</v>
      </c>
    </row>
    <row r="146" spans="1:12" ht="17.25" customHeight="1" x14ac:dyDescent="0.35">
      <c r="A146" s="4">
        <v>15</v>
      </c>
      <c r="B146" s="4" t="s">
        <v>268</v>
      </c>
      <c r="C146" s="25" t="s">
        <v>269</v>
      </c>
      <c r="D146" s="4">
        <v>2</v>
      </c>
      <c r="E146" s="4"/>
      <c r="F146" s="292">
        <v>32</v>
      </c>
      <c r="G146" s="292"/>
      <c r="H146" s="4">
        <v>15860</v>
      </c>
      <c r="I146" s="26">
        <f t="shared" si="16"/>
        <v>11102</v>
      </c>
      <c r="J146" s="26">
        <f t="shared" si="17"/>
        <v>10879.96</v>
      </c>
      <c r="K146" s="26">
        <f t="shared" si="18"/>
        <v>10553.561199999998</v>
      </c>
      <c r="L146" s="26">
        <f t="shared" si="18"/>
        <v>10236.954363999997</v>
      </c>
    </row>
    <row r="147" spans="1:12" ht="17.25" customHeight="1" x14ac:dyDescent="0.35">
      <c r="A147" s="4">
        <v>16</v>
      </c>
      <c r="B147" s="4" t="s">
        <v>270</v>
      </c>
      <c r="C147" s="25" t="s">
        <v>271</v>
      </c>
      <c r="D147" s="4">
        <v>2</v>
      </c>
      <c r="E147" s="4"/>
      <c r="F147" s="292">
        <v>32</v>
      </c>
      <c r="G147" s="292"/>
      <c r="H147" s="4">
        <v>15970</v>
      </c>
      <c r="I147" s="26">
        <f t="shared" si="16"/>
        <v>11179</v>
      </c>
      <c r="J147" s="26">
        <f t="shared" si="17"/>
        <v>10955.42</v>
      </c>
      <c r="K147" s="26">
        <f t="shared" si="18"/>
        <v>10626.7574</v>
      </c>
      <c r="L147" s="26">
        <f t="shared" si="18"/>
        <v>10307.954678</v>
      </c>
    </row>
    <row r="148" spans="1:12" ht="17.25" customHeight="1" x14ac:dyDescent="0.35">
      <c r="A148" s="4">
        <v>17</v>
      </c>
      <c r="B148" s="4" t="s">
        <v>272</v>
      </c>
      <c r="C148" s="25" t="s">
        <v>273</v>
      </c>
      <c r="D148" s="4">
        <v>2</v>
      </c>
      <c r="E148" s="4"/>
      <c r="F148" s="292">
        <v>32</v>
      </c>
      <c r="G148" s="292"/>
      <c r="H148" s="4">
        <v>16480</v>
      </c>
      <c r="I148" s="26">
        <f t="shared" si="16"/>
        <v>11536</v>
      </c>
      <c r="J148" s="26">
        <f t="shared" si="17"/>
        <v>11305.28</v>
      </c>
      <c r="K148" s="26">
        <f t="shared" si="18"/>
        <v>10966.1216</v>
      </c>
      <c r="L148" s="26">
        <f t="shared" si="18"/>
        <v>10637.137952000001</v>
      </c>
    </row>
    <row r="149" spans="1:12" ht="17.25" customHeight="1" x14ac:dyDescent="0.35">
      <c r="A149" s="4">
        <v>18</v>
      </c>
      <c r="B149" s="4" t="s">
        <v>274</v>
      </c>
      <c r="C149" s="25" t="s">
        <v>275</v>
      </c>
      <c r="D149" s="4">
        <v>2</v>
      </c>
      <c r="E149" s="4"/>
      <c r="F149" s="292">
        <v>65</v>
      </c>
      <c r="G149" s="292"/>
      <c r="H149" s="4">
        <v>14940</v>
      </c>
      <c r="I149" s="26">
        <f t="shared" si="16"/>
        <v>10458</v>
      </c>
      <c r="J149" s="26">
        <f t="shared" si="17"/>
        <v>10248.84</v>
      </c>
      <c r="K149" s="26">
        <f t="shared" si="18"/>
        <v>9941.3747999999996</v>
      </c>
      <c r="L149" s="26">
        <f t="shared" si="18"/>
        <v>9643.1335559999989</v>
      </c>
    </row>
    <row r="150" spans="1:12" ht="17.25" customHeight="1" x14ac:dyDescent="0.35">
      <c r="A150" s="4">
        <v>19</v>
      </c>
      <c r="B150" s="4" t="s">
        <v>276</v>
      </c>
      <c r="C150" s="25" t="s">
        <v>277</v>
      </c>
      <c r="D150" s="4">
        <v>3</v>
      </c>
      <c r="E150" s="4"/>
      <c r="F150" s="292">
        <v>32</v>
      </c>
      <c r="G150" s="292"/>
      <c r="H150" s="4">
        <v>23500</v>
      </c>
      <c r="I150" s="26">
        <f t="shared" si="16"/>
        <v>16450</v>
      </c>
      <c r="J150" s="26">
        <f t="shared" si="17"/>
        <v>16121</v>
      </c>
      <c r="K150" s="26">
        <f t="shared" si="18"/>
        <v>15637.369999999999</v>
      </c>
      <c r="L150" s="26">
        <f t="shared" si="18"/>
        <v>15168.248899999999</v>
      </c>
    </row>
    <row r="151" spans="1:12" ht="17.25" customHeight="1" x14ac:dyDescent="0.35">
      <c r="A151" s="4">
        <v>20</v>
      </c>
      <c r="B151" s="4" t="s">
        <v>278</v>
      </c>
      <c r="C151" s="25" t="s">
        <v>279</v>
      </c>
      <c r="D151" s="4">
        <v>3</v>
      </c>
      <c r="E151" s="4"/>
      <c r="F151" s="292">
        <v>32</v>
      </c>
      <c r="G151" s="292"/>
      <c r="H151" s="4">
        <v>24000</v>
      </c>
      <c r="I151" s="26">
        <f t="shared" si="16"/>
        <v>16800</v>
      </c>
      <c r="J151" s="26">
        <f t="shared" si="17"/>
        <v>16464</v>
      </c>
      <c r="K151" s="26">
        <f t="shared" si="18"/>
        <v>15970.08</v>
      </c>
      <c r="L151" s="26">
        <f t="shared" si="18"/>
        <v>15490.9776</v>
      </c>
    </row>
    <row r="152" spans="1:12" ht="17.25" customHeight="1" x14ac:dyDescent="0.35">
      <c r="A152" s="4">
        <v>21</v>
      </c>
      <c r="B152" s="4" t="s">
        <v>280</v>
      </c>
      <c r="C152" s="25" t="s">
        <v>281</v>
      </c>
      <c r="D152" s="4">
        <v>3</v>
      </c>
      <c r="E152" s="4"/>
      <c r="F152" s="292">
        <v>32</v>
      </c>
      <c r="G152" s="292"/>
      <c r="H152" s="4">
        <v>24500</v>
      </c>
      <c r="I152" s="26">
        <f t="shared" si="16"/>
        <v>17150</v>
      </c>
      <c r="J152" s="26">
        <f t="shared" si="17"/>
        <v>16807</v>
      </c>
      <c r="K152" s="26">
        <f t="shared" si="18"/>
        <v>16302.789999999999</v>
      </c>
      <c r="L152" s="26">
        <f t="shared" si="18"/>
        <v>15813.706299999998</v>
      </c>
    </row>
    <row r="153" spans="1:12" ht="17.25" customHeight="1" x14ac:dyDescent="0.35">
      <c r="A153" s="4">
        <v>22</v>
      </c>
      <c r="B153" s="4" t="s">
        <v>282</v>
      </c>
      <c r="C153" s="25" t="s">
        <v>283</v>
      </c>
      <c r="D153" s="4">
        <v>3</v>
      </c>
      <c r="E153" s="4"/>
      <c r="F153" s="292">
        <v>65</v>
      </c>
      <c r="G153" s="292"/>
      <c r="H153" s="4">
        <v>23690</v>
      </c>
      <c r="I153" s="26">
        <f t="shared" si="16"/>
        <v>16583</v>
      </c>
      <c r="J153" s="26">
        <f t="shared" si="17"/>
        <v>16251.34</v>
      </c>
      <c r="K153" s="26">
        <f t="shared" si="18"/>
        <v>15763.799799999999</v>
      </c>
      <c r="L153" s="26">
        <f t="shared" si="18"/>
        <v>15290.885805999998</v>
      </c>
    </row>
    <row r="154" spans="1:12" ht="17.25" customHeight="1" x14ac:dyDescent="0.35">
      <c r="A154" s="4">
        <v>23</v>
      </c>
      <c r="B154" s="4" t="s">
        <v>284</v>
      </c>
      <c r="C154" s="25" t="s">
        <v>283</v>
      </c>
      <c r="D154" s="4">
        <v>3</v>
      </c>
      <c r="E154" s="4"/>
      <c r="F154" s="292">
        <v>65</v>
      </c>
      <c r="G154" s="292"/>
      <c r="H154" s="4">
        <v>15450</v>
      </c>
      <c r="I154" s="26">
        <f t="shared" si="16"/>
        <v>10815</v>
      </c>
      <c r="J154" s="26">
        <f t="shared" si="17"/>
        <v>10598.699999999999</v>
      </c>
      <c r="K154" s="26">
        <f t="shared" si="18"/>
        <v>10280.738999999998</v>
      </c>
      <c r="L154" s="26">
        <f t="shared" si="18"/>
        <v>9972.3168299999979</v>
      </c>
    </row>
    <row r="155" spans="1:12" ht="17.25" customHeight="1" x14ac:dyDescent="0.35">
      <c r="A155" s="300" t="s">
        <v>285</v>
      </c>
      <c r="B155" s="300"/>
      <c r="C155" s="300"/>
      <c r="D155" s="300"/>
      <c r="E155" s="300"/>
      <c r="F155" s="300"/>
      <c r="G155" s="300"/>
      <c r="H155" s="207" t="s">
        <v>109</v>
      </c>
      <c r="I155" s="315" t="s">
        <v>334</v>
      </c>
      <c r="J155" s="315"/>
      <c r="K155" s="315"/>
      <c r="L155" s="315"/>
    </row>
    <row r="156" spans="1:12" ht="17.25" customHeight="1" x14ac:dyDescent="0.35">
      <c r="A156" s="287" t="s">
        <v>2</v>
      </c>
      <c r="B156" s="287" t="s">
        <v>3</v>
      </c>
      <c r="C156" s="298" t="s">
        <v>4</v>
      </c>
      <c r="D156" s="287" t="s">
        <v>5</v>
      </c>
      <c r="E156" s="287"/>
      <c r="F156" s="287" t="s">
        <v>6</v>
      </c>
      <c r="G156" s="287"/>
      <c r="H156" s="259"/>
      <c r="I156" s="315"/>
      <c r="J156" s="315"/>
      <c r="K156" s="315"/>
      <c r="L156" s="315"/>
    </row>
    <row r="157" spans="1:12" ht="17.25" customHeight="1" x14ac:dyDescent="0.35">
      <c r="A157" s="287"/>
      <c r="B157" s="287"/>
      <c r="C157" s="298"/>
      <c r="D157" s="11" t="s">
        <v>9</v>
      </c>
      <c r="E157" s="11" t="s">
        <v>10</v>
      </c>
      <c r="F157" s="11" t="s">
        <v>11</v>
      </c>
      <c r="G157" s="11" t="s">
        <v>12</v>
      </c>
      <c r="H157" s="208"/>
      <c r="I157" s="41">
        <v>0.3</v>
      </c>
      <c r="J157" s="41">
        <v>0.02</v>
      </c>
      <c r="K157" s="41">
        <v>0.03</v>
      </c>
      <c r="L157" s="41">
        <v>0.03</v>
      </c>
    </row>
    <row r="158" spans="1:12" ht="17.25" customHeight="1" x14ac:dyDescent="0.35">
      <c r="A158" s="4">
        <v>1</v>
      </c>
      <c r="B158" s="4" t="s">
        <v>286</v>
      </c>
      <c r="C158" s="25" t="s">
        <v>287</v>
      </c>
      <c r="D158" s="4">
        <v>0.5</v>
      </c>
      <c r="E158" s="4"/>
      <c r="F158" s="292">
        <v>32</v>
      </c>
      <c r="G158" s="292"/>
      <c r="H158" s="4">
        <v>6800</v>
      </c>
      <c r="I158" s="26">
        <f t="shared" ref="I158:I172" si="19">H158*0.7</f>
        <v>4760</v>
      </c>
      <c r="J158" s="26">
        <f t="shared" ref="J158:J172" si="20">I158*0.98</f>
        <v>4664.8</v>
      </c>
      <c r="K158" s="26">
        <f t="shared" ref="K158:L172" si="21">J158*0.97</f>
        <v>4524.8559999999998</v>
      </c>
      <c r="L158" s="26">
        <f t="shared" si="21"/>
        <v>4389.1103199999998</v>
      </c>
    </row>
    <row r="159" spans="1:12" ht="17.25" customHeight="1" x14ac:dyDescent="0.35">
      <c r="A159" s="4">
        <v>2</v>
      </c>
      <c r="B159" s="4" t="s">
        <v>288</v>
      </c>
      <c r="C159" s="25" t="s">
        <v>289</v>
      </c>
      <c r="D159" s="4">
        <v>0.5</v>
      </c>
      <c r="E159" s="4"/>
      <c r="F159" s="292">
        <v>32</v>
      </c>
      <c r="G159" s="292"/>
      <c r="H159" s="4">
        <v>7600</v>
      </c>
      <c r="I159" s="26">
        <f t="shared" si="19"/>
        <v>5320</v>
      </c>
      <c r="J159" s="26">
        <f t="shared" si="20"/>
        <v>5213.5999999999995</v>
      </c>
      <c r="K159" s="26">
        <f t="shared" si="21"/>
        <v>5057.1919999999991</v>
      </c>
      <c r="L159" s="26">
        <f t="shared" si="21"/>
        <v>4905.4762399999991</v>
      </c>
    </row>
    <row r="160" spans="1:12" ht="17.25" customHeight="1" x14ac:dyDescent="0.35">
      <c r="A160" s="4">
        <v>3</v>
      </c>
      <c r="B160" s="4" t="s">
        <v>290</v>
      </c>
      <c r="C160" s="25" t="s">
        <v>291</v>
      </c>
      <c r="D160" s="4">
        <v>0.75</v>
      </c>
      <c r="E160" s="4"/>
      <c r="F160" s="292">
        <v>32</v>
      </c>
      <c r="G160" s="292"/>
      <c r="H160" s="4">
        <v>7800</v>
      </c>
      <c r="I160" s="26">
        <f t="shared" si="19"/>
        <v>5460</v>
      </c>
      <c r="J160" s="26">
        <f t="shared" si="20"/>
        <v>5350.8</v>
      </c>
      <c r="K160" s="26">
        <f t="shared" si="21"/>
        <v>5190.2759999999998</v>
      </c>
      <c r="L160" s="26">
        <f t="shared" si="21"/>
        <v>5034.56772</v>
      </c>
    </row>
    <row r="161" spans="1:12" ht="17.25" customHeight="1" x14ac:dyDescent="0.35">
      <c r="A161" s="4">
        <v>4</v>
      </c>
      <c r="B161" s="4" t="s">
        <v>292</v>
      </c>
      <c r="C161" s="25" t="s">
        <v>293</v>
      </c>
      <c r="D161" s="4">
        <v>0.75</v>
      </c>
      <c r="E161" s="4"/>
      <c r="F161" s="292">
        <v>32</v>
      </c>
      <c r="G161" s="292"/>
      <c r="H161" s="4">
        <v>8000</v>
      </c>
      <c r="I161" s="26">
        <f t="shared" si="19"/>
        <v>5600</v>
      </c>
      <c r="J161" s="26">
        <f t="shared" si="20"/>
        <v>5488</v>
      </c>
      <c r="K161" s="26">
        <f t="shared" si="21"/>
        <v>5323.36</v>
      </c>
      <c r="L161" s="26">
        <f t="shared" si="21"/>
        <v>5163.6591999999991</v>
      </c>
    </row>
    <row r="162" spans="1:12" ht="17.25" customHeight="1" x14ac:dyDescent="0.35">
      <c r="A162" s="4">
        <v>5</v>
      </c>
      <c r="B162" s="4" t="s">
        <v>294</v>
      </c>
      <c r="C162" s="25" t="s">
        <v>295</v>
      </c>
      <c r="D162" s="4">
        <v>1</v>
      </c>
      <c r="E162" s="4"/>
      <c r="F162" s="292">
        <v>32</v>
      </c>
      <c r="G162" s="292"/>
      <c r="H162" s="4">
        <v>8200</v>
      </c>
      <c r="I162" s="26">
        <f t="shared" si="19"/>
        <v>5740</v>
      </c>
      <c r="J162" s="26">
        <f t="shared" si="20"/>
        <v>5625.2</v>
      </c>
      <c r="K162" s="26">
        <f t="shared" si="21"/>
        <v>5456.4439999999995</v>
      </c>
      <c r="L162" s="26">
        <f t="shared" si="21"/>
        <v>5292.7506799999992</v>
      </c>
    </row>
    <row r="163" spans="1:12" ht="17.25" customHeight="1" x14ac:dyDescent="0.35">
      <c r="A163" s="4">
        <v>6</v>
      </c>
      <c r="B163" s="4" t="s">
        <v>296</v>
      </c>
      <c r="C163" s="25" t="s">
        <v>297</v>
      </c>
      <c r="D163" s="4">
        <v>1</v>
      </c>
      <c r="E163" s="4"/>
      <c r="F163" s="292">
        <v>32</v>
      </c>
      <c r="G163" s="292"/>
      <c r="H163" s="4">
        <v>8400</v>
      </c>
      <c r="I163" s="26">
        <f t="shared" si="19"/>
        <v>5880</v>
      </c>
      <c r="J163" s="26">
        <f t="shared" si="20"/>
        <v>5762.4</v>
      </c>
      <c r="K163" s="26">
        <f t="shared" si="21"/>
        <v>5589.5279999999993</v>
      </c>
      <c r="L163" s="26">
        <f t="shared" si="21"/>
        <v>5421.8421599999992</v>
      </c>
    </row>
    <row r="164" spans="1:12" ht="17.25" customHeight="1" x14ac:dyDescent="0.35">
      <c r="A164" s="4">
        <v>7</v>
      </c>
      <c r="B164" s="4" t="s">
        <v>298</v>
      </c>
      <c r="C164" s="25" t="s">
        <v>299</v>
      </c>
      <c r="D164" s="4">
        <v>1</v>
      </c>
      <c r="E164" s="4"/>
      <c r="F164" s="292">
        <v>32</v>
      </c>
      <c r="G164" s="292"/>
      <c r="H164" s="4">
        <v>8600</v>
      </c>
      <c r="I164" s="26">
        <f t="shared" si="19"/>
        <v>6020</v>
      </c>
      <c r="J164" s="26">
        <f t="shared" si="20"/>
        <v>5899.5999999999995</v>
      </c>
      <c r="K164" s="26">
        <f t="shared" si="21"/>
        <v>5722.6119999999992</v>
      </c>
      <c r="L164" s="26">
        <f t="shared" si="21"/>
        <v>5550.9336399999993</v>
      </c>
    </row>
    <row r="165" spans="1:12" ht="17.25" customHeight="1" x14ac:dyDescent="0.35">
      <c r="A165" s="4">
        <v>8</v>
      </c>
      <c r="B165" s="4" t="s">
        <v>300</v>
      </c>
      <c r="C165" s="25" t="s">
        <v>301</v>
      </c>
      <c r="D165" s="4">
        <v>1.5</v>
      </c>
      <c r="E165" s="4"/>
      <c r="F165" s="292">
        <v>32</v>
      </c>
      <c r="G165" s="292"/>
      <c r="H165" s="4">
        <v>9000</v>
      </c>
      <c r="I165" s="26">
        <f t="shared" si="19"/>
        <v>6300</v>
      </c>
      <c r="J165" s="26">
        <f t="shared" si="20"/>
        <v>6174</v>
      </c>
      <c r="K165" s="26">
        <f t="shared" si="21"/>
        <v>5988.78</v>
      </c>
      <c r="L165" s="26">
        <f t="shared" si="21"/>
        <v>5809.1165999999994</v>
      </c>
    </row>
    <row r="166" spans="1:12" ht="17.25" customHeight="1" x14ac:dyDescent="0.35">
      <c r="A166" s="4">
        <v>9</v>
      </c>
      <c r="B166" s="4" t="s">
        <v>302</v>
      </c>
      <c r="C166" s="25" t="s">
        <v>303</v>
      </c>
      <c r="D166" s="4">
        <v>1.5</v>
      </c>
      <c r="E166" s="4"/>
      <c r="F166" s="292">
        <v>32</v>
      </c>
      <c r="G166" s="292"/>
      <c r="H166" s="4">
        <v>10600</v>
      </c>
      <c r="I166" s="26">
        <f t="shared" si="19"/>
        <v>7419.9999999999991</v>
      </c>
      <c r="J166" s="26">
        <f t="shared" si="20"/>
        <v>7271.5999999999985</v>
      </c>
      <c r="K166" s="26">
        <f t="shared" si="21"/>
        <v>7053.4519999999984</v>
      </c>
      <c r="L166" s="26">
        <f t="shared" si="21"/>
        <v>6841.8484399999979</v>
      </c>
    </row>
    <row r="167" spans="1:12" ht="17.25" customHeight="1" x14ac:dyDescent="0.35">
      <c r="A167" s="4">
        <v>10</v>
      </c>
      <c r="B167" s="4" t="s">
        <v>304</v>
      </c>
      <c r="C167" s="25" t="s">
        <v>305</v>
      </c>
      <c r="D167" s="4">
        <v>1.5</v>
      </c>
      <c r="E167" s="4"/>
      <c r="F167" s="292">
        <v>32</v>
      </c>
      <c r="G167" s="292"/>
      <c r="H167" s="4">
        <v>11000</v>
      </c>
      <c r="I167" s="26">
        <f t="shared" si="19"/>
        <v>7699.9999999999991</v>
      </c>
      <c r="J167" s="26">
        <f t="shared" si="20"/>
        <v>7545.9999999999991</v>
      </c>
      <c r="K167" s="26">
        <f t="shared" si="21"/>
        <v>7319.619999999999</v>
      </c>
      <c r="L167" s="26">
        <f t="shared" si="21"/>
        <v>7100.0313999999989</v>
      </c>
    </row>
    <row r="168" spans="1:12" ht="17.25" customHeight="1" x14ac:dyDescent="0.35">
      <c r="A168" s="4">
        <v>11</v>
      </c>
      <c r="B168" s="4" t="s">
        <v>306</v>
      </c>
      <c r="C168" s="25" t="s">
        <v>307</v>
      </c>
      <c r="D168" s="4">
        <v>2</v>
      </c>
      <c r="E168" s="4"/>
      <c r="F168" s="292">
        <v>32</v>
      </c>
      <c r="G168" s="292"/>
      <c r="H168" s="4">
        <v>13000</v>
      </c>
      <c r="I168" s="26">
        <f t="shared" si="19"/>
        <v>9100</v>
      </c>
      <c r="J168" s="26">
        <f t="shared" si="20"/>
        <v>8918</v>
      </c>
      <c r="K168" s="26">
        <f t="shared" si="21"/>
        <v>8650.4599999999991</v>
      </c>
      <c r="L168" s="26">
        <f t="shared" si="21"/>
        <v>8390.9461999999985</v>
      </c>
    </row>
    <row r="169" spans="1:12" ht="17.25" customHeight="1" x14ac:dyDescent="0.35">
      <c r="A169" s="4">
        <v>12</v>
      </c>
      <c r="B169" s="4" t="s">
        <v>308</v>
      </c>
      <c r="C169" s="25" t="s">
        <v>309</v>
      </c>
      <c r="D169" s="4">
        <v>2</v>
      </c>
      <c r="E169" s="4"/>
      <c r="F169" s="292">
        <v>32</v>
      </c>
      <c r="G169" s="292"/>
      <c r="H169" s="4">
        <v>15500</v>
      </c>
      <c r="I169" s="26">
        <f t="shared" si="19"/>
        <v>10850</v>
      </c>
      <c r="J169" s="26">
        <f t="shared" si="20"/>
        <v>10633</v>
      </c>
      <c r="K169" s="26">
        <f t="shared" si="21"/>
        <v>10314.01</v>
      </c>
      <c r="L169" s="26">
        <f t="shared" si="21"/>
        <v>10004.5897</v>
      </c>
    </row>
    <row r="170" spans="1:12" ht="17.25" customHeight="1" x14ac:dyDescent="0.35">
      <c r="A170" s="4">
        <v>13</v>
      </c>
      <c r="B170" s="4" t="s">
        <v>310</v>
      </c>
      <c r="C170" s="25" t="s">
        <v>311</v>
      </c>
      <c r="D170" s="4">
        <v>3</v>
      </c>
      <c r="E170" s="4"/>
      <c r="F170" s="292">
        <v>32</v>
      </c>
      <c r="G170" s="292"/>
      <c r="H170" s="4">
        <v>19000</v>
      </c>
      <c r="I170" s="26">
        <f t="shared" si="19"/>
        <v>13300</v>
      </c>
      <c r="J170" s="26">
        <f t="shared" si="20"/>
        <v>13034</v>
      </c>
      <c r="K170" s="26">
        <f t="shared" si="21"/>
        <v>12642.98</v>
      </c>
      <c r="L170" s="26">
        <f t="shared" si="21"/>
        <v>12263.6906</v>
      </c>
    </row>
    <row r="171" spans="1:12" ht="17.25" customHeight="1" x14ac:dyDescent="0.35">
      <c r="A171" s="4">
        <v>14</v>
      </c>
      <c r="B171" s="4" t="s">
        <v>312</v>
      </c>
      <c r="C171" s="25" t="s">
        <v>313</v>
      </c>
      <c r="D171" s="4">
        <v>3</v>
      </c>
      <c r="E171" s="4"/>
      <c r="F171" s="292">
        <v>32</v>
      </c>
      <c r="G171" s="292"/>
      <c r="H171" s="4">
        <v>20000</v>
      </c>
      <c r="I171" s="26">
        <f t="shared" si="19"/>
        <v>14000</v>
      </c>
      <c r="J171" s="26">
        <f t="shared" si="20"/>
        <v>13720</v>
      </c>
      <c r="K171" s="26">
        <f t="shared" si="21"/>
        <v>13308.4</v>
      </c>
      <c r="L171" s="26">
        <f t="shared" si="21"/>
        <v>12909.147999999999</v>
      </c>
    </row>
    <row r="172" spans="1:12" ht="17.25" customHeight="1" x14ac:dyDescent="0.35">
      <c r="A172" s="4">
        <v>15</v>
      </c>
      <c r="B172" s="4" t="s">
        <v>314</v>
      </c>
      <c r="C172" s="25" t="s">
        <v>315</v>
      </c>
      <c r="D172" s="4">
        <v>3</v>
      </c>
      <c r="E172" s="4"/>
      <c r="F172" s="292">
        <v>32</v>
      </c>
      <c r="G172" s="292"/>
      <c r="H172" s="4">
        <v>20500</v>
      </c>
      <c r="I172" s="26">
        <f t="shared" si="19"/>
        <v>14349.999999999998</v>
      </c>
      <c r="J172" s="26">
        <f t="shared" si="20"/>
        <v>14062.999999999998</v>
      </c>
      <c r="K172" s="26">
        <f t="shared" si="21"/>
        <v>13641.109999999999</v>
      </c>
      <c r="L172" s="26">
        <f t="shared" si="21"/>
        <v>13231.876699999999</v>
      </c>
    </row>
  </sheetData>
  <mergeCells count="106">
    <mergeCell ref="I7:L7"/>
    <mergeCell ref="I8:L8"/>
    <mergeCell ref="I9:L9"/>
    <mergeCell ref="I10:L10"/>
    <mergeCell ref="I26:L26"/>
    <mergeCell ref="I27:L27"/>
    <mergeCell ref="A1:L3"/>
    <mergeCell ref="A4:L4"/>
    <mergeCell ref="A5:A6"/>
    <mergeCell ref="B5:B6"/>
    <mergeCell ref="C5:C6"/>
    <mergeCell ref="D5:E5"/>
    <mergeCell ref="F5:G5"/>
    <mergeCell ref="H5:H6"/>
    <mergeCell ref="I5:L5"/>
    <mergeCell ref="I31:L31"/>
    <mergeCell ref="I32:L32"/>
    <mergeCell ref="I47:L47"/>
    <mergeCell ref="A55:G55"/>
    <mergeCell ref="H55:H57"/>
    <mergeCell ref="I55:L56"/>
    <mergeCell ref="A56:A57"/>
    <mergeCell ref="B56:B57"/>
    <mergeCell ref="C56:C57"/>
    <mergeCell ref="D56:E56"/>
    <mergeCell ref="D74:D91"/>
    <mergeCell ref="E74:E91"/>
    <mergeCell ref="D92:D103"/>
    <mergeCell ref="E92:E103"/>
    <mergeCell ref="D104:D106"/>
    <mergeCell ref="E104:E106"/>
    <mergeCell ref="F56:G56"/>
    <mergeCell ref="D58:D59"/>
    <mergeCell ref="E58:E59"/>
    <mergeCell ref="D61:D66"/>
    <mergeCell ref="E61:E66"/>
    <mergeCell ref="D67:D73"/>
    <mergeCell ref="E67:E73"/>
    <mergeCell ref="I114:L115"/>
    <mergeCell ref="A115:A116"/>
    <mergeCell ref="B115:B116"/>
    <mergeCell ref="C115:C116"/>
    <mergeCell ref="D115:E115"/>
    <mergeCell ref="F115:G115"/>
    <mergeCell ref="D108:D109"/>
    <mergeCell ref="E108:E109"/>
    <mergeCell ref="D110:D113"/>
    <mergeCell ref="E110:E113"/>
    <mergeCell ref="A114:G114"/>
    <mergeCell ref="H114:H116"/>
    <mergeCell ref="I117:L117"/>
    <mergeCell ref="I118:L118"/>
    <mergeCell ref="A129:G129"/>
    <mergeCell ref="H129:H131"/>
    <mergeCell ref="I129:L130"/>
    <mergeCell ref="A130:A131"/>
    <mergeCell ref="B130:B131"/>
    <mergeCell ref="C130:C131"/>
    <mergeCell ref="D130:E130"/>
    <mergeCell ref="F130:G131"/>
    <mergeCell ref="F138:G138"/>
    <mergeCell ref="F139:G139"/>
    <mergeCell ref="F140:G140"/>
    <mergeCell ref="F141:G141"/>
    <mergeCell ref="F142:G142"/>
    <mergeCell ref="F143:G143"/>
    <mergeCell ref="F132:G132"/>
    <mergeCell ref="F133:G133"/>
    <mergeCell ref="F134:G134"/>
    <mergeCell ref="F135:G135"/>
    <mergeCell ref="F136:G136"/>
    <mergeCell ref="F137:G137"/>
    <mergeCell ref="F150:G150"/>
    <mergeCell ref="F151:G151"/>
    <mergeCell ref="F152:G152"/>
    <mergeCell ref="F153:G153"/>
    <mergeCell ref="F154:G154"/>
    <mergeCell ref="A155:G155"/>
    <mergeCell ref="F144:G144"/>
    <mergeCell ref="F145:G145"/>
    <mergeCell ref="F146:G146"/>
    <mergeCell ref="F147:G147"/>
    <mergeCell ref="F148:G148"/>
    <mergeCell ref="F149:G149"/>
    <mergeCell ref="F158:G158"/>
    <mergeCell ref="F159:G159"/>
    <mergeCell ref="F160:G160"/>
    <mergeCell ref="F161:G161"/>
    <mergeCell ref="F162:G162"/>
    <mergeCell ref="F163:G163"/>
    <mergeCell ref="H155:H157"/>
    <mergeCell ref="I155:L156"/>
    <mergeCell ref="A156:A157"/>
    <mergeCell ref="B156:B157"/>
    <mergeCell ref="C156:C157"/>
    <mergeCell ref="D156:E156"/>
    <mergeCell ref="F156:G156"/>
    <mergeCell ref="F170:G170"/>
    <mergeCell ref="F171:G171"/>
    <mergeCell ref="F172:G172"/>
    <mergeCell ref="F164:G164"/>
    <mergeCell ref="F165:G165"/>
    <mergeCell ref="F166:G166"/>
    <mergeCell ref="F167:G167"/>
    <mergeCell ref="F168:G168"/>
    <mergeCell ref="F169:G169"/>
  </mergeCells>
  <conditionalFormatting sqref="B1:B172">
    <cfRule type="duplicateValues" dxfId="25" priority="1"/>
    <cfRule type="duplicateValues" dxfId="24" priority="2"/>
  </conditionalFormatting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9" tint="0.39997558519241921"/>
  </sheetPr>
  <dimension ref="A1:I172"/>
  <sheetViews>
    <sheetView topLeftCell="A13" workbookViewId="0">
      <selection activeCell="P180" sqref="P180"/>
    </sheetView>
  </sheetViews>
  <sheetFormatPr defaultRowHeight="18" customHeight="1" x14ac:dyDescent="0.35"/>
  <cols>
    <col min="2" max="2" width="14.1796875" customWidth="1"/>
    <col min="3" max="3" width="23.1796875" customWidth="1"/>
  </cols>
  <sheetData>
    <row r="1" spans="1:9" ht="18" customHeight="1" x14ac:dyDescent="0.35">
      <c r="A1" s="318" t="s">
        <v>0</v>
      </c>
      <c r="B1" s="318"/>
      <c r="C1" s="318"/>
      <c r="D1" s="318"/>
      <c r="E1" s="318"/>
      <c r="F1" s="318"/>
      <c r="G1" s="318"/>
      <c r="H1" s="318"/>
      <c r="I1" s="318"/>
    </row>
    <row r="2" spans="1:9" ht="18" customHeight="1" x14ac:dyDescent="0.35">
      <c r="A2" s="318"/>
      <c r="B2" s="318"/>
      <c r="C2" s="318"/>
      <c r="D2" s="318"/>
      <c r="E2" s="318"/>
      <c r="F2" s="318"/>
      <c r="G2" s="318"/>
      <c r="H2" s="318"/>
      <c r="I2" s="318"/>
    </row>
    <row r="3" spans="1:9" ht="18" customHeight="1" x14ac:dyDescent="0.35">
      <c r="A3" s="318"/>
      <c r="B3" s="318"/>
      <c r="C3" s="318"/>
      <c r="D3" s="318"/>
      <c r="E3" s="318"/>
      <c r="F3" s="318"/>
      <c r="G3" s="318"/>
      <c r="H3" s="318"/>
      <c r="I3" s="318"/>
    </row>
    <row r="4" spans="1:9" ht="29.25" customHeight="1" x14ac:dyDescent="0.35">
      <c r="A4" s="319" t="s">
        <v>516</v>
      </c>
      <c r="B4" s="319"/>
      <c r="C4" s="319"/>
      <c r="D4" s="319"/>
      <c r="E4" s="319"/>
      <c r="F4" s="319"/>
      <c r="G4" s="319"/>
      <c r="H4" s="319"/>
      <c r="I4" s="319"/>
    </row>
    <row r="5" spans="1:9" ht="18" customHeight="1" x14ac:dyDescent="0.35">
      <c r="A5" s="287" t="s">
        <v>2</v>
      </c>
      <c r="B5" s="287" t="s">
        <v>3</v>
      </c>
      <c r="C5" s="287" t="s">
        <v>4</v>
      </c>
      <c r="D5" s="287" t="s">
        <v>5</v>
      </c>
      <c r="E5" s="287"/>
      <c r="F5" s="287" t="s">
        <v>6</v>
      </c>
      <c r="G5" s="287"/>
      <c r="H5" s="287" t="s">
        <v>7</v>
      </c>
      <c r="I5" s="315" t="s">
        <v>335</v>
      </c>
    </row>
    <row r="6" spans="1:9" ht="18" customHeight="1" x14ac:dyDescent="0.35">
      <c r="A6" s="287"/>
      <c r="B6" s="287"/>
      <c r="C6" s="287"/>
      <c r="D6" s="11" t="s">
        <v>9</v>
      </c>
      <c r="E6" s="11" t="s">
        <v>10</v>
      </c>
      <c r="F6" s="11" t="s">
        <v>11</v>
      </c>
      <c r="G6" s="11" t="s">
        <v>12</v>
      </c>
      <c r="H6" s="287"/>
      <c r="I6" s="315"/>
    </row>
    <row r="7" spans="1:9" ht="18" customHeight="1" x14ac:dyDescent="0.35">
      <c r="A7" s="6">
        <v>1</v>
      </c>
      <c r="B7" s="4" t="s">
        <v>13</v>
      </c>
      <c r="C7" s="12" t="s">
        <v>14</v>
      </c>
      <c r="D7" s="2">
        <v>0.5</v>
      </c>
      <c r="E7" s="2">
        <v>0.37</v>
      </c>
      <c r="F7" s="2">
        <v>25</v>
      </c>
      <c r="G7" s="2">
        <v>25</v>
      </c>
      <c r="H7" s="13">
        <v>2640</v>
      </c>
      <c r="I7" s="96">
        <f>H7*0.63</f>
        <v>1663.2</v>
      </c>
    </row>
    <row r="8" spans="1:9" ht="18" customHeight="1" x14ac:dyDescent="0.35">
      <c r="A8" s="6">
        <v>2</v>
      </c>
      <c r="B8" s="4" t="s">
        <v>15</v>
      </c>
      <c r="C8" s="12" t="s">
        <v>16</v>
      </c>
      <c r="D8" s="2">
        <v>1</v>
      </c>
      <c r="E8" s="2">
        <v>0.75</v>
      </c>
      <c r="F8" s="2">
        <v>25</v>
      </c>
      <c r="G8" s="2">
        <v>25</v>
      </c>
      <c r="H8" s="13">
        <v>3420</v>
      </c>
      <c r="I8" s="96">
        <f>H8*0.63</f>
        <v>2154.6</v>
      </c>
    </row>
    <row r="9" spans="1:9" ht="18" customHeight="1" x14ac:dyDescent="0.35">
      <c r="A9" s="4">
        <v>3</v>
      </c>
      <c r="B9" s="4" t="s">
        <v>17</v>
      </c>
      <c r="C9" s="12" t="s">
        <v>18</v>
      </c>
      <c r="D9" s="2">
        <v>0.5</v>
      </c>
      <c r="E9" s="2">
        <v>0.37</v>
      </c>
      <c r="F9" s="2">
        <v>25</v>
      </c>
      <c r="G9" s="2">
        <v>25</v>
      </c>
      <c r="H9" s="13">
        <v>2840</v>
      </c>
      <c r="I9" s="96">
        <f>H9*0.63</f>
        <v>1789.2</v>
      </c>
    </row>
    <row r="10" spans="1:9" ht="18" customHeight="1" x14ac:dyDescent="0.35">
      <c r="A10" s="6">
        <v>4</v>
      </c>
      <c r="B10" s="4" t="s">
        <v>19</v>
      </c>
      <c r="C10" s="12" t="s">
        <v>20</v>
      </c>
      <c r="D10" s="2">
        <v>1</v>
      </c>
      <c r="E10" s="2">
        <v>0.75</v>
      </c>
      <c r="F10" s="2">
        <v>25</v>
      </c>
      <c r="G10" s="2">
        <v>25</v>
      </c>
      <c r="H10" s="13">
        <v>3660</v>
      </c>
      <c r="I10" s="96">
        <f>H10*0.63</f>
        <v>2305.8000000000002</v>
      </c>
    </row>
    <row r="11" spans="1:9" ht="18" customHeight="1" x14ac:dyDescent="0.35">
      <c r="A11" s="6">
        <v>5</v>
      </c>
      <c r="B11" s="6" t="s">
        <v>21</v>
      </c>
      <c r="C11" s="14" t="s">
        <v>22</v>
      </c>
      <c r="D11" s="2">
        <v>0.5</v>
      </c>
      <c r="E11" s="2">
        <v>0.37</v>
      </c>
      <c r="F11" s="2">
        <v>25</v>
      </c>
      <c r="G11" s="2">
        <v>25</v>
      </c>
      <c r="H11" s="8">
        <v>3160</v>
      </c>
      <c r="I11" s="95">
        <f>H11*0.6</f>
        <v>1896</v>
      </c>
    </row>
    <row r="12" spans="1:9" ht="18" customHeight="1" x14ac:dyDescent="0.35">
      <c r="A12" s="6">
        <v>6</v>
      </c>
      <c r="B12" s="6" t="s">
        <v>23</v>
      </c>
      <c r="C12" s="14" t="s">
        <v>24</v>
      </c>
      <c r="D12" s="2">
        <v>1</v>
      </c>
      <c r="E12" s="2">
        <v>0.75</v>
      </c>
      <c r="F12" s="2">
        <v>25</v>
      </c>
      <c r="G12" s="2">
        <v>25</v>
      </c>
      <c r="H12" s="8">
        <v>4120</v>
      </c>
      <c r="I12" s="95">
        <f t="shared" ref="I12:I25" si="0">H12*0.6</f>
        <v>2472</v>
      </c>
    </row>
    <row r="13" spans="1:9" ht="18" customHeight="1" x14ac:dyDescent="0.35">
      <c r="A13" s="4">
        <v>7</v>
      </c>
      <c r="B13" s="4" t="s">
        <v>25</v>
      </c>
      <c r="C13" s="12" t="s">
        <v>26</v>
      </c>
      <c r="D13" s="2">
        <v>1.5</v>
      </c>
      <c r="E13" s="2">
        <v>1</v>
      </c>
      <c r="F13" s="2">
        <v>25</v>
      </c>
      <c r="G13" s="2">
        <v>25</v>
      </c>
      <c r="H13" s="8">
        <v>5750</v>
      </c>
      <c r="I13" s="95">
        <f t="shared" si="0"/>
        <v>3450</v>
      </c>
    </row>
    <row r="14" spans="1:9" ht="18" customHeight="1" x14ac:dyDescent="0.35">
      <c r="A14" s="6">
        <v>8</v>
      </c>
      <c r="B14" s="6" t="s">
        <v>27</v>
      </c>
      <c r="C14" s="14" t="s">
        <v>28</v>
      </c>
      <c r="D14" s="2">
        <v>0.5</v>
      </c>
      <c r="E14" s="2">
        <v>0.37</v>
      </c>
      <c r="F14" s="2">
        <v>25</v>
      </c>
      <c r="G14" s="2">
        <v>25</v>
      </c>
      <c r="H14" s="8">
        <v>3520</v>
      </c>
      <c r="I14" s="95">
        <f t="shared" si="0"/>
        <v>2112</v>
      </c>
    </row>
    <row r="15" spans="1:9" ht="18" customHeight="1" x14ac:dyDescent="0.35">
      <c r="A15" s="6">
        <v>9</v>
      </c>
      <c r="B15" s="4" t="s">
        <v>29</v>
      </c>
      <c r="C15" s="15" t="s">
        <v>30</v>
      </c>
      <c r="D15" s="2">
        <v>1</v>
      </c>
      <c r="E15" s="2">
        <v>0.75</v>
      </c>
      <c r="F15" s="2">
        <v>25</v>
      </c>
      <c r="G15" s="2">
        <v>25</v>
      </c>
      <c r="H15" s="8">
        <v>3660</v>
      </c>
      <c r="I15" s="95">
        <f t="shared" si="0"/>
        <v>2196</v>
      </c>
    </row>
    <row r="16" spans="1:9" ht="18" customHeight="1" x14ac:dyDescent="0.35">
      <c r="A16" s="6">
        <v>10</v>
      </c>
      <c r="B16" s="4" t="s">
        <v>31</v>
      </c>
      <c r="C16" s="12" t="s">
        <v>32</v>
      </c>
      <c r="D16" s="2">
        <v>1</v>
      </c>
      <c r="E16" s="2">
        <v>0.75</v>
      </c>
      <c r="F16" s="2">
        <v>25</v>
      </c>
      <c r="G16" s="2">
        <v>25</v>
      </c>
      <c r="H16" s="8">
        <v>4220</v>
      </c>
      <c r="I16" s="95">
        <f t="shared" si="0"/>
        <v>2532</v>
      </c>
    </row>
    <row r="17" spans="1:9" ht="18" customHeight="1" x14ac:dyDescent="0.35">
      <c r="A17" s="4">
        <v>11</v>
      </c>
      <c r="B17" s="6" t="s">
        <v>33</v>
      </c>
      <c r="C17" s="14" t="s">
        <v>34</v>
      </c>
      <c r="D17" s="2">
        <v>0.75</v>
      </c>
      <c r="E17" s="2">
        <v>0.56000000000000005</v>
      </c>
      <c r="F17" s="2">
        <v>25</v>
      </c>
      <c r="G17" s="2">
        <v>25</v>
      </c>
      <c r="H17" s="8">
        <v>4080</v>
      </c>
      <c r="I17" s="95">
        <f t="shared" si="0"/>
        <v>2448</v>
      </c>
    </row>
    <row r="18" spans="1:9" ht="18" customHeight="1" x14ac:dyDescent="0.35">
      <c r="A18" s="6">
        <v>12</v>
      </c>
      <c r="B18" s="4" t="s">
        <v>35</v>
      </c>
      <c r="C18" s="16" t="s">
        <v>36</v>
      </c>
      <c r="D18" s="2">
        <v>1</v>
      </c>
      <c r="E18" s="2">
        <v>0.75</v>
      </c>
      <c r="F18" s="2">
        <v>25</v>
      </c>
      <c r="G18" s="2">
        <v>25</v>
      </c>
      <c r="H18" s="8">
        <v>4730</v>
      </c>
      <c r="I18" s="95">
        <f t="shared" si="0"/>
        <v>2838</v>
      </c>
    </row>
    <row r="19" spans="1:9" ht="18" customHeight="1" x14ac:dyDescent="0.35">
      <c r="A19" s="6">
        <v>13</v>
      </c>
      <c r="B19" s="4" t="s">
        <v>37</v>
      </c>
      <c r="C19" s="16" t="s">
        <v>38</v>
      </c>
      <c r="D19" s="2">
        <v>1</v>
      </c>
      <c r="E19" s="2">
        <v>0.75</v>
      </c>
      <c r="F19" s="2">
        <v>25</v>
      </c>
      <c r="G19" s="2">
        <v>25</v>
      </c>
      <c r="H19" s="8">
        <v>4730</v>
      </c>
      <c r="I19" s="121">
        <f t="shared" si="0"/>
        <v>2838</v>
      </c>
    </row>
    <row r="20" spans="1:9" ht="18" customHeight="1" x14ac:dyDescent="0.35">
      <c r="A20" s="6">
        <v>14</v>
      </c>
      <c r="B20" s="6" t="s">
        <v>39</v>
      </c>
      <c r="C20" s="14" t="s">
        <v>40</v>
      </c>
      <c r="D20" s="2">
        <v>1</v>
      </c>
      <c r="E20" s="2">
        <v>0.75</v>
      </c>
      <c r="F20" s="2">
        <v>25</v>
      </c>
      <c r="G20" s="2">
        <v>25</v>
      </c>
      <c r="H20" s="8">
        <v>5170</v>
      </c>
      <c r="I20" s="121">
        <f t="shared" si="0"/>
        <v>3102</v>
      </c>
    </row>
    <row r="21" spans="1:9" ht="18" customHeight="1" x14ac:dyDescent="0.35">
      <c r="A21" s="4">
        <v>15</v>
      </c>
      <c r="B21" s="6" t="s">
        <v>41</v>
      </c>
      <c r="C21" s="14" t="s">
        <v>42</v>
      </c>
      <c r="D21" s="2">
        <v>1</v>
      </c>
      <c r="E21" s="2">
        <v>0.75</v>
      </c>
      <c r="F21" s="2">
        <v>25</v>
      </c>
      <c r="G21" s="2">
        <v>25</v>
      </c>
      <c r="H21" s="8">
        <v>4670</v>
      </c>
      <c r="I21" s="95">
        <f t="shared" si="0"/>
        <v>2802</v>
      </c>
    </row>
    <row r="22" spans="1:9" ht="18" customHeight="1" x14ac:dyDescent="0.35">
      <c r="A22" s="6">
        <v>16</v>
      </c>
      <c r="B22" s="4" t="s">
        <v>43</v>
      </c>
      <c r="C22" s="12" t="s">
        <v>44</v>
      </c>
      <c r="D22" s="2">
        <v>1.2</v>
      </c>
      <c r="E22" s="2">
        <v>0.9</v>
      </c>
      <c r="F22" s="2">
        <v>25</v>
      </c>
      <c r="G22" s="2">
        <v>25</v>
      </c>
      <c r="H22" s="8">
        <v>6650</v>
      </c>
      <c r="I22" s="95">
        <f t="shared" si="0"/>
        <v>3990</v>
      </c>
    </row>
    <row r="23" spans="1:9" ht="18" customHeight="1" x14ac:dyDescent="0.35">
      <c r="A23" s="6">
        <v>17</v>
      </c>
      <c r="B23" s="6" t="s">
        <v>45</v>
      </c>
      <c r="C23" s="14" t="s">
        <v>46</v>
      </c>
      <c r="D23" s="2">
        <v>1.5</v>
      </c>
      <c r="E23" s="2">
        <v>1.1000000000000001</v>
      </c>
      <c r="F23" s="2">
        <v>25</v>
      </c>
      <c r="G23" s="2">
        <v>25</v>
      </c>
      <c r="H23" s="8">
        <v>8150</v>
      </c>
      <c r="I23" s="95">
        <f t="shared" si="0"/>
        <v>4890</v>
      </c>
    </row>
    <row r="24" spans="1:9" ht="18" customHeight="1" x14ac:dyDescent="0.35">
      <c r="A24" s="6">
        <v>18</v>
      </c>
      <c r="B24" s="6" t="s">
        <v>47</v>
      </c>
      <c r="C24" s="14" t="s">
        <v>48</v>
      </c>
      <c r="D24" s="2">
        <v>2</v>
      </c>
      <c r="E24" s="2">
        <v>1.5</v>
      </c>
      <c r="F24" s="2">
        <v>25</v>
      </c>
      <c r="G24" s="2">
        <v>25</v>
      </c>
      <c r="H24" s="8">
        <v>9190</v>
      </c>
      <c r="I24" s="95">
        <f t="shared" si="0"/>
        <v>5514</v>
      </c>
    </row>
    <row r="25" spans="1:9" ht="18" customHeight="1" x14ac:dyDescent="0.35">
      <c r="A25" s="4">
        <v>19</v>
      </c>
      <c r="B25" s="6" t="s">
        <v>49</v>
      </c>
      <c r="C25" s="14" t="s">
        <v>50</v>
      </c>
      <c r="D25" s="2">
        <v>0.5</v>
      </c>
      <c r="E25" s="2">
        <v>0.37</v>
      </c>
      <c r="F25" s="2">
        <v>25</v>
      </c>
      <c r="G25" s="2">
        <v>25</v>
      </c>
      <c r="H25" s="8">
        <v>3310</v>
      </c>
      <c r="I25" s="95">
        <f t="shared" si="0"/>
        <v>1986</v>
      </c>
    </row>
    <row r="26" spans="1:9" ht="18" customHeight="1" x14ac:dyDescent="0.35">
      <c r="A26" s="6">
        <v>20</v>
      </c>
      <c r="B26" s="4" t="s">
        <v>51</v>
      </c>
      <c r="C26" s="12" t="s">
        <v>52</v>
      </c>
      <c r="D26" s="2">
        <v>0.5</v>
      </c>
      <c r="E26" s="2">
        <v>0.37</v>
      </c>
      <c r="F26" s="2">
        <v>25</v>
      </c>
      <c r="G26" s="2">
        <v>25</v>
      </c>
      <c r="H26" s="10">
        <v>4380</v>
      </c>
      <c r="I26" s="96">
        <f>H26*0.63</f>
        <v>2759.4</v>
      </c>
    </row>
    <row r="27" spans="1:9" ht="18" customHeight="1" x14ac:dyDescent="0.35">
      <c r="A27" s="6">
        <v>21</v>
      </c>
      <c r="B27" s="4" t="s">
        <v>53</v>
      </c>
      <c r="C27" s="12" t="s">
        <v>54</v>
      </c>
      <c r="D27" s="2">
        <v>1</v>
      </c>
      <c r="E27" s="2">
        <v>0.75</v>
      </c>
      <c r="F27" s="2">
        <v>25</v>
      </c>
      <c r="G27" s="2">
        <v>25</v>
      </c>
      <c r="H27" s="10">
        <v>5300</v>
      </c>
      <c r="I27" s="96">
        <f>H27*0.63</f>
        <v>3339</v>
      </c>
    </row>
    <row r="28" spans="1:9" ht="18" customHeight="1" x14ac:dyDescent="0.35">
      <c r="A28" s="6">
        <v>22</v>
      </c>
      <c r="B28" s="6" t="s">
        <v>55</v>
      </c>
      <c r="C28" s="14" t="s">
        <v>56</v>
      </c>
      <c r="D28" s="2">
        <v>1.1000000000000001</v>
      </c>
      <c r="E28" s="2">
        <v>0.8</v>
      </c>
      <c r="F28" s="2">
        <v>25</v>
      </c>
      <c r="G28" s="2">
        <v>25</v>
      </c>
      <c r="H28" s="8">
        <v>5040</v>
      </c>
      <c r="I28" s="95">
        <f>H28*0.6</f>
        <v>3024</v>
      </c>
    </row>
    <row r="29" spans="1:9" ht="18" customHeight="1" x14ac:dyDescent="0.35">
      <c r="A29" s="4">
        <v>23</v>
      </c>
      <c r="B29" s="6" t="s">
        <v>57</v>
      </c>
      <c r="C29" s="14" t="s">
        <v>58</v>
      </c>
      <c r="D29" s="2">
        <v>1.1000000000000001</v>
      </c>
      <c r="E29" s="2">
        <v>0.8</v>
      </c>
      <c r="F29" s="2">
        <v>25</v>
      </c>
      <c r="G29" s="2">
        <v>25</v>
      </c>
      <c r="H29" s="8">
        <v>5150</v>
      </c>
      <c r="I29" s="95">
        <f>H29*0.6</f>
        <v>3090</v>
      </c>
    </row>
    <row r="30" spans="1:9" ht="18" customHeight="1" x14ac:dyDescent="0.35">
      <c r="A30" s="6">
        <v>24</v>
      </c>
      <c r="B30" s="4" t="s">
        <v>59</v>
      </c>
      <c r="C30" s="16" t="s">
        <v>60</v>
      </c>
      <c r="D30" s="2">
        <v>1.25</v>
      </c>
      <c r="E30" s="2">
        <v>0.94</v>
      </c>
      <c r="F30" s="2">
        <v>25</v>
      </c>
      <c r="G30" s="2">
        <v>25</v>
      </c>
      <c r="H30" s="8">
        <v>6630</v>
      </c>
      <c r="I30" s="95">
        <f>H30*0.6</f>
        <v>3978</v>
      </c>
    </row>
    <row r="31" spans="1:9" ht="18" customHeight="1" x14ac:dyDescent="0.35">
      <c r="A31" s="6">
        <v>25</v>
      </c>
      <c r="B31" s="6" t="s">
        <v>61</v>
      </c>
      <c r="C31" s="14" t="s">
        <v>62</v>
      </c>
      <c r="D31" s="17">
        <v>0.5</v>
      </c>
      <c r="E31" s="17">
        <v>0.37</v>
      </c>
      <c r="F31" s="17">
        <v>25</v>
      </c>
      <c r="G31" s="17">
        <v>25</v>
      </c>
      <c r="H31" s="9">
        <v>4950</v>
      </c>
      <c r="I31" s="96">
        <f>H31*0.63</f>
        <v>3118.5</v>
      </c>
    </row>
    <row r="32" spans="1:9" ht="18" customHeight="1" x14ac:dyDescent="0.35">
      <c r="A32" s="6">
        <v>26</v>
      </c>
      <c r="B32" s="6" t="s">
        <v>63</v>
      </c>
      <c r="C32" s="14" t="s">
        <v>64</v>
      </c>
      <c r="D32" s="17">
        <v>0.5</v>
      </c>
      <c r="E32" s="17">
        <v>0.37</v>
      </c>
      <c r="F32" s="17">
        <v>25</v>
      </c>
      <c r="G32" s="17">
        <v>25</v>
      </c>
      <c r="H32" s="9">
        <v>5000</v>
      </c>
      <c r="I32" s="96">
        <f>H32*0.63</f>
        <v>3150</v>
      </c>
    </row>
    <row r="33" spans="1:9" ht="18" customHeight="1" x14ac:dyDescent="0.35">
      <c r="A33" s="4">
        <v>27</v>
      </c>
      <c r="B33" s="6" t="s">
        <v>65</v>
      </c>
      <c r="C33" s="14" t="s">
        <v>66</v>
      </c>
      <c r="D33" s="2">
        <v>1</v>
      </c>
      <c r="E33" s="2">
        <v>0.75</v>
      </c>
      <c r="F33" s="2">
        <v>25</v>
      </c>
      <c r="G33" s="2">
        <v>25</v>
      </c>
      <c r="H33" s="8">
        <v>5560</v>
      </c>
      <c r="I33" s="95">
        <f t="shared" ref="I33:I54" si="1">H33*0.6</f>
        <v>3336</v>
      </c>
    </row>
    <row r="34" spans="1:9" ht="18" customHeight="1" x14ac:dyDescent="0.35">
      <c r="A34" s="6">
        <v>28</v>
      </c>
      <c r="B34" s="6" t="s">
        <v>67</v>
      </c>
      <c r="C34" s="14" t="s">
        <v>68</v>
      </c>
      <c r="D34" s="2">
        <v>1</v>
      </c>
      <c r="E34" s="2">
        <v>0.75</v>
      </c>
      <c r="F34" s="2">
        <v>25</v>
      </c>
      <c r="G34" s="2">
        <v>25</v>
      </c>
      <c r="H34" s="8">
        <v>5650</v>
      </c>
      <c r="I34" s="95">
        <f t="shared" si="1"/>
        <v>3390</v>
      </c>
    </row>
    <row r="35" spans="1:9" ht="18" customHeight="1" x14ac:dyDescent="0.35">
      <c r="A35" s="6">
        <v>29</v>
      </c>
      <c r="B35" s="6" t="s">
        <v>69</v>
      </c>
      <c r="C35" s="14" t="s">
        <v>70</v>
      </c>
      <c r="D35" s="2">
        <v>1.5</v>
      </c>
      <c r="E35" s="2">
        <v>1.1000000000000001</v>
      </c>
      <c r="F35" s="2">
        <v>25</v>
      </c>
      <c r="G35" s="2">
        <v>25</v>
      </c>
      <c r="H35" s="8">
        <v>7840</v>
      </c>
      <c r="I35" s="95">
        <f t="shared" si="1"/>
        <v>4704</v>
      </c>
    </row>
    <row r="36" spans="1:9" ht="18" customHeight="1" x14ac:dyDescent="0.35">
      <c r="A36" s="6">
        <v>30</v>
      </c>
      <c r="B36" s="6" t="s">
        <v>71</v>
      </c>
      <c r="C36" s="14" t="s">
        <v>72</v>
      </c>
      <c r="D36" s="2">
        <v>1.5</v>
      </c>
      <c r="E36" s="2">
        <v>1.1000000000000001</v>
      </c>
      <c r="F36" s="2">
        <v>25</v>
      </c>
      <c r="G36" s="2">
        <v>25</v>
      </c>
      <c r="H36" s="8">
        <v>8170</v>
      </c>
      <c r="I36" s="95">
        <f t="shared" si="1"/>
        <v>4902</v>
      </c>
    </row>
    <row r="37" spans="1:9" ht="18" customHeight="1" x14ac:dyDescent="0.35">
      <c r="A37" s="4">
        <v>31</v>
      </c>
      <c r="B37" s="4" t="s">
        <v>73</v>
      </c>
      <c r="C37" s="12" t="s">
        <v>74</v>
      </c>
      <c r="D37" s="2">
        <v>0.5</v>
      </c>
      <c r="E37" s="2">
        <v>0.37</v>
      </c>
      <c r="F37" s="2">
        <v>25</v>
      </c>
      <c r="G37" s="2">
        <v>25</v>
      </c>
      <c r="H37" s="8">
        <v>6450</v>
      </c>
      <c r="I37" s="95">
        <f t="shared" si="1"/>
        <v>3870</v>
      </c>
    </row>
    <row r="38" spans="1:9" ht="18" customHeight="1" x14ac:dyDescent="0.35">
      <c r="A38" s="6">
        <v>32</v>
      </c>
      <c r="B38" s="6" t="s">
        <v>75</v>
      </c>
      <c r="C38" s="14" t="s">
        <v>76</v>
      </c>
      <c r="D38" s="3">
        <v>0.9</v>
      </c>
      <c r="E38" s="3">
        <v>0.7</v>
      </c>
      <c r="F38" s="3">
        <v>25</v>
      </c>
      <c r="G38" s="3">
        <v>25</v>
      </c>
      <c r="H38" s="8">
        <v>6640</v>
      </c>
      <c r="I38" s="95">
        <f t="shared" si="1"/>
        <v>3984</v>
      </c>
    </row>
    <row r="39" spans="1:9" ht="18" customHeight="1" x14ac:dyDescent="0.35">
      <c r="A39" s="6">
        <v>33</v>
      </c>
      <c r="B39" s="6" t="s">
        <v>77</v>
      </c>
      <c r="C39" s="14" t="s">
        <v>78</v>
      </c>
      <c r="D39" s="3">
        <v>1</v>
      </c>
      <c r="E39" s="3">
        <v>0.75</v>
      </c>
      <c r="F39" s="3">
        <v>25</v>
      </c>
      <c r="G39" s="3">
        <v>25</v>
      </c>
      <c r="H39" s="8">
        <v>7100</v>
      </c>
      <c r="I39" s="95">
        <f t="shared" si="1"/>
        <v>4260</v>
      </c>
    </row>
    <row r="40" spans="1:9" ht="18" customHeight="1" x14ac:dyDescent="0.35">
      <c r="A40" s="6">
        <v>34</v>
      </c>
      <c r="B40" s="4" t="s">
        <v>79</v>
      </c>
      <c r="C40" s="15" t="s">
        <v>80</v>
      </c>
      <c r="D40" s="3">
        <v>0.5</v>
      </c>
      <c r="E40" s="3">
        <v>0.37</v>
      </c>
      <c r="F40" s="3">
        <v>25</v>
      </c>
      <c r="G40" s="3">
        <v>25</v>
      </c>
      <c r="H40" s="8">
        <v>5500</v>
      </c>
      <c r="I40" s="95">
        <f t="shared" si="1"/>
        <v>3300</v>
      </c>
    </row>
    <row r="41" spans="1:9" ht="18" customHeight="1" x14ac:dyDescent="0.35">
      <c r="A41" s="4">
        <v>35</v>
      </c>
      <c r="B41" s="4"/>
      <c r="C41" s="15" t="s">
        <v>81</v>
      </c>
      <c r="D41" s="3">
        <v>1</v>
      </c>
      <c r="E41" s="3">
        <v>0.75</v>
      </c>
      <c r="F41" s="3">
        <v>25</v>
      </c>
      <c r="G41" s="3">
        <v>25</v>
      </c>
      <c r="H41" s="8">
        <v>6200</v>
      </c>
      <c r="I41" s="95">
        <f t="shared" si="1"/>
        <v>3720</v>
      </c>
    </row>
    <row r="42" spans="1:9" ht="18" customHeight="1" x14ac:dyDescent="0.35">
      <c r="A42" s="6">
        <v>36</v>
      </c>
      <c r="B42" s="4" t="s">
        <v>82</v>
      </c>
      <c r="C42" s="12" t="s">
        <v>83</v>
      </c>
      <c r="D42" s="1">
        <v>0.5</v>
      </c>
      <c r="E42" s="1">
        <v>0.37</v>
      </c>
      <c r="F42" s="1">
        <v>25</v>
      </c>
      <c r="G42" s="1">
        <v>25</v>
      </c>
      <c r="H42" s="8">
        <v>7140</v>
      </c>
      <c r="I42" s="95">
        <f t="shared" si="1"/>
        <v>4284</v>
      </c>
    </row>
    <row r="43" spans="1:9" ht="18" customHeight="1" x14ac:dyDescent="0.35">
      <c r="A43" s="6">
        <v>37</v>
      </c>
      <c r="B43" s="6" t="s">
        <v>84</v>
      </c>
      <c r="C43" s="14" t="s">
        <v>85</v>
      </c>
      <c r="D43" s="1">
        <v>1.1000000000000001</v>
      </c>
      <c r="E43" s="1">
        <v>0.8</v>
      </c>
      <c r="F43" s="1">
        <v>25</v>
      </c>
      <c r="G43" s="1">
        <v>25</v>
      </c>
      <c r="H43" s="8">
        <v>7700</v>
      </c>
      <c r="I43" s="95">
        <f t="shared" si="1"/>
        <v>4620</v>
      </c>
    </row>
    <row r="44" spans="1:9" ht="18" customHeight="1" x14ac:dyDescent="0.35">
      <c r="A44" s="6">
        <v>38</v>
      </c>
      <c r="B44" s="6" t="s">
        <v>86</v>
      </c>
      <c r="C44" s="14" t="s">
        <v>87</v>
      </c>
      <c r="D44" s="1">
        <v>1.5</v>
      </c>
      <c r="E44" s="1">
        <v>1.1000000000000001</v>
      </c>
      <c r="F44" s="1">
        <v>25</v>
      </c>
      <c r="G44" s="1">
        <v>25</v>
      </c>
      <c r="H44" s="8">
        <v>8690</v>
      </c>
      <c r="I44" s="121">
        <v>5085</v>
      </c>
    </row>
    <row r="45" spans="1:9" ht="18" customHeight="1" x14ac:dyDescent="0.35">
      <c r="A45" s="4">
        <v>39</v>
      </c>
      <c r="B45" s="4" t="s">
        <v>88</v>
      </c>
      <c r="C45" s="12" t="s">
        <v>89</v>
      </c>
      <c r="D45" s="2">
        <v>0.5</v>
      </c>
      <c r="E45" s="2">
        <v>0.37</v>
      </c>
      <c r="F45" s="2">
        <v>25</v>
      </c>
      <c r="G45" s="2">
        <v>12</v>
      </c>
      <c r="H45" s="8">
        <v>4860</v>
      </c>
      <c r="I45" s="95">
        <f t="shared" si="1"/>
        <v>2916</v>
      </c>
    </row>
    <row r="46" spans="1:9" ht="18" customHeight="1" x14ac:dyDescent="0.35">
      <c r="A46" s="6">
        <v>40</v>
      </c>
      <c r="B46" s="4" t="s">
        <v>90</v>
      </c>
      <c r="C46" s="12" t="s">
        <v>91</v>
      </c>
      <c r="D46" s="2">
        <v>1</v>
      </c>
      <c r="E46" s="2">
        <v>0.75</v>
      </c>
      <c r="F46" s="2">
        <v>25</v>
      </c>
      <c r="G46" s="2">
        <v>25</v>
      </c>
      <c r="H46" s="8">
        <v>5600</v>
      </c>
      <c r="I46" s="95">
        <f t="shared" si="1"/>
        <v>3360</v>
      </c>
    </row>
    <row r="47" spans="1:9" ht="18" customHeight="1" x14ac:dyDescent="0.35">
      <c r="A47" s="6">
        <v>41</v>
      </c>
      <c r="B47" s="6" t="s">
        <v>92</v>
      </c>
      <c r="C47" s="14" t="s">
        <v>93</v>
      </c>
      <c r="D47" s="17">
        <v>1</v>
      </c>
      <c r="E47" s="17">
        <v>0.75</v>
      </c>
      <c r="F47" s="17">
        <v>25</v>
      </c>
      <c r="G47" s="17">
        <v>25</v>
      </c>
      <c r="H47" s="9">
        <v>8420</v>
      </c>
      <c r="I47" s="96">
        <f>H47*0.63</f>
        <v>5304.6</v>
      </c>
    </row>
    <row r="48" spans="1:9" ht="18" customHeight="1" x14ac:dyDescent="0.35">
      <c r="A48" s="6">
        <v>42</v>
      </c>
      <c r="B48" s="6" t="s">
        <v>94</v>
      </c>
      <c r="C48" s="14" t="s">
        <v>95</v>
      </c>
      <c r="D48" s="2">
        <v>1.1000000000000001</v>
      </c>
      <c r="E48" s="2">
        <v>0.8</v>
      </c>
      <c r="F48" s="2">
        <v>25</v>
      </c>
      <c r="G48" s="2">
        <v>25</v>
      </c>
      <c r="H48" s="8">
        <v>12020</v>
      </c>
      <c r="I48" s="95">
        <f t="shared" si="1"/>
        <v>7212</v>
      </c>
    </row>
    <row r="49" spans="1:9" ht="18" customHeight="1" x14ac:dyDescent="0.35">
      <c r="A49" s="4">
        <v>43</v>
      </c>
      <c r="B49" s="4" t="s">
        <v>96</v>
      </c>
      <c r="C49" s="12" t="s">
        <v>97</v>
      </c>
      <c r="D49" s="2">
        <v>0.5</v>
      </c>
      <c r="E49" s="2">
        <v>0.37</v>
      </c>
      <c r="F49" s="2">
        <v>25</v>
      </c>
      <c r="G49" s="2">
        <v>25</v>
      </c>
      <c r="H49" s="8">
        <v>7530</v>
      </c>
      <c r="I49" s="95">
        <f t="shared" si="1"/>
        <v>4518</v>
      </c>
    </row>
    <row r="50" spans="1:9" ht="18" customHeight="1" x14ac:dyDescent="0.35">
      <c r="A50" s="6">
        <v>44</v>
      </c>
      <c r="B50" s="4" t="s">
        <v>98</v>
      </c>
      <c r="C50" s="12" t="s">
        <v>99</v>
      </c>
      <c r="D50" s="2">
        <v>1</v>
      </c>
      <c r="E50" s="2">
        <v>0.75</v>
      </c>
      <c r="F50" s="2">
        <v>25</v>
      </c>
      <c r="G50" s="2">
        <v>25</v>
      </c>
      <c r="H50" s="8">
        <v>9150</v>
      </c>
      <c r="I50" s="95">
        <f t="shared" si="1"/>
        <v>5490</v>
      </c>
    </row>
    <row r="51" spans="1:9" ht="18" customHeight="1" x14ac:dyDescent="0.35">
      <c r="A51" s="6">
        <v>45</v>
      </c>
      <c r="B51" s="4" t="s">
        <v>100</v>
      </c>
      <c r="C51" s="12" t="s">
        <v>101</v>
      </c>
      <c r="D51" s="2">
        <v>1</v>
      </c>
      <c r="E51" s="2">
        <v>0.75</v>
      </c>
      <c r="F51" s="2">
        <v>25</v>
      </c>
      <c r="G51" s="2">
        <v>25</v>
      </c>
      <c r="H51" s="5">
        <v>16800</v>
      </c>
      <c r="I51" s="95">
        <f t="shared" si="1"/>
        <v>10080</v>
      </c>
    </row>
    <row r="52" spans="1:9" ht="18" customHeight="1" x14ac:dyDescent="0.35">
      <c r="A52" s="6">
        <v>46</v>
      </c>
      <c r="B52" s="6" t="s">
        <v>102</v>
      </c>
      <c r="C52" s="14" t="s">
        <v>103</v>
      </c>
      <c r="D52" s="2">
        <v>0.5</v>
      </c>
      <c r="E52" s="2">
        <v>0.37</v>
      </c>
      <c r="F52" s="2">
        <v>25</v>
      </c>
      <c r="G52" s="2">
        <v>25</v>
      </c>
      <c r="H52" s="8">
        <v>17760</v>
      </c>
      <c r="I52" s="95">
        <f t="shared" si="1"/>
        <v>10656</v>
      </c>
    </row>
    <row r="53" spans="1:9" ht="18" customHeight="1" x14ac:dyDescent="0.35">
      <c r="A53" s="4">
        <v>47</v>
      </c>
      <c r="B53" s="6" t="s">
        <v>104</v>
      </c>
      <c r="C53" s="14" t="s">
        <v>105</v>
      </c>
      <c r="D53" s="2">
        <v>1</v>
      </c>
      <c r="E53" s="2">
        <v>0.75</v>
      </c>
      <c r="F53" s="2">
        <v>25</v>
      </c>
      <c r="G53" s="2">
        <v>25</v>
      </c>
      <c r="H53" s="8">
        <v>19120</v>
      </c>
      <c r="I53" s="95">
        <f t="shared" si="1"/>
        <v>11472</v>
      </c>
    </row>
    <row r="54" spans="1:9" ht="18" customHeight="1" x14ac:dyDescent="0.35">
      <c r="A54" s="6">
        <v>48</v>
      </c>
      <c r="B54" s="6" t="s">
        <v>106</v>
      </c>
      <c r="C54" s="14" t="s">
        <v>107</v>
      </c>
      <c r="D54" s="2">
        <v>1.1000000000000001</v>
      </c>
      <c r="E54" s="2">
        <v>0.8</v>
      </c>
      <c r="F54" s="2">
        <v>25</v>
      </c>
      <c r="G54" s="2">
        <v>25</v>
      </c>
      <c r="H54" s="8">
        <v>20900</v>
      </c>
      <c r="I54" s="95">
        <f t="shared" si="1"/>
        <v>12540</v>
      </c>
    </row>
    <row r="55" spans="1:9" ht="18" customHeight="1" x14ac:dyDescent="0.35">
      <c r="A55" s="300" t="s">
        <v>108</v>
      </c>
      <c r="B55" s="300"/>
      <c r="C55" s="300"/>
      <c r="D55" s="300"/>
      <c r="E55" s="300"/>
      <c r="F55" s="300"/>
      <c r="G55" s="300"/>
      <c r="H55" s="287" t="s">
        <v>109</v>
      </c>
      <c r="I55" s="315" t="s">
        <v>498</v>
      </c>
    </row>
    <row r="56" spans="1:9" ht="18" customHeight="1" x14ac:dyDescent="0.35">
      <c r="A56" s="287" t="s">
        <v>2</v>
      </c>
      <c r="B56" s="287" t="s">
        <v>3</v>
      </c>
      <c r="C56" s="298" t="s">
        <v>4</v>
      </c>
      <c r="D56" s="287" t="s">
        <v>5</v>
      </c>
      <c r="E56" s="287"/>
      <c r="F56" s="287" t="s">
        <v>6</v>
      </c>
      <c r="G56" s="287"/>
      <c r="H56" s="287"/>
      <c r="I56" s="315"/>
    </row>
    <row r="57" spans="1:9" ht="18" customHeight="1" x14ac:dyDescent="0.35">
      <c r="A57" s="287"/>
      <c r="B57" s="287"/>
      <c r="C57" s="298"/>
      <c r="D57" s="11" t="s">
        <v>9</v>
      </c>
      <c r="E57" s="11" t="s">
        <v>10</v>
      </c>
      <c r="F57" s="11" t="s">
        <v>11</v>
      </c>
      <c r="G57" s="11" t="s">
        <v>12</v>
      </c>
      <c r="H57" s="287"/>
      <c r="I57" s="315"/>
    </row>
    <row r="58" spans="1:9" ht="18" customHeight="1" x14ac:dyDescent="0.35">
      <c r="A58" s="6">
        <v>1</v>
      </c>
      <c r="B58" s="6" t="s">
        <v>110</v>
      </c>
      <c r="C58" s="14" t="s">
        <v>111</v>
      </c>
      <c r="D58" s="303">
        <v>0.5</v>
      </c>
      <c r="E58" s="303">
        <v>0.37</v>
      </c>
      <c r="F58" s="2">
        <v>25</v>
      </c>
      <c r="G58" s="2">
        <v>25</v>
      </c>
      <c r="H58" s="8">
        <v>4680</v>
      </c>
      <c r="I58" s="96">
        <f>H58*0.63</f>
        <v>2948.4</v>
      </c>
    </row>
    <row r="59" spans="1:9" ht="18" customHeight="1" x14ac:dyDescent="0.35">
      <c r="A59" s="6">
        <v>2</v>
      </c>
      <c r="B59" s="6" t="s">
        <v>112</v>
      </c>
      <c r="C59" s="14" t="s">
        <v>113</v>
      </c>
      <c r="D59" s="303"/>
      <c r="E59" s="303"/>
      <c r="F59" s="2">
        <v>40</v>
      </c>
      <c r="G59" s="2">
        <v>40</v>
      </c>
      <c r="H59" s="8">
        <v>6430</v>
      </c>
      <c r="I59" s="96">
        <f t="shared" ref="I59:I113" si="2">H59*0.63</f>
        <v>4050.9</v>
      </c>
    </row>
    <row r="60" spans="1:9" ht="18" customHeight="1" x14ac:dyDescent="0.35">
      <c r="A60" s="4">
        <v>3</v>
      </c>
      <c r="B60" s="4" t="s">
        <v>114</v>
      </c>
      <c r="C60" s="18" t="s">
        <v>115</v>
      </c>
      <c r="D60" s="2">
        <v>0.75</v>
      </c>
      <c r="E60" s="2">
        <v>0.56000000000000005</v>
      </c>
      <c r="F60" s="2">
        <v>40</v>
      </c>
      <c r="G60" s="2">
        <v>40</v>
      </c>
      <c r="H60" s="5">
        <v>6240</v>
      </c>
      <c r="I60" s="96">
        <f t="shared" si="2"/>
        <v>3931.2</v>
      </c>
    </row>
    <row r="61" spans="1:9" ht="18" customHeight="1" x14ac:dyDescent="0.35">
      <c r="A61" s="6">
        <v>4</v>
      </c>
      <c r="B61" s="6" t="s">
        <v>116</v>
      </c>
      <c r="C61" s="14" t="s">
        <v>117</v>
      </c>
      <c r="D61" s="301">
        <v>1</v>
      </c>
      <c r="E61" s="301">
        <v>0.75</v>
      </c>
      <c r="F61" s="1">
        <v>25</v>
      </c>
      <c r="G61" s="1">
        <v>25</v>
      </c>
      <c r="H61" s="8">
        <v>7572</v>
      </c>
      <c r="I61" s="96">
        <f t="shared" si="2"/>
        <v>4770.3599999999997</v>
      </c>
    </row>
    <row r="62" spans="1:9" ht="18" customHeight="1" x14ac:dyDescent="0.35">
      <c r="A62" s="6">
        <v>5</v>
      </c>
      <c r="B62" s="6" t="s">
        <v>118</v>
      </c>
      <c r="C62" s="14" t="s">
        <v>119</v>
      </c>
      <c r="D62" s="301"/>
      <c r="E62" s="301"/>
      <c r="F62" s="1">
        <v>50</v>
      </c>
      <c r="G62" s="1">
        <v>50</v>
      </c>
      <c r="H62" s="8">
        <v>8900</v>
      </c>
      <c r="I62" s="96">
        <f t="shared" si="2"/>
        <v>5607</v>
      </c>
    </row>
    <row r="63" spans="1:9" ht="18" customHeight="1" x14ac:dyDescent="0.35">
      <c r="A63" s="4">
        <v>6</v>
      </c>
      <c r="B63" s="6" t="s">
        <v>120</v>
      </c>
      <c r="C63" s="14" t="s">
        <v>121</v>
      </c>
      <c r="D63" s="301"/>
      <c r="E63" s="301"/>
      <c r="F63" s="1">
        <v>50</v>
      </c>
      <c r="G63" s="1">
        <v>50</v>
      </c>
      <c r="H63" s="5">
        <v>9100</v>
      </c>
      <c r="I63" s="96">
        <f t="shared" si="2"/>
        <v>5733</v>
      </c>
    </row>
    <row r="64" spans="1:9" ht="18" customHeight="1" x14ac:dyDescent="0.35">
      <c r="A64" s="6">
        <v>7</v>
      </c>
      <c r="B64" s="4" t="s">
        <v>122</v>
      </c>
      <c r="C64" s="18" t="s">
        <v>123</v>
      </c>
      <c r="D64" s="301"/>
      <c r="E64" s="301"/>
      <c r="F64" s="1">
        <v>50</v>
      </c>
      <c r="G64" s="1">
        <v>50</v>
      </c>
      <c r="H64" s="5">
        <v>9000</v>
      </c>
      <c r="I64" s="96">
        <f t="shared" si="2"/>
        <v>5670</v>
      </c>
    </row>
    <row r="65" spans="1:9" ht="18" customHeight="1" x14ac:dyDescent="0.35">
      <c r="A65" s="6">
        <v>8</v>
      </c>
      <c r="B65" s="4" t="s">
        <v>124</v>
      </c>
      <c r="C65" s="19" t="s">
        <v>125</v>
      </c>
      <c r="D65" s="301"/>
      <c r="E65" s="301"/>
      <c r="F65" s="1">
        <v>75</v>
      </c>
      <c r="G65" s="1">
        <v>75</v>
      </c>
      <c r="H65" s="8">
        <v>10000</v>
      </c>
      <c r="I65" s="96">
        <f t="shared" si="2"/>
        <v>6300</v>
      </c>
    </row>
    <row r="66" spans="1:9" ht="18" customHeight="1" x14ac:dyDescent="0.35">
      <c r="A66" s="4">
        <v>9</v>
      </c>
      <c r="B66" s="4"/>
      <c r="C66" s="18" t="s">
        <v>126</v>
      </c>
      <c r="D66" s="301"/>
      <c r="E66" s="301"/>
      <c r="F66" s="1">
        <v>75</v>
      </c>
      <c r="G66" s="1">
        <v>75</v>
      </c>
      <c r="H66" s="5">
        <v>10200</v>
      </c>
      <c r="I66" s="96">
        <f t="shared" si="2"/>
        <v>6426</v>
      </c>
    </row>
    <row r="67" spans="1:9" ht="18" customHeight="1" x14ac:dyDescent="0.35">
      <c r="A67" s="6">
        <v>10</v>
      </c>
      <c r="B67" s="4" t="s">
        <v>127</v>
      </c>
      <c r="C67" s="19" t="s">
        <v>128</v>
      </c>
      <c r="D67" s="301">
        <v>1.5</v>
      </c>
      <c r="E67" s="301">
        <v>1.1000000000000001</v>
      </c>
      <c r="F67" s="1">
        <v>50</v>
      </c>
      <c r="G67" s="1">
        <v>50</v>
      </c>
      <c r="H67" s="5">
        <v>10420</v>
      </c>
      <c r="I67" s="96">
        <f t="shared" si="2"/>
        <v>6564.6</v>
      </c>
    </row>
    <row r="68" spans="1:9" ht="18" customHeight="1" x14ac:dyDescent="0.35">
      <c r="A68" s="6">
        <v>11</v>
      </c>
      <c r="B68" s="4" t="s">
        <v>129</v>
      </c>
      <c r="C68" s="18" t="s">
        <v>130</v>
      </c>
      <c r="D68" s="301"/>
      <c r="E68" s="301"/>
      <c r="F68" s="1">
        <v>50</v>
      </c>
      <c r="G68" s="1">
        <v>50</v>
      </c>
      <c r="H68" s="5">
        <v>10600</v>
      </c>
      <c r="I68" s="96">
        <f t="shared" si="2"/>
        <v>6678</v>
      </c>
    </row>
    <row r="69" spans="1:9" ht="18" customHeight="1" x14ac:dyDescent="0.35">
      <c r="A69" s="4">
        <v>12</v>
      </c>
      <c r="B69" s="4" t="s">
        <v>131</v>
      </c>
      <c r="C69" s="19" t="s">
        <v>132</v>
      </c>
      <c r="D69" s="301"/>
      <c r="E69" s="301"/>
      <c r="F69" s="1">
        <v>65</v>
      </c>
      <c r="G69" s="1">
        <v>50</v>
      </c>
      <c r="H69" s="5">
        <v>10600</v>
      </c>
      <c r="I69" s="96">
        <f t="shared" si="2"/>
        <v>6678</v>
      </c>
    </row>
    <row r="70" spans="1:9" ht="18" customHeight="1" x14ac:dyDescent="0.35">
      <c r="A70" s="6">
        <v>13</v>
      </c>
      <c r="B70" s="4" t="s">
        <v>133</v>
      </c>
      <c r="C70" s="18" t="s">
        <v>134</v>
      </c>
      <c r="D70" s="301"/>
      <c r="E70" s="301"/>
      <c r="F70" s="1">
        <v>65</v>
      </c>
      <c r="G70" s="1">
        <v>50</v>
      </c>
      <c r="H70" s="5">
        <v>10800</v>
      </c>
      <c r="I70" s="96">
        <f t="shared" si="2"/>
        <v>6804</v>
      </c>
    </row>
    <row r="71" spans="1:9" ht="18" customHeight="1" x14ac:dyDescent="0.35">
      <c r="A71" s="6">
        <v>14</v>
      </c>
      <c r="B71" s="4" t="s">
        <v>135</v>
      </c>
      <c r="C71" s="19" t="s">
        <v>136</v>
      </c>
      <c r="D71" s="301"/>
      <c r="E71" s="301"/>
      <c r="F71" s="1">
        <v>75</v>
      </c>
      <c r="G71" s="1">
        <v>75</v>
      </c>
      <c r="H71" s="8">
        <v>11000</v>
      </c>
      <c r="I71" s="96">
        <f t="shared" si="2"/>
        <v>6930</v>
      </c>
    </row>
    <row r="72" spans="1:9" ht="18" customHeight="1" x14ac:dyDescent="0.35">
      <c r="A72" s="4">
        <v>15</v>
      </c>
      <c r="B72" s="4" t="s">
        <v>137</v>
      </c>
      <c r="C72" s="18" t="s">
        <v>138</v>
      </c>
      <c r="D72" s="301"/>
      <c r="E72" s="301"/>
      <c r="F72" s="1">
        <v>75</v>
      </c>
      <c r="G72" s="1">
        <v>75</v>
      </c>
      <c r="H72" s="5">
        <v>11200</v>
      </c>
      <c r="I72" s="96">
        <f t="shared" si="2"/>
        <v>7056</v>
      </c>
    </row>
    <row r="73" spans="1:9" ht="18" customHeight="1" x14ac:dyDescent="0.35">
      <c r="A73" s="6">
        <v>16</v>
      </c>
      <c r="B73" s="4" t="s">
        <v>139</v>
      </c>
      <c r="C73" s="18" t="s">
        <v>140</v>
      </c>
      <c r="D73" s="301"/>
      <c r="E73" s="301"/>
      <c r="F73" s="1">
        <v>75</v>
      </c>
      <c r="G73" s="1">
        <v>75</v>
      </c>
      <c r="H73" s="5">
        <v>11200</v>
      </c>
      <c r="I73" s="96">
        <f t="shared" si="2"/>
        <v>7056</v>
      </c>
    </row>
    <row r="74" spans="1:9" ht="18" customHeight="1" x14ac:dyDescent="0.35">
      <c r="A74" s="6">
        <v>17</v>
      </c>
      <c r="B74" s="4" t="s">
        <v>141</v>
      </c>
      <c r="C74" s="19" t="s">
        <v>142</v>
      </c>
      <c r="D74" s="301">
        <v>2</v>
      </c>
      <c r="E74" s="301">
        <v>1.5</v>
      </c>
      <c r="F74" s="1">
        <v>50</v>
      </c>
      <c r="G74" s="1">
        <v>40</v>
      </c>
      <c r="H74" s="8">
        <v>15000</v>
      </c>
      <c r="I74" s="96">
        <f t="shared" si="2"/>
        <v>9450</v>
      </c>
    </row>
    <row r="75" spans="1:9" ht="18" customHeight="1" x14ac:dyDescent="0.35">
      <c r="A75" s="4">
        <v>18</v>
      </c>
      <c r="B75" s="4" t="s">
        <v>143</v>
      </c>
      <c r="C75" s="18" t="s">
        <v>144</v>
      </c>
      <c r="D75" s="301"/>
      <c r="E75" s="301"/>
      <c r="F75" s="1">
        <v>50</v>
      </c>
      <c r="G75" s="1">
        <v>40</v>
      </c>
      <c r="H75" s="5">
        <v>15200</v>
      </c>
      <c r="I75" s="96">
        <f t="shared" si="2"/>
        <v>9576</v>
      </c>
    </row>
    <row r="76" spans="1:9" ht="18" customHeight="1" x14ac:dyDescent="0.35">
      <c r="A76" s="6">
        <v>19</v>
      </c>
      <c r="B76" s="6" t="s">
        <v>145</v>
      </c>
      <c r="C76" s="14" t="s">
        <v>146</v>
      </c>
      <c r="D76" s="301"/>
      <c r="E76" s="301"/>
      <c r="F76" s="1">
        <v>50</v>
      </c>
      <c r="G76" s="1">
        <v>50</v>
      </c>
      <c r="H76" s="8">
        <v>13000</v>
      </c>
      <c r="I76" s="96">
        <f t="shared" si="2"/>
        <v>8190</v>
      </c>
    </row>
    <row r="77" spans="1:9" ht="18" customHeight="1" x14ac:dyDescent="0.35">
      <c r="A77" s="6">
        <v>20</v>
      </c>
      <c r="B77" s="4" t="s">
        <v>147</v>
      </c>
      <c r="C77" s="18" t="s">
        <v>148</v>
      </c>
      <c r="D77" s="301"/>
      <c r="E77" s="301"/>
      <c r="F77" s="1">
        <v>50</v>
      </c>
      <c r="G77" s="1">
        <v>50</v>
      </c>
      <c r="H77" s="5">
        <v>13200</v>
      </c>
      <c r="I77" s="96">
        <f t="shared" si="2"/>
        <v>8316</v>
      </c>
    </row>
    <row r="78" spans="1:9" ht="18" customHeight="1" x14ac:dyDescent="0.35">
      <c r="A78" s="4">
        <v>21</v>
      </c>
      <c r="B78" s="6" t="s">
        <v>149</v>
      </c>
      <c r="C78" s="14" t="s">
        <v>150</v>
      </c>
      <c r="D78" s="301"/>
      <c r="E78" s="301"/>
      <c r="F78" s="1">
        <v>65</v>
      </c>
      <c r="G78" s="1">
        <v>50</v>
      </c>
      <c r="H78" s="8">
        <v>13300</v>
      </c>
      <c r="I78" s="96">
        <f t="shared" si="2"/>
        <v>8379</v>
      </c>
    </row>
    <row r="79" spans="1:9" ht="18" customHeight="1" x14ac:dyDescent="0.35">
      <c r="A79" s="6">
        <v>22</v>
      </c>
      <c r="B79" s="6" t="s">
        <v>151</v>
      </c>
      <c r="C79" s="14" t="s">
        <v>152</v>
      </c>
      <c r="D79" s="301"/>
      <c r="E79" s="301"/>
      <c r="F79" s="1">
        <v>65</v>
      </c>
      <c r="G79" s="1">
        <v>50</v>
      </c>
      <c r="H79" s="5">
        <v>13500</v>
      </c>
      <c r="I79" s="96">
        <f t="shared" si="2"/>
        <v>8505</v>
      </c>
    </row>
    <row r="80" spans="1:9" ht="18" customHeight="1" x14ac:dyDescent="0.35">
      <c r="A80" s="6">
        <v>23</v>
      </c>
      <c r="B80" s="4" t="s">
        <v>153</v>
      </c>
      <c r="C80" s="18" t="s">
        <v>154</v>
      </c>
      <c r="D80" s="301"/>
      <c r="E80" s="301"/>
      <c r="F80" s="1">
        <v>65</v>
      </c>
      <c r="G80" s="1">
        <v>50</v>
      </c>
      <c r="H80" s="5">
        <v>13340</v>
      </c>
      <c r="I80" s="96">
        <f t="shared" si="2"/>
        <v>8404.2000000000007</v>
      </c>
    </row>
    <row r="81" spans="1:9" ht="18" customHeight="1" x14ac:dyDescent="0.35">
      <c r="A81" s="4">
        <v>24</v>
      </c>
      <c r="B81" s="6"/>
      <c r="C81" s="14" t="s">
        <v>155</v>
      </c>
      <c r="D81" s="301"/>
      <c r="E81" s="301"/>
      <c r="F81" s="1">
        <v>65</v>
      </c>
      <c r="G81" s="1">
        <v>50</v>
      </c>
      <c r="H81" s="8">
        <v>13300</v>
      </c>
      <c r="I81" s="96">
        <f t="shared" si="2"/>
        <v>8379</v>
      </c>
    </row>
    <row r="82" spans="1:9" ht="18" customHeight="1" x14ac:dyDescent="0.35">
      <c r="A82" s="6">
        <v>25</v>
      </c>
      <c r="B82" s="4" t="s">
        <v>156</v>
      </c>
      <c r="C82" s="18" t="s">
        <v>157</v>
      </c>
      <c r="D82" s="301"/>
      <c r="E82" s="301"/>
      <c r="F82" s="1">
        <v>75</v>
      </c>
      <c r="G82" s="1">
        <v>75</v>
      </c>
      <c r="H82" s="5">
        <v>13600</v>
      </c>
      <c r="I82" s="96">
        <f t="shared" si="2"/>
        <v>8568</v>
      </c>
    </row>
    <row r="83" spans="1:9" ht="18" customHeight="1" x14ac:dyDescent="0.35">
      <c r="A83" s="6">
        <v>26</v>
      </c>
      <c r="B83" s="6" t="s">
        <v>158</v>
      </c>
      <c r="C83" s="14" t="s">
        <v>159</v>
      </c>
      <c r="D83" s="301"/>
      <c r="E83" s="301"/>
      <c r="F83" s="1">
        <v>75</v>
      </c>
      <c r="G83" s="1">
        <v>75</v>
      </c>
      <c r="H83" s="8">
        <v>13450</v>
      </c>
      <c r="I83" s="96">
        <f t="shared" si="2"/>
        <v>8473.5</v>
      </c>
    </row>
    <row r="84" spans="1:9" ht="18" customHeight="1" x14ac:dyDescent="0.35">
      <c r="A84" s="4">
        <v>27</v>
      </c>
      <c r="B84" s="6" t="s">
        <v>160</v>
      </c>
      <c r="C84" s="14" t="s">
        <v>161</v>
      </c>
      <c r="D84" s="301"/>
      <c r="E84" s="301"/>
      <c r="F84" s="1">
        <v>75</v>
      </c>
      <c r="G84" s="1">
        <v>75</v>
      </c>
      <c r="H84" s="5">
        <v>13800</v>
      </c>
      <c r="I84" s="96">
        <f t="shared" si="2"/>
        <v>8694</v>
      </c>
    </row>
    <row r="85" spans="1:9" ht="18" customHeight="1" x14ac:dyDescent="0.35">
      <c r="A85" s="6">
        <v>28</v>
      </c>
      <c r="B85" s="6" t="s">
        <v>162</v>
      </c>
      <c r="C85" s="14" t="s">
        <v>163</v>
      </c>
      <c r="D85" s="301"/>
      <c r="E85" s="301"/>
      <c r="F85" s="1">
        <v>75</v>
      </c>
      <c r="G85" s="1">
        <v>75</v>
      </c>
      <c r="H85" s="5">
        <v>14000</v>
      </c>
      <c r="I85" s="96">
        <f t="shared" si="2"/>
        <v>8820</v>
      </c>
    </row>
    <row r="86" spans="1:9" ht="18" customHeight="1" x14ac:dyDescent="0.35">
      <c r="A86" s="6">
        <v>29</v>
      </c>
      <c r="B86" s="6" t="s">
        <v>164</v>
      </c>
      <c r="C86" s="14" t="s">
        <v>165</v>
      </c>
      <c r="D86" s="301"/>
      <c r="E86" s="301"/>
      <c r="F86" s="1">
        <v>75</v>
      </c>
      <c r="G86" s="1">
        <v>75</v>
      </c>
      <c r="H86" s="5">
        <v>14500</v>
      </c>
      <c r="I86" s="96">
        <f t="shared" si="2"/>
        <v>9135</v>
      </c>
    </row>
    <row r="87" spans="1:9" ht="18" customHeight="1" x14ac:dyDescent="0.35">
      <c r="A87" s="4">
        <v>30</v>
      </c>
      <c r="B87" s="4" t="s">
        <v>166</v>
      </c>
      <c r="C87" s="18" t="s">
        <v>167</v>
      </c>
      <c r="D87" s="301"/>
      <c r="E87" s="301"/>
      <c r="F87" s="1">
        <v>75</v>
      </c>
      <c r="G87" s="1">
        <v>75</v>
      </c>
      <c r="H87" s="5">
        <v>13550</v>
      </c>
      <c r="I87" s="96">
        <f t="shared" si="2"/>
        <v>8536.5</v>
      </c>
    </row>
    <row r="88" spans="1:9" ht="18" customHeight="1" x14ac:dyDescent="0.35">
      <c r="A88" s="6">
        <v>31</v>
      </c>
      <c r="B88" s="6" t="s">
        <v>168</v>
      </c>
      <c r="C88" s="14" t="s">
        <v>169</v>
      </c>
      <c r="D88" s="301"/>
      <c r="E88" s="301"/>
      <c r="F88" s="1">
        <v>75</v>
      </c>
      <c r="G88" s="1">
        <v>65</v>
      </c>
      <c r="H88" s="8">
        <v>13450</v>
      </c>
      <c r="I88" s="96">
        <f t="shared" si="2"/>
        <v>8473.5</v>
      </c>
    </row>
    <row r="89" spans="1:9" ht="18" customHeight="1" x14ac:dyDescent="0.35">
      <c r="A89" s="6">
        <v>32</v>
      </c>
      <c r="B89" s="6" t="s">
        <v>170</v>
      </c>
      <c r="C89" s="14" t="s">
        <v>171</v>
      </c>
      <c r="D89" s="301"/>
      <c r="E89" s="301"/>
      <c r="F89" s="1">
        <v>75</v>
      </c>
      <c r="G89" s="1">
        <v>65</v>
      </c>
      <c r="H89" s="5">
        <v>13740</v>
      </c>
      <c r="I89" s="96">
        <f t="shared" si="2"/>
        <v>8656.2000000000007</v>
      </c>
    </row>
    <row r="90" spans="1:9" ht="18" customHeight="1" x14ac:dyDescent="0.35">
      <c r="A90" s="4">
        <v>33</v>
      </c>
      <c r="B90" s="4"/>
      <c r="C90" s="19" t="s">
        <v>172</v>
      </c>
      <c r="D90" s="301"/>
      <c r="E90" s="301"/>
      <c r="F90" s="1">
        <v>100</v>
      </c>
      <c r="G90" s="1">
        <v>100</v>
      </c>
      <c r="H90" s="8">
        <v>15000</v>
      </c>
      <c r="I90" s="96">
        <f t="shared" si="2"/>
        <v>9450</v>
      </c>
    </row>
    <row r="91" spans="1:9" ht="18" customHeight="1" x14ac:dyDescent="0.35">
      <c r="A91" s="6">
        <v>34</v>
      </c>
      <c r="B91" s="4"/>
      <c r="C91" s="18" t="s">
        <v>173</v>
      </c>
      <c r="D91" s="301"/>
      <c r="E91" s="301"/>
      <c r="F91" s="1">
        <v>100</v>
      </c>
      <c r="G91" s="1">
        <v>100</v>
      </c>
      <c r="H91" s="5">
        <v>15200</v>
      </c>
      <c r="I91" s="96">
        <f t="shared" si="2"/>
        <v>9576</v>
      </c>
    </row>
    <row r="92" spans="1:9" ht="18" customHeight="1" x14ac:dyDescent="0.35">
      <c r="A92" s="6">
        <v>35</v>
      </c>
      <c r="B92" s="4"/>
      <c r="C92" s="19" t="s">
        <v>174</v>
      </c>
      <c r="D92" s="301">
        <v>3</v>
      </c>
      <c r="E92" s="301">
        <v>2.25</v>
      </c>
      <c r="F92" s="1">
        <v>50</v>
      </c>
      <c r="G92" s="1">
        <v>40</v>
      </c>
      <c r="H92" s="8">
        <v>18000</v>
      </c>
      <c r="I92" s="96">
        <f t="shared" si="2"/>
        <v>11340</v>
      </c>
    </row>
    <row r="93" spans="1:9" ht="18" customHeight="1" x14ac:dyDescent="0.35">
      <c r="A93" s="4">
        <v>36</v>
      </c>
      <c r="B93" s="4" t="s">
        <v>175</v>
      </c>
      <c r="C93" s="18" t="s">
        <v>176</v>
      </c>
      <c r="D93" s="301"/>
      <c r="E93" s="301"/>
      <c r="F93" s="1">
        <v>50</v>
      </c>
      <c r="G93" s="1">
        <v>40</v>
      </c>
      <c r="H93" s="5">
        <v>18560</v>
      </c>
      <c r="I93" s="96">
        <f t="shared" si="2"/>
        <v>11692.8</v>
      </c>
    </row>
    <row r="94" spans="1:9" ht="18" customHeight="1" x14ac:dyDescent="0.35">
      <c r="A94" s="6">
        <v>37</v>
      </c>
      <c r="B94" s="4" t="s">
        <v>177</v>
      </c>
      <c r="C94" s="19" t="s">
        <v>178</v>
      </c>
      <c r="D94" s="301"/>
      <c r="E94" s="301"/>
      <c r="F94" s="1">
        <v>50</v>
      </c>
      <c r="G94" s="1">
        <v>50</v>
      </c>
      <c r="H94" s="8">
        <v>18250</v>
      </c>
      <c r="I94" s="96">
        <f t="shared" si="2"/>
        <v>11497.5</v>
      </c>
    </row>
    <row r="95" spans="1:9" ht="18" customHeight="1" x14ac:dyDescent="0.35">
      <c r="A95" s="6">
        <v>38</v>
      </c>
      <c r="B95" s="4" t="s">
        <v>179</v>
      </c>
      <c r="C95" s="18" t="s">
        <v>180</v>
      </c>
      <c r="D95" s="301"/>
      <c r="E95" s="301"/>
      <c r="F95" s="1">
        <v>50</v>
      </c>
      <c r="G95" s="1">
        <v>50</v>
      </c>
      <c r="H95" s="5">
        <v>18670</v>
      </c>
      <c r="I95" s="96">
        <f t="shared" si="2"/>
        <v>11762.1</v>
      </c>
    </row>
    <row r="96" spans="1:9" ht="18" customHeight="1" x14ac:dyDescent="0.35">
      <c r="A96" s="4">
        <v>39</v>
      </c>
      <c r="B96" s="6" t="s">
        <v>181</v>
      </c>
      <c r="C96" s="14" t="s">
        <v>182</v>
      </c>
      <c r="D96" s="301"/>
      <c r="E96" s="301"/>
      <c r="F96" s="1">
        <v>65</v>
      </c>
      <c r="G96" s="1">
        <v>50</v>
      </c>
      <c r="H96" s="8">
        <v>18100</v>
      </c>
      <c r="I96" s="96">
        <f t="shared" si="2"/>
        <v>11403</v>
      </c>
    </row>
    <row r="97" spans="1:9" ht="18" customHeight="1" x14ac:dyDescent="0.35">
      <c r="A97" s="6">
        <v>40</v>
      </c>
      <c r="B97" s="6" t="s">
        <v>183</v>
      </c>
      <c r="C97" s="14" t="s">
        <v>184</v>
      </c>
      <c r="D97" s="301"/>
      <c r="E97" s="301"/>
      <c r="F97" s="1">
        <v>65</v>
      </c>
      <c r="G97" s="1">
        <v>50</v>
      </c>
      <c r="H97" s="5">
        <v>18770</v>
      </c>
      <c r="I97" s="96">
        <f t="shared" si="2"/>
        <v>11825.1</v>
      </c>
    </row>
    <row r="98" spans="1:9" ht="18" customHeight="1" x14ac:dyDescent="0.35">
      <c r="A98" s="6">
        <v>41</v>
      </c>
      <c r="B98" s="6" t="s">
        <v>185</v>
      </c>
      <c r="C98" s="14" t="s">
        <v>186</v>
      </c>
      <c r="D98" s="301"/>
      <c r="E98" s="301"/>
      <c r="F98" s="1">
        <v>75</v>
      </c>
      <c r="G98" s="1">
        <v>75</v>
      </c>
      <c r="H98" s="8">
        <v>18020</v>
      </c>
      <c r="I98" s="96">
        <f t="shared" si="2"/>
        <v>11352.6</v>
      </c>
    </row>
    <row r="99" spans="1:9" ht="18" customHeight="1" x14ac:dyDescent="0.35">
      <c r="A99" s="4">
        <v>42</v>
      </c>
      <c r="B99" s="6" t="s">
        <v>187</v>
      </c>
      <c r="C99" s="14" t="s">
        <v>188</v>
      </c>
      <c r="D99" s="301"/>
      <c r="E99" s="301"/>
      <c r="F99" s="1">
        <v>75</v>
      </c>
      <c r="G99" s="1">
        <v>75</v>
      </c>
      <c r="H99" s="5">
        <v>18680</v>
      </c>
      <c r="I99" s="96">
        <f t="shared" si="2"/>
        <v>11768.4</v>
      </c>
    </row>
    <row r="100" spans="1:9" ht="18" customHeight="1" x14ac:dyDescent="0.35">
      <c r="A100" s="6">
        <v>43</v>
      </c>
      <c r="B100" s="6" t="s">
        <v>189</v>
      </c>
      <c r="C100" s="14" t="s">
        <v>190</v>
      </c>
      <c r="D100" s="301"/>
      <c r="E100" s="301"/>
      <c r="F100" s="1">
        <v>100</v>
      </c>
      <c r="G100" s="1">
        <v>100</v>
      </c>
      <c r="H100" s="8">
        <v>19100</v>
      </c>
      <c r="I100" s="96">
        <f t="shared" si="2"/>
        <v>12033</v>
      </c>
    </row>
    <row r="101" spans="1:9" ht="18" customHeight="1" x14ac:dyDescent="0.35">
      <c r="A101" s="6">
        <v>44</v>
      </c>
      <c r="B101" s="6" t="s">
        <v>191</v>
      </c>
      <c r="C101" s="14" t="s">
        <v>192</v>
      </c>
      <c r="D101" s="301"/>
      <c r="E101" s="301"/>
      <c r="F101" s="1">
        <v>100</v>
      </c>
      <c r="G101" s="1">
        <v>100</v>
      </c>
      <c r="H101" s="5">
        <v>19500</v>
      </c>
      <c r="I101" s="96">
        <f t="shared" si="2"/>
        <v>12285</v>
      </c>
    </row>
    <row r="102" spans="1:9" ht="18" customHeight="1" x14ac:dyDescent="0.35">
      <c r="A102" s="4">
        <v>45</v>
      </c>
      <c r="B102" s="6" t="s">
        <v>193</v>
      </c>
      <c r="C102" s="14" t="s">
        <v>194</v>
      </c>
      <c r="D102" s="301"/>
      <c r="E102" s="301"/>
      <c r="F102" s="1">
        <v>100</v>
      </c>
      <c r="G102" s="1">
        <v>100</v>
      </c>
      <c r="H102" s="5">
        <v>14800</v>
      </c>
      <c r="I102" s="96">
        <f t="shared" si="2"/>
        <v>9324</v>
      </c>
    </row>
    <row r="103" spans="1:9" ht="18" customHeight="1" x14ac:dyDescent="0.35">
      <c r="A103" s="6">
        <v>46</v>
      </c>
      <c r="B103" s="4" t="s">
        <v>195</v>
      </c>
      <c r="C103" s="18" t="s">
        <v>196</v>
      </c>
      <c r="D103" s="301"/>
      <c r="E103" s="301"/>
      <c r="F103" s="1">
        <v>100</v>
      </c>
      <c r="G103" s="1">
        <v>100</v>
      </c>
      <c r="H103" s="5">
        <v>15000</v>
      </c>
      <c r="I103" s="96">
        <f t="shared" si="2"/>
        <v>9450</v>
      </c>
    </row>
    <row r="104" spans="1:9" ht="18" customHeight="1" x14ac:dyDescent="0.35">
      <c r="A104" s="6">
        <v>47</v>
      </c>
      <c r="B104" s="6" t="s">
        <v>197</v>
      </c>
      <c r="C104" s="14" t="s">
        <v>198</v>
      </c>
      <c r="D104" s="301">
        <v>5</v>
      </c>
      <c r="E104" s="301">
        <v>3.75</v>
      </c>
      <c r="F104" s="1">
        <v>80</v>
      </c>
      <c r="G104" s="1">
        <v>65</v>
      </c>
      <c r="H104" s="5">
        <v>24600</v>
      </c>
      <c r="I104" s="96">
        <f t="shared" si="2"/>
        <v>15498</v>
      </c>
    </row>
    <row r="105" spans="1:9" ht="18" customHeight="1" x14ac:dyDescent="0.35">
      <c r="A105" s="4">
        <v>48</v>
      </c>
      <c r="B105" s="4"/>
      <c r="C105" s="20" t="s">
        <v>199</v>
      </c>
      <c r="D105" s="301"/>
      <c r="E105" s="301"/>
      <c r="F105" s="1">
        <v>80</v>
      </c>
      <c r="G105" s="1">
        <v>65</v>
      </c>
      <c r="H105" s="5">
        <v>26000</v>
      </c>
      <c r="I105" s="96">
        <f t="shared" si="2"/>
        <v>16380</v>
      </c>
    </row>
    <row r="106" spans="1:9" ht="18" customHeight="1" x14ac:dyDescent="0.35">
      <c r="A106" s="6">
        <v>49</v>
      </c>
      <c r="B106" s="6" t="s">
        <v>200</v>
      </c>
      <c r="C106" s="20" t="s">
        <v>201</v>
      </c>
      <c r="D106" s="301"/>
      <c r="E106" s="301"/>
      <c r="F106" s="1">
        <v>80</v>
      </c>
      <c r="G106" s="1">
        <v>65</v>
      </c>
      <c r="H106" s="5">
        <v>23600</v>
      </c>
      <c r="I106" s="96">
        <f t="shared" si="2"/>
        <v>14868</v>
      </c>
    </row>
    <row r="107" spans="1:9" ht="18" customHeight="1" x14ac:dyDescent="0.35">
      <c r="A107" s="6">
        <v>50</v>
      </c>
      <c r="B107" s="4" t="s">
        <v>202</v>
      </c>
      <c r="C107" s="18" t="s">
        <v>203</v>
      </c>
      <c r="D107" s="7">
        <v>0.75</v>
      </c>
      <c r="E107" s="7">
        <v>0.56000000000000005</v>
      </c>
      <c r="F107" s="2">
        <v>25</v>
      </c>
      <c r="G107" s="2">
        <v>25</v>
      </c>
      <c r="H107" s="5">
        <v>5170</v>
      </c>
      <c r="I107" s="96">
        <f t="shared" si="2"/>
        <v>3257.1</v>
      </c>
    </row>
    <row r="108" spans="1:9" ht="18" customHeight="1" x14ac:dyDescent="0.35">
      <c r="A108" s="4">
        <v>51</v>
      </c>
      <c r="B108" s="4" t="s">
        <v>204</v>
      </c>
      <c r="C108" s="18" t="s">
        <v>205</v>
      </c>
      <c r="D108" s="301">
        <v>1</v>
      </c>
      <c r="E108" s="301">
        <v>0.75</v>
      </c>
      <c r="F108" s="1">
        <v>40</v>
      </c>
      <c r="G108" s="1">
        <v>40</v>
      </c>
      <c r="H108" s="5">
        <v>9000</v>
      </c>
      <c r="I108" s="96">
        <f t="shared" si="2"/>
        <v>5670</v>
      </c>
    </row>
    <row r="109" spans="1:9" ht="18" customHeight="1" x14ac:dyDescent="0.35">
      <c r="A109" s="6">
        <v>52</v>
      </c>
      <c r="B109" s="4"/>
      <c r="C109" s="18" t="s">
        <v>206</v>
      </c>
      <c r="D109" s="301"/>
      <c r="E109" s="301"/>
      <c r="F109" s="1">
        <v>40</v>
      </c>
      <c r="G109" s="1">
        <v>40</v>
      </c>
      <c r="H109" s="5">
        <v>9000</v>
      </c>
      <c r="I109" s="96">
        <f t="shared" si="2"/>
        <v>5670</v>
      </c>
    </row>
    <row r="110" spans="1:9" ht="18" customHeight="1" x14ac:dyDescent="0.35">
      <c r="A110" s="6">
        <v>53</v>
      </c>
      <c r="B110" s="4"/>
      <c r="C110" s="20" t="s">
        <v>207</v>
      </c>
      <c r="D110" s="301">
        <v>2</v>
      </c>
      <c r="E110" s="301">
        <v>1.5</v>
      </c>
      <c r="F110" s="1">
        <v>75</v>
      </c>
      <c r="G110" s="1">
        <v>75</v>
      </c>
      <c r="H110" s="5">
        <v>12500</v>
      </c>
      <c r="I110" s="96">
        <f t="shared" si="2"/>
        <v>7875</v>
      </c>
    </row>
    <row r="111" spans="1:9" ht="18" customHeight="1" x14ac:dyDescent="0.35">
      <c r="A111" s="4">
        <v>54</v>
      </c>
      <c r="B111" s="4" t="s">
        <v>208</v>
      </c>
      <c r="C111" s="20" t="s">
        <v>209</v>
      </c>
      <c r="D111" s="301"/>
      <c r="E111" s="301"/>
      <c r="F111" s="1">
        <v>75</v>
      </c>
      <c r="G111" s="1">
        <v>75</v>
      </c>
      <c r="H111" s="5">
        <v>12500</v>
      </c>
      <c r="I111" s="96">
        <f t="shared" si="2"/>
        <v>7875</v>
      </c>
    </row>
    <row r="112" spans="1:9" ht="18" customHeight="1" x14ac:dyDescent="0.35">
      <c r="A112" s="6">
        <v>55</v>
      </c>
      <c r="B112" s="4" t="s">
        <v>210</v>
      </c>
      <c r="C112" s="20" t="s">
        <v>211</v>
      </c>
      <c r="D112" s="301"/>
      <c r="E112" s="301"/>
      <c r="F112" s="1">
        <v>65</v>
      </c>
      <c r="G112" s="1">
        <v>50</v>
      </c>
      <c r="H112" s="5">
        <v>12200</v>
      </c>
      <c r="I112" s="96">
        <f t="shared" si="2"/>
        <v>7686</v>
      </c>
    </row>
    <row r="113" spans="1:9" ht="18" customHeight="1" x14ac:dyDescent="0.35">
      <c r="A113" s="6">
        <v>56</v>
      </c>
      <c r="B113" s="4" t="s">
        <v>212</v>
      </c>
      <c r="C113" s="20" t="s">
        <v>213</v>
      </c>
      <c r="D113" s="301"/>
      <c r="E113" s="301"/>
      <c r="F113" s="1">
        <v>50</v>
      </c>
      <c r="G113" s="1">
        <v>50</v>
      </c>
      <c r="H113" s="5">
        <v>12200</v>
      </c>
      <c r="I113" s="96">
        <f t="shared" si="2"/>
        <v>7686</v>
      </c>
    </row>
    <row r="114" spans="1:9" ht="18" customHeight="1" x14ac:dyDescent="0.35">
      <c r="A114" s="300" t="s">
        <v>214</v>
      </c>
      <c r="B114" s="300"/>
      <c r="C114" s="300"/>
      <c r="D114" s="300"/>
      <c r="E114" s="300"/>
      <c r="F114" s="300"/>
      <c r="G114" s="300"/>
      <c r="H114" s="287" t="s">
        <v>109</v>
      </c>
      <c r="I114" s="315" t="s">
        <v>498</v>
      </c>
    </row>
    <row r="115" spans="1:9" ht="18" customHeight="1" x14ac:dyDescent="0.35">
      <c r="A115" s="287" t="s">
        <v>2</v>
      </c>
      <c r="B115" s="287" t="s">
        <v>3</v>
      </c>
      <c r="C115" s="298" t="s">
        <v>4</v>
      </c>
      <c r="D115" s="287" t="s">
        <v>5</v>
      </c>
      <c r="E115" s="287"/>
      <c r="F115" s="287" t="s">
        <v>6</v>
      </c>
      <c r="G115" s="287"/>
      <c r="H115" s="287"/>
      <c r="I115" s="315"/>
    </row>
    <row r="116" spans="1:9" ht="18" customHeight="1" x14ac:dyDescent="0.35">
      <c r="A116" s="287"/>
      <c r="B116" s="287"/>
      <c r="C116" s="298"/>
      <c r="D116" s="11" t="s">
        <v>9</v>
      </c>
      <c r="E116" s="11" t="s">
        <v>10</v>
      </c>
      <c r="F116" s="11" t="s">
        <v>11</v>
      </c>
      <c r="G116" s="11" t="s">
        <v>12</v>
      </c>
      <c r="H116" s="287"/>
      <c r="I116" s="315"/>
    </row>
    <row r="117" spans="1:9" ht="18" customHeight="1" x14ac:dyDescent="0.35">
      <c r="A117" s="4">
        <v>1</v>
      </c>
      <c r="B117" s="4" t="s">
        <v>215</v>
      </c>
      <c r="C117" s="12" t="s">
        <v>216</v>
      </c>
      <c r="D117" s="2">
        <v>0.5</v>
      </c>
      <c r="E117" s="2">
        <v>0.37</v>
      </c>
      <c r="F117" s="2">
        <v>25</v>
      </c>
      <c r="G117" s="2">
        <v>25</v>
      </c>
      <c r="H117" s="13">
        <v>5370</v>
      </c>
      <c r="I117" s="96">
        <f t="shared" ref="I117:I128" si="3">H117*0.63</f>
        <v>3383.1</v>
      </c>
    </row>
    <row r="118" spans="1:9" ht="18" customHeight="1" x14ac:dyDescent="0.35">
      <c r="A118" s="4">
        <v>2</v>
      </c>
      <c r="B118" s="4" t="s">
        <v>217</v>
      </c>
      <c r="C118" s="12" t="s">
        <v>218</v>
      </c>
      <c r="D118" s="2">
        <v>1</v>
      </c>
      <c r="E118" s="2">
        <v>0.75</v>
      </c>
      <c r="F118" s="2">
        <v>25</v>
      </c>
      <c r="G118" s="2">
        <v>25</v>
      </c>
      <c r="H118" s="13">
        <v>7070</v>
      </c>
      <c r="I118" s="96">
        <f t="shared" si="3"/>
        <v>4454.1000000000004</v>
      </c>
    </row>
    <row r="119" spans="1:9" ht="18" customHeight="1" x14ac:dyDescent="0.35">
      <c r="A119" s="4">
        <v>3</v>
      </c>
      <c r="B119" s="21" t="s">
        <v>219</v>
      </c>
      <c r="C119" s="22" t="s">
        <v>220</v>
      </c>
      <c r="D119" s="23">
        <v>2</v>
      </c>
      <c r="E119" s="4">
        <v>1.5</v>
      </c>
      <c r="F119" s="4">
        <v>50</v>
      </c>
      <c r="G119" s="4">
        <v>50</v>
      </c>
      <c r="H119" s="4">
        <v>12200</v>
      </c>
      <c r="I119" s="96">
        <f t="shared" si="3"/>
        <v>7686</v>
      </c>
    </row>
    <row r="120" spans="1:9" ht="18" customHeight="1" x14ac:dyDescent="0.35">
      <c r="A120" s="4">
        <v>4</v>
      </c>
      <c r="B120" s="21" t="s">
        <v>221</v>
      </c>
      <c r="C120" s="22" t="s">
        <v>222</v>
      </c>
      <c r="D120" s="23">
        <v>2</v>
      </c>
      <c r="E120" s="4">
        <v>1.5</v>
      </c>
      <c r="F120" s="4">
        <v>50</v>
      </c>
      <c r="G120" s="4">
        <v>50</v>
      </c>
      <c r="H120" s="4">
        <v>12200</v>
      </c>
      <c r="I120" s="96">
        <f t="shared" si="3"/>
        <v>7686</v>
      </c>
    </row>
    <row r="121" spans="1:9" ht="18" customHeight="1" x14ac:dyDescent="0.35">
      <c r="A121" s="4">
        <v>5</v>
      </c>
      <c r="B121" s="21" t="s">
        <v>223</v>
      </c>
      <c r="C121" s="22" t="s">
        <v>224</v>
      </c>
      <c r="D121" s="23">
        <v>2</v>
      </c>
      <c r="E121" s="4">
        <v>1.5</v>
      </c>
      <c r="F121" s="4">
        <v>65</v>
      </c>
      <c r="G121" s="4">
        <v>50</v>
      </c>
      <c r="H121" s="4">
        <v>12300</v>
      </c>
      <c r="I121" s="96">
        <f t="shared" si="3"/>
        <v>7749</v>
      </c>
    </row>
    <row r="122" spans="1:9" ht="18" customHeight="1" x14ac:dyDescent="0.35">
      <c r="A122" s="4">
        <v>6</v>
      </c>
      <c r="B122" s="21" t="s">
        <v>225</v>
      </c>
      <c r="C122" s="22" t="s">
        <v>226</v>
      </c>
      <c r="D122" s="23">
        <v>2</v>
      </c>
      <c r="E122" s="4">
        <v>1.5</v>
      </c>
      <c r="F122" s="4">
        <v>65</v>
      </c>
      <c r="G122" s="4">
        <v>50</v>
      </c>
      <c r="H122" s="4">
        <v>12300</v>
      </c>
      <c r="I122" s="96">
        <f t="shared" si="3"/>
        <v>7749</v>
      </c>
    </row>
    <row r="123" spans="1:9" ht="18" customHeight="1" x14ac:dyDescent="0.35">
      <c r="A123" s="4">
        <v>7</v>
      </c>
      <c r="B123" s="21" t="s">
        <v>227</v>
      </c>
      <c r="C123" s="22" t="s">
        <v>228</v>
      </c>
      <c r="D123" s="21">
        <v>3</v>
      </c>
      <c r="E123" s="4">
        <v>2.25</v>
      </c>
      <c r="F123" s="4">
        <v>65</v>
      </c>
      <c r="G123" s="4">
        <v>50</v>
      </c>
      <c r="H123" s="4">
        <v>12900</v>
      </c>
      <c r="I123" s="96">
        <f t="shared" si="3"/>
        <v>8127</v>
      </c>
    </row>
    <row r="124" spans="1:9" ht="18" customHeight="1" x14ac:dyDescent="0.35">
      <c r="A124" s="4">
        <v>8</v>
      </c>
      <c r="B124" s="21" t="s">
        <v>229</v>
      </c>
      <c r="C124" s="24" t="s">
        <v>230</v>
      </c>
      <c r="D124" s="21">
        <v>3</v>
      </c>
      <c r="E124" s="4">
        <v>2.25</v>
      </c>
      <c r="F124" s="4">
        <v>65</v>
      </c>
      <c r="G124" s="4">
        <v>50</v>
      </c>
      <c r="H124" s="4">
        <v>13000</v>
      </c>
      <c r="I124" s="96">
        <f t="shared" si="3"/>
        <v>8190</v>
      </c>
    </row>
    <row r="125" spans="1:9" ht="18" customHeight="1" x14ac:dyDescent="0.35">
      <c r="A125" s="4">
        <v>9</v>
      </c>
      <c r="B125" s="21" t="s">
        <v>231</v>
      </c>
      <c r="C125" s="24" t="s">
        <v>232</v>
      </c>
      <c r="D125" s="21">
        <v>3</v>
      </c>
      <c r="E125" s="4">
        <v>2.25</v>
      </c>
      <c r="F125" s="4">
        <v>65</v>
      </c>
      <c r="G125" s="4">
        <v>50</v>
      </c>
      <c r="H125" s="4">
        <v>12900</v>
      </c>
      <c r="I125" s="96">
        <f t="shared" si="3"/>
        <v>8127</v>
      </c>
    </row>
    <row r="126" spans="1:9" ht="18" customHeight="1" x14ac:dyDescent="0.35">
      <c r="A126" s="4">
        <v>10</v>
      </c>
      <c r="B126" s="21" t="s">
        <v>233</v>
      </c>
      <c r="C126" s="24" t="s">
        <v>234</v>
      </c>
      <c r="D126" s="21">
        <v>3</v>
      </c>
      <c r="E126" s="4">
        <v>2.25</v>
      </c>
      <c r="F126" s="4">
        <v>65</v>
      </c>
      <c r="G126" s="4">
        <v>50</v>
      </c>
      <c r="H126" s="4">
        <v>19300</v>
      </c>
      <c r="I126" s="96">
        <f t="shared" si="3"/>
        <v>12159</v>
      </c>
    </row>
    <row r="127" spans="1:9" ht="18" customHeight="1" x14ac:dyDescent="0.35">
      <c r="A127" s="4">
        <v>11</v>
      </c>
      <c r="B127" s="21" t="s">
        <v>235</v>
      </c>
      <c r="C127" s="24" t="s">
        <v>236</v>
      </c>
      <c r="D127" s="21">
        <v>5</v>
      </c>
      <c r="E127" s="1">
        <v>3.75</v>
      </c>
      <c r="F127" s="4">
        <v>65</v>
      </c>
      <c r="G127" s="4">
        <v>50</v>
      </c>
      <c r="H127" s="4">
        <v>18700</v>
      </c>
      <c r="I127" s="96">
        <f t="shared" si="3"/>
        <v>11781</v>
      </c>
    </row>
    <row r="128" spans="1:9" ht="18" customHeight="1" x14ac:dyDescent="0.35">
      <c r="A128" s="4">
        <v>12</v>
      </c>
      <c r="B128" s="21" t="s">
        <v>237</v>
      </c>
      <c r="C128" s="24" t="s">
        <v>238</v>
      </c>
      <c r="D128" s="21">
        <v>5</v>
      </c>
      <c r="E128" s="1">
        <v>3.75</v>
      </c>
      <c r="F128" s="4">
        <v>65</v>
      </c>
      <c r="G128" s="4">
        <v>50</v>
      </c>
      <c r="H128" s="4">
        <v>22900</v>
      </c>
      <c r="I128" s="96">
        <f t="shared" si="3"/>
        <v>14427</v>
      </c>
    </row>
    <row r="129" spans="1:9" ht="18" customHeight="1" x14ac:dyDescent="0.35">
      <c r="A129" s="300" t="s">
        <v>239</v>
      </c>
      <c r="B129" s="300"/>
      <c r="C129" s="300"/>
      <c r="D129" s="300"/>
      <c r="E129" s="300"/>
      <c r="F129" s="300"/>
      <c r="G129" s="300"/>
      <c r="H129" s="287" t="s">
        <v>109</v>
      </c>
      <c r="I129" s="315" t="s">
        <v>498</v>
      </c>
    </row>
    <row r="130" spans="1:9" ht="18" customHeight="1" x14ac:dyDescent="0.35">
      <c r="A130" s="287" t="s">
        <v>2</v>
      </c>
      <c r="B130" s="287" t="s">
        <v>3</v>
      </c>
      <c r="C130" s="298" t="s">
        <v>4</v>
      </c>
      <c r="D130" s="287" t="s">
        <v>5</v>
      </c>
      <c r="E130" s="287"/>
      <c r="F130" s="287" t="s">
        <v>6</v>
      </c>
      <c r="G130" s="287"/>
      <c r="H130" s="287"/>
      <c r="I130" s="315"/>
    </row>
    <row r="131" spans="1:9" ht="18" customHeight="1" x14ac:dyDescent="0.35">
      <c r="A131" s="287"/>
      <c r="B131" s="287"/>
      <c r="C131" s="298"/>
      <c r="D131" s="11" t="s">
        <v>9</v>
      </c>
      <c r="E131" s="11" t="s">
        <v>10</v>
      </c>
      <c r="F131" s="287"/>
      <c r="G131" s="287"/>
      <c r="H131" s="287"/>
      <c r="I131" s="315"/>
    </row>
    <row r="132" spans="1:9" ht="18" customHeight="1" x14ac:dyDescent="0.35">
      <c r="A132" s="4">
        <v>1</v>
      </c>
      <c r="B132" s="4" t="s">
        <v>240</v>
      </c>
      <c r="C132" s="25" t="s">
        <v>241</v>
      </c>
      <c r="D132" s="4">
        <v>0.5</v>
      </c>
      <c r="E132" s="4"/>
      <c r="F132" s="292">
        <v>32</v>
      </c>
      <c r="G132" s="292"/>
      <c r="H132" s="4">
        <v>8240</v>
      </c>
      <c r="I132" s="96">
        <f t="shared" ref="I132:I154" si="4">H132*0.63</f>
        <v>5191.2</v>
      </c>
    </row>
    <row r="133" spans="1:9" ht="18" customHeight="1" x14ac:dyDescent="0.35">
      <c r="A133" s="4">
        <v>2</v>
      </c>
      <c r="B133" s="4" t="s">
        <v>242</v>
      </c>
      <c r="C133" s="25" t="s">
        <v>243</v>
      </c>
      <c r="D133" s="4">
        <v>0.5</v>
      </c>
      <c r="E133" s="4"/>
      <c r="F133" s="292">
        <v>32</v>
      </c>
      <c r="G133" s="292"/>
      <c r="H133" s="4">
        <v>8450</v>
      </c>
      <c r="I133" s="96">
        <f t="shared" si="4"/>
        <v>5323.5</v>
      </c>
    </row>
    <row r="134" spans="1:9" ht="18" customHeight="1" x14ac:dyDescent="0.35">
      <c r="A134" s="4">
        <v>3</v>
      </c>
      <c r="B134" s="4" t="s">
        <v>244</v>
      </c>
      <c r="C134" s="25" t="s">
        <v>245</v>
      </c>
      <c r="D134" s="4">
        <v>0.75</v>
      </c>
      <c r="E134" s="4"/>
      <c r="F134" s="292">
        <v>32</v>
      </c>
      <c r="G134" s="292"/>
      <c r="H134" s="4">
        <v>8550</v>
      </c>
      <c r="I134" s="96">
        <f t="shared" si="4"/>
        <v>5386.5</v>
      </c>
    </row>
    <row r="135" spans="1:9" ht="18" customHeight="1" x14ac:dyDescent="0.35">
      <c r="A135" s="4">
        <v>4</v>
      </c>
      <c r="B135" s="4" t="s">
        <v>246</v>
      </c>
      <c r="C135" s="25" t="s">
        <v>247</v>
      </c>
      <c r="D135" s="4">
        <v>0.75</v>
      </c>
      <c r="E135" s="4"/>
      <c r="F135" s="292">
        <v>32</v>
      </c>
      <c r="G135" s="292"/>
      <c r="H135" s="4">
        <v>8750</v>
      </c>
      <c r="I135" s="96">
        <f t="shared" si="4"/>
        <v>5512.5</v>
      </c>
    </row>
    <row r="136" spans="1:9" ht="18" customHeight="1" x14ac:dyDescent="0.35">
      <c r="A136" s="4">
        <v>5</v>
      </c>
      <c r="B136" s="4" t="s">
        <v>248</v>
      </c>
      <c r="C136" s="25" t="s">
        <v>249</v>
      </c>
      <c r="D136" s="4">
        <v>1</v>
      </c>
      <c r="E136" s="4"/>
      <c r="F136" s="292">
        <v>32</v>
      </c>
      <c r="G136" s="292"/>
      <c r="H136" s="26">
        <v>8800</v>
      </c>
      <c r="I136" s="96">
        <f t="shared" si="4"/>
        <v>5544</v>
      </c>
    </row>
    <row r="137" spans="1:9" ht="18" customHeight="1" x14ac:dyDescent="0.35">
      <c r="A137" s="4">
        <v>6</v>
      </c>
      <c r="B137" s="4" t="s">
        <v>250</v>
      </c>
      <c r="C137" s="25" t="s">
        <v>251</v>
      </c>
      <c r="D137" s="4">
        <v>1</v>
      </c>
      <c r="E137" s="4"/>
      <c r="F137" s="292">
        <v>32</v>
      </c>
      <c r="G137" s="292"/>
      <c r="H137" s="26">
        <v>9000</v>
      </c>
      <c r="I137" s="96">
        <f t="shared" si="4"/>
        <v>5670</v>
      </c>
    </row>
    <row r="138" spans="1:9" ht="18" customHeight="1" x14ac:dyDescent="0.35">
      <c r="A138" s="4">
        <v>7</v>
      </c>
      <c r="B138" s="4" t="s">
        <v>252</v>
      </c>
      <c r="C138" s="25" t="s">
        <v>253</v>
      </c>
      <c r="D138" s="4">
        <v>1</v>
      </c>
      <c r="E138" s="4"/>
      <c r="F138" s="292">
        <v>32</v>
      </c>
      <c r="G138" s="292"/>
      <c r="H138" s="4">
        <v>9480</v>
      </c>
      <c r="I138" s="96">
        <f t="shared" si="4"/>
        <v>5972.4</v>
      </c>
    </row>
    <row r="139" spans="1:9" ht="18" customHeight="1" x14ac:dyDescent="0.35">
      <c r="A139" s="4">
        <v>8</v>
      </c>
      <c r="B139" s="4" t="s">
        <v>254</v>
      </c>
      <c r="C139" s="25" t="s">
        <v>255</v>
      </c>
      <c r="D139" s="4">
        <v>1</v>
      </c>
      <c r="E139" s="4"/>
      <c r="F139" s="292">
        <v>32</v>
      </c>
      <c r="G139" s="292"/>
      <c r="H139" s="4">
        <v>9790</v>
      </c>
      <c r="I139" s="96">
        <f t="shared" si="4"/>
        <v>6167.7</v>
      </c>
    </row>
    <row r="140" spans="1:9" ht="18" customHeight="1" x14ac:dyDescent="0.35">
      <c r="A140" s="4">
        <v>9</v>
      </c>
      <c r="B140" s="4" t="s">
        <v>256</v>
      </c>
      <c r="C140" s="25" t="s">
        <v>257</v>
      </c>
      <c r="D140" s="4">
        <v>1.5</v>
      </c>
      <c r="E140" s="4"/>
      <c r="F140" s="292">
        <v>32</v>
      </c>
      <c r="G140" s="292"/>
      <c r="H140" s="4">
        <v>11330</v>
      </c>
      <c r="I140" s="96">
        <f t="shared" si="4"/>
        <v>7137.9</v>
      </c>
    </row>
    <row r="141" spans="1:9" ht="18" customHeight="1" x14ac:dyDescent="0.35">
      <c r="A141" s="4">
        <v>10</v>
      </c>
      <c r="B141" s="4" t="s">
        <v>258</v>
      </c>
      <c r="C141" s="25" t="s">
        <v>259</v>
      </c>
      <c r="D141" s="4">
        <v>1.5</v>
      </c>
      <c r="E141" s="4"/>
      <c r="F141" s="292">
        <v>32</v>
      </c>
      <c r="G141" s="292"/>
      <c r="H141" s="4">
        <v>11640</v>
      </c>
      <c r="I141" s="96">
        <f t="shared" si="4"/>
        <v>7333.2</v>
      </c>
    </row>
    <row r="142" spans="1:9" ht="18" customHeight="1" x14ac:dyDescent="0.35">
      <c r="A142" s="4">
        <v>11</v>
      </c>
      <c r="B142" s="4" t="s">
        <v>260</v>
      </c>
      <c r="C142" s="25" t="s">
        <v>261</v>
      </c>
      <c r="D142" s="4">
        <v>1.5</v>
      </c>
      <c r="E142" s="4"/>
      <c r="F142" s="292">
        <v>32</v>
      </c>
      <c r="G142" s="292"/>
      <c r="H142" s="4">
        <v>11800</v>
      </c>
      <c r="I142" s="96">
        <f t="shared" si="4"/>
        <v>7434</v>
      </c>
    </row>
    <row r="143" spans="1:9" ht="18" customHeight="1" x14ac:dyDescent="0.35">
      <c r="A143" s="4">
        <v>12</v>
      </c>
      <c r="B143" s="4" t="s">
        <v>262</v>
      </c>
      <c r="C143" s="25" t="s">
        <v>263</v>
      </c>
      <c r="D143" s="4">
        <v>1.5</v>
      </c>
      <c r="E143" s="4"/>
      <c r="F143" s="292">
        <v>32</v>
      </c>
      <c r="G143" s="292"/>
      <c r="H143" s="4">
        <v>12670</v>
      </c>
      <c r="I143" s="96">
        <f t="shared" si="4"/>
        <v>7982.1</v>
      </c>
    </row>
    <row r="144" spans="1:9" ht="18" customHeight="1" x14ac:dyDescent="0.35">
      <c r="A144" s="4">
        <v>13</v>
      </c>
      <c r="B144" s="4" t="s">
        <v>264</v>
      </c>
      <c r="C144" s="25" t="s">
        <v>265</v>
      </c>
      <c r="D144" s="4">
        <v>2</v>
      </c>
      <c r="E144" s="4"/>
      <c r="F144" s="292">
        <v>40</v>
      </c>
      <c r="G144" s="292"/>
      <c r="H144" s="4">
        <v>14730</v>
      </c>
      <c r="I144" s="96">
        <f t="shared" si="4"/>
        <v>9279.9</v>
      </c>
    </row>
    <row r="145" spans="1:9" ht="18" customHeight="1" x14ac:dyDescent="0.35">
      <c r="A145" s="4">
        <v>14</v>
      </c>
      <c r="B145" s="4" t="s">
        <v>266</v>
      </c>
      <c r="C145" s="25" t="s">
        <v>267</v>
      </c>
      <c r="D145" s="4">
        <v>2</v>
      </c>
      <c r="E145" s="4"/>
      <c r="F145" s="292">
        <v>32</v>
      </c>
      <c r="G145" s="292"/>
      <c r="H145" s="4">
        <v>15250</v>
      </c>
      <c r="I145" s="96">
        <f t="shared" si="4"/>
        <v>9607.5</v>
      </c>
    </row>
    <row r="146" spans="1:9" ht="18" customHeight="1" x14ac:dyDescent="0.35">
      <c r="A146" s="4">
        <v>15</v>
      </c>
      <c r="B146" s="4" t="s">
        <v>268</v>
      </c>
      <c r="C146" s="25" t="s">
        <v>269</v>
      </c>
      <c r="D146" s="4">
        <v>2</v>
      </c>
      <c r="E146" s="4"/>
      <c r="F146" s="292">
        <v>32</v>
      </c>
      <c r="G146" s="292"/>
      <c r="H146" s="4">
        <v>15860</v>
      </c>
      <c r="I146" s="96">
        <f t="shared" si="4"/>
        <v>9991.7999999999993</v>
      </c>
    </row>
    <row r="147" spans="1:9" ht="18" customHeight="1" x14ac:dyDescent="0.35">
      <c r="A147" s="4">
        <v>16</v>
      </c>
      <c r="B147" s="4" t="s">
        <v>270</v>
      </c>
      <c r="C147" s="25" t="s">
        <v>271</v>
      </c>
      <c r="D147" s="4">
        <v>2</v>
      </c>
      <c r="E147" s="4"/>
      <c r="F147" s="292">
        <v>32</v>
      </c>
      <c r="G147" s="292"/>
      <c r="H147" s="4">
        <v>15970</v>
      </c>
      <c r="I147" s="96">
        <f t="shared" si="4"/>
        <v>10061.1</v>
      </c>
    </row>
    <row r="148" spans="1:9" ht="18" customHeight="1" x14ac:dyDescent="0.35">
      <c r="A148" s="4">
        <v>17</v>
      </c>
      <c r="B148" s="4" t="s">
        <v>272</v>
      </c>
      <c r="C148" s="25" t="s">
        <v>273</v>
      </c>
      <c r="D148" s="4">
        <v>2</v>
      </c>
      <c r="E148" s="4"/>
      <c r="F148" s="292">
        <v>32</v>
      </c>
      <c r="G148" s="292"/>
      <c r="H148" s="4">
        <v>16480</v>
      </c>
      <c r="I148" s="96">
        <f t="shared" si="4"/>
        <v>10382.4</v>
      </c>
    </row>
    <row r="149" spans="1:9" ht="18" customHeight="1" x14ac:dyDescent="0.35">
      <c r="A149" s="4">
        <v>18</v>
      </c>
      <c r="B149" s="4" t="s">
        <v>274</v>
      </c>
      <c r="C149" s="25" t="s">
        <v>275</v>
      </c>
      <c r="D149" s="4">
        <v>2</v>
      </c>
      <c r="E149" s="4"/>
      <c r="F149" s="292">
        <v>65</v>
      </c>
      <c r="G149" s="292"/>
      <c r="H149" s="4">
        <v>14940</v>
      </c>
      <c r="I149" s="96">
        <f t="shared" si="4"/>
        <v>9412.2000000000007</v>
      </c>
    </row>
    <row r="150" spans="1:9" ht="18" customHeight="1" x14ac:dyDescent="0.35">
      <c r="A150" s="4">
        <v>19</v>
      </c>
      <c r="B150" s="4" t="s">
        <v>276</v>
      </c>
      <c r="C150" s="25" t="s">
        <v>277</v>
      </c>
      <c r="D150" s="4">
        <v>3</v>
      </c>
      <c r="E150" s="4"/>
      <c r="F150" s="292">
        <v>32</v>
      </c>
      <c r="G150" s="292"/>
      <c r="H150" s="4">
        <v>23500</v>
      </c>
      <c r="I150" s="96">
        <f t="shared" si="4"/>
        <v>14805</v>
      </c>
    </row>
    <row r="151" spans="1:9" ht="18" customHeight="1" x14ac:dyDescent="0.35">
      <c r="A151" s="4">
        <v>20</v>
      </c>
      <c r="B151" s="4" t="s">
        <v>278</v>
      </c>
      <c r="C151" s="25" t="s">
        <v>279</v>
      </c>
      <c r="D151" s="4">
        <v>3</v>
      </c>
      <c r="E151" s="4"/>
      <c r="F151" s="292">
        <v>32</v>
      </c>
      <c r="G151" s="292"/>
      <c r="H151" s="4">
        <v>24000</v>
      </c>
      <c r="I151" s="96">
        <f t="shared" si="4"/>
        <v>15120</v>
      </c>
    </row>
    <row r="152" spans="1:9" ht="18" customHeight="1" x14ac:dyDescent="0.35">
      <c r="A152" s="4">
        <v>21</v>
      </c>
      <c r="B152" s="4" t="s">
        <v>280</v>
      </c>
      <c r="C152" s="25" t="s">
        <v>281</v>
      </c>
      <c r="D152" s="4">
        <v>3</v>
      </c>
      <c r="E152" s="4"/>
      <c r="F152" s="292">
        <v>32</v>
      </c>
      <c r="G152" s="292"/>
      <c r="H152" s="4">
        <v>24500</v>
      </c>
      <c r="I152" s="96">
        <f t="shared" si="4"/>
        <v>15435</v>
      </c>
    </row>
    <row r="153" spans="1:9" ht="18" customHeight="1" x14ac:dyDescent="0.35">
      <c r="A153" s="4">
        <v>22</v>
      </c>
      <c r="B153" s="4" t="s">
        <v>282</v>
      </c>
      <c r="C153" s="25" t="s">
        <v>283</v>
      </c>
      <c r="D153" s="4">
        <v>3</v>
      </c>
      <c r="E153" s="4"/>
      <c r="F153" s="292">
        <v>65</v>
      </c>
      <c r="G153" s="292"/>
      <c r="H153" s="4">
        <v>23690</v>
      </c>
      <c r="I153" s="96">
        <f t="shared" si="4"/>
        <v>14924.7</v>
      </c>
    </row>
    <row r="154" spans="1:9" ht="18" customHeight="1" x14ac:dyDescent="0.35">
      <c r="A154" s="4">
        <v>23</v>
      </c>
      <c r="B154" s="4" t="s">
        <v>284</v>
      </c>
      <c r="C154" s="25" t="s">
        <v>283</v>
      </c>
      <c r="D154" s="4">
        <v>3</v>
      </c>
      <c r="E154" s="4"/>
      <c r="F154" s="292">
        <v>65</v>
      </c>
      <c r="G154" s="292"/>
      <c r="H154" s="4">
        <v>15450</v>
      </c>
      <c r="I154" s="96">
        <f t="shared" si="4"/>
        <v>9733.5</v>
      </c>
    </row>
    <row r="155" spans="1:9" ht="18" customHeight="1" x14ac:dyDescent="0.35">
      <c r="A155" s="300" t="s">
        <v>285</v>
      </c>
      <c r="B155" s="300"/>
      <c r="C155" s="300"/>
      <c r="D155" s="300"/>
      <c r="E155" s="300"/>
      <c r="F155" s="300"/>
      <c r="G155" s="300"/>
      <c r="H155" s="287" t="s">
        <v>109</v>
      </c>
      <c r="I155" s="315" t="s">
        <v>498</v>
      </c>
    </row>
    <row r="156" spans="1:9" ht="18" customHeight="1" x14ac:dyDescent="0.35">
      <c r="A156" s="287" t="s">
        <v>2</v>
      </c>
      <c r="B156" s="287" t="s">
        <v>3</v>
      </c>
      <c r="C156" s="298" t="s">
        <v>4</v>
      </c>
      <c r="D156" s="287" t="s">
        <v>5</v>
      </c>
      <c r="E156" s="287"/>
      <c r="F156" s="287" t="s">
        <v>6</v>
      </c>
      <c r="G156" s="287"/>
      <c r="H156" s="287"/>
      <c r="I156" s="315"/>
    </row>
    <row r="157" spans="1:9" ht="18" customHeight="1" x14ac:dyDescent="0.35">
      <c r="A157" s="287"/>
      <c r="B157" s="287"/>
      <c r="C157" s="298"/>
      <c r="D157" s="11" t="s">
        <v>9</v>
      </c>
      <c r="E157" s="11" t="s">
        <v>10</v>
      </c>
      <c r="F157" s="11" t="s">
        <v>11</v>
      </c>
      <c r="G157" s="11" t="s">
        <v>12</v>
      </c>
      <c r="H157" s="287"/>
      <c r="I157" s="315"/>
    </row>
    <row r="158" spans="1:9" ht="18" customHeight="1" x14ac:dyDescent="0.35">
      <c r="A158" s="4">
        <v>1</v>
      </c>
      <c r="B158" s="4" t="s">
        <v>286</v>
      </c>
      <c r="C158" s="25" t="s">
        <v>287</v>
      </c>
      <c r="D158" s="4">
        <v>0.5</v>
      </c>
      <c r="E158" s="4"/>
      <c r="F158" s="292">
        <v>32</v>
      </c>
      <c r="G158" s="292"/>
      <c r="H158" s="4">
        <v>6800</v>
      </c>
      <c r="I158" s="96">
        <f t="shared" ref="I158:I172" si="5">H158*0.63</f>
        <v>4284</v>
      </c>
    </row>
    <row r="159" spans="1:9" ht="18" customHeight="1" x14ac:dyDescent="0.35">
      <c r="A159" s="4">
        <v>2</v>
      </c>
      <c r="B159" s="4" t="s">
        <v>288</v>
      </c>
      <c r="C159" s="25" t="s">
        <v>289</v>
      </c>
      <c r="D159" s="4">
        <v>0.5</v>
      </c>
      <c r="E159" s="4"/>
      <c r="F159" s="292">
        <v>32</v>
      </c>
      <c r="G159" s="292"/>
      <c r="H159" s="4">
        <v>7600</v>
      </c>
      <c r="I159" s="96">
        <f t="shared" si="5"/>
        <v>4788</v>
      </c>
    </row>
    <row r="160" spans="1:9" ht="18" customHeight="1" x14ac:dyDescent="0.35">
      <c r="A160" s="4">
        <v>3</v>
      </c>
      <c r="B160" s="4" t="s">
        <v>290</v>
      </c>
      <c r="C160" s="25" t="s">
        <v>291</v>
      </c>
      <c r="D160" s="4">
        <v>0.75</v>
      </c>
      <c r="E160" s="4"/>
      <c r="F160" s="292">
        <v>32</v>
      </c>
      <c r="G160" s="292"/>
      <c r="H160" s="4">
        <v>7800</v>
      </c>
      <c r="I160" s="96">
        <f t="shared" si="5"/>
        <v>4914</v>
      </c>
    </row>
    <row r="161" spans="1:9" ht="18" customHeight="1" x14ac:dyDescent="0.35">
      <c r="A161" s="4">
        <v>4</v>
      </c>
      <c r="B161" s="4" t="s">
        <v>292</v>
      </c>
      <c r="C161" s="25" t="s">
        <v>293</v>
      </c>
      <c r="D161" s="4">
        <v>0.75</v>
      </c>
      <c r="E161" s="4"/>
      <c r="F161" s="292">
        <v>32</v>
      </c>
      <c r="G161" s="292"/>
      <c r="H161" s="4">
        <v>8000</v>
      </c>
      <c r="I161" s="96">
        <f t="shared" si="5"/>
        <v>5040</v>
      </c>
    </row>
    <row r="162" spans="1:9" ht="18" customHeight="1" x14ac:dyDescent="0.35">
      <c r="A162" s="4">
        <v>5</v>
      </c>
      <c r="B162" s="4" t="s">
        <v>294</v>
      </c>
      <c r="C162" s="25" t="s">
        <v>295</v>
      </c>
      <c r="D162" s="4">
        <v>1</v>
      </c>
      <c r="E162" s="4"/>
      <c r="F162" s="292">
        <v>32</v>
      </c>
      <c r="G162" s="292"/>
      <c r="H162" s="4">
        <v>8200</v>
      </c>
      <c r="I162" s="96">
        <f t="shared" si="5"/>
        <v>5166</v>
      </c>
    </row>
    <row r="163" spans="1:9" ht="18" customHeight="1" x14ac:dyDescent="0.35">
      <c r="A163" s="4">
        <v>6</v>
      </c>
      <c r="B163" s="4" t="s">
        <v>296</v>
      </c>
      <c r="C163" s="25" t="s">
        <v>297</v>
      </c>
      <c r="D163" s="4">
        <v>1</v>
      </c>
      <c r="E163" s="4"/>
      <c r="F163" s="292">
        <v>32</v>
      </c>
      <c r="G163" s="292"/>
      <c r="H163" s="4">
        <v>8400</v>
      </c>
      <c r="I163" s="96">
        <f t="shared" si="5"/>
        <v>5292</v>
      </c>
    </row>
    <row r="164" spans="1:9" ht="18" customHeight="1" x14ac:dyDescent="0.35">
      <c r="A164" s="4">
        <v>7</v>
      </c>
      <c r="B164" s="4" t="s">
        <v>298</v>
      </c>
      <c r="C164" s="25" t="s">
        <v>299</v>
      </c>
      <c r="D164" s="4">
        <v>1</v>
      </c>
      <c r="E164" s="4"/>
      <c r="F164" s="292">
        <v>32</v>
      </c>
      <c r="G164" s="292"/>
      <c r="H164" s="4">
        <v>8600</v>
      </c>
      <c r="I164" s="96">
        <f t="shared" si="5"/>
        <v>5418</v>
      </c>
    </row>
    <row r="165" spans="1:9" ht="18" customHeight="1" x14ac:dyDescent="0.35">
      <c r="A165" s="4">
        <v>8</v>
      </c>
      <c r="B165" s="4" t="s">
        <v>300</v>
      </c>
      <c r="C165" s="25" t="s">
        <v>301</v>
      </c>
      <c r="D165" s="4">
        <v>1.5</v>
      </c>
      <c r="E165" s="4"/>
      <c r="F165" s="292">
        <v>32</v>
      </c>
      <c r="G165" s="292"/>
      <c r="H165" s="4">
        <v>9000</v>
      </c>
      <c r="I165" s="96">
        <f t="shared" si="5"/>
        <v>5670</v>
      </c>
    </row>
    <row r="166" spans="1:9" ht="18" customHeight="1" x14ac:dyDescent="0.35">
      <c r="A166" s="4">
        <v>9</v>
      </c>
      <c r="B166" s="4" t="s">
        <v>302</v>
      </c>
      <c r="C166" s="25" t="s">
        <v>303</v>
      </c>
      <c r="D166" s="4">
        <v>1.5</v>
      </c>
      <c r="E166" s="4"/>
      <c r="F166" s="292">
        <v>32</v>
      </c>
      <c r="G166" s="292"/>
      <c r="H166" s="4">
        <v>10600</v>
      </c>
      <c r="I166" s="96">
        <f t="shared" si="5"/>
        <v>6678</v>
      </c>
    </row>
    <row r="167" spans="1:9" ht="18" customHeight="1" x14ac:dyDescent="0.35">
      <c r="A167" s="4">
        <v>10</v>
      </c>
      <c r="B167" s="4" t="s">
        <v>304</v>
      </c>
      <c r="C167" s="25" t="s">
        <v>305</v>
      </c>
      <c r="D167" s="4">
        <v>1.5</v>
      </c>
      <c r="E167" s="4"/>
      <c r="F167" s="292">
        <v>32</v>
      </c>
      <c r="G167" s="292"/>
      <c r="H167" s="4">
        <v>11000</v>
      </c>
      <c r="I167" s="96">
        <f t="shared" si="5"/>
        <v>6930</v>
      </c>
    </row>
    <row r="168" spans="1:9" ht="18" customHeight="1" x14ac:dyDescent="0.35">
      <c r="A168" s="4">
        <v>11</v>
      </c>
      <c r="B168" s="4" t="s">
        <v>306</v>
      </c>
      <c r="C168" s="25" t="s">
        <v>307</v>
      </c>
      <c r="D168" s="4">
        <v>2</v>
      </c>
      <c r="E168" s="4"/>
      <c r="F168" s="292">
        <v>32</v>
      </c>
      <c r="G168" s="292"/>
      <c r="H168" s="4">
        <v>13000</v>
      </c>
      <c r="I168" s="96">
        <f t="shared" si="5"/>
        <v>8190</v>
      </c>
    </row>
    <row r="169" spans="1:9" ht="18" customHeight="1" x14ac:dyDescent="0.35">
      <c r="A169" s="4">
        <v>12</v>
      </c>
      <c r="B169" s="4" t="s">
        <v>308</v>
      </c>
      <c r="C169" s="25" t="s">
        <v>309</v>
      </c>
      <c r="D169" s="4">
        <v>2</v>
      </c>
      <c r="E169" s="4"/>
      <c r="F169" s="292">
        <v>32</v>
      </c>
      <c r="G169" s="292"/>
      <c r="H169" s="4">
        <v>15500</v>
      </c>
      <c r="I169" s="96">
        <f t="shared" si="5"/>
        <v>9765</v>
      </c>
    </row>
    <row r="170" spans="1:9" ht="18" customHeight="1" x14ac:dyDescent="0.35">
      <c r="A170" s="4">
        <v>13</v>
      </c>
      <c r="B170" s="4" t="s">
        <v>310</v>
      </c>
      <c r="C170" s="25" t="s">
        <v>311</v>
      </c>
      <c r="D170" s="4">
        <v>3</v>
      </c>
      <c r="E170" s="4"/>
      <c r="F170" s="292">
        <v>32</v>
      </c>
      <c r="G170" s="292"/>
      <c r="H170" s="4">
        <v>19000</v>
      </c>
      <c r="I170" s="96">
        <f t="shared" si="5"/>
        <v>11970</v>
      </c>
    </row>
    <row r="171" spans="1:9" ht="18" customHeight="1" x14ac:dyDescent="0.35">
      <c r="A171" s="4">
        <v>14</v>
      </c>
      <c r="B171" s="4" t="s">
        <v>312</v>
      </c>
      <c r="C171" s="25" t="s">
        <v>313</v>
      </c>
      <c r="D171" s="4">
        <v>3</v>
      </c>
      <c r="E171" s="4"/>
      <c r="F171" s="292">
        <v>32</v>
      </c>
      <c r="G171" s="292"/>
      <c r="H171" s="4">
        <v>20000</v>
      </c>
      <c r="I171" s="96">
        <f t="shared" si="5"/>
        <v>12600</v>
      </c>
    </row>
    <row r="172" spans="1:9" ht="18" customHeight="1" x14ac:dyDescent="0.35">
      <c r="A172" s="4">
        <v>15</v>
      </c>
      <c r="B172" s="4" t="s">
        <v>314</v>
      </c>
      <c r="C172" s="25" t="s">
        <v>315</v>
      </c>
      <c r="D172" s="4">
        <v>3</v>
      </c>
      <c r="E172" s="4"/>
      <c r="F172" s="292">
        <v>32</v>
      </c>
      <c r="G172" s="292"/>
      <c r="H172" s="4">
        <v>20500</v>
      </c>
      <c r="I172" s="96">
        <f t="shared" si="5"/>
        <v>12915</v>
      </c>
    </row>
  </sheetData>
  <mergeCells count="95">
    <mergeCell ref="A1:I3"/>
    <mergeCell ref="A4:I4"/>
    <mergeCell ref="A5:A6"/>
    <mergeCell ref="B5:B6"/>
    <mergeCell ref="C5:C6"/>
    <mergeCell ref="D5:E5"/>
    <mergeCell ref="F5:G5"/>
    <mergeCell ref="H5:H6"/>
    <mergeCell ref="I5:I6"/>
    <mergeCell ref="A55:G55"/>
    <mergeCell ref="H55:H57"/>
    <mergeCell ref="I55:I57"/>
    <mergeCell ref="A56:A57"/>
    <mergeCell ref="B56:B57"/>
    <mergeCell ref="C56:C57"/>
    <mergeCell ref="D56:E56"/>
    <mergeCell ref="F56:G56"/>
    <mergeCell ref="D58:D59"/>
    <mergeCell ref="E58:E59"/>
    <mergeCell ref="D61:D66"/>
    <mergeCell ref="E61:E66"/>
    <mergeCell ref="D67:D73"/>
    <mergeCell ref="E67:E73"/>
    <mergeCell ref="D74:D91"/>
    <mergeCell ref="E74:E91"/>
    <mergeCell ref="D92:D103"/>
    <mergeCell ref="E92:E103"/>
    <mergeCell ref="D104:D106"/>
    <mergeCell ref="E104:E106"/>
    <mergeCell ref="D108:D109"/>
    <mergeCell ref="E108:E109"/>
    <mergeCell ref="D110:D113"/>
    <mergeCell ref="E110:E113"/>
    <mergeCell ref="A114:G114"/>
    <mergeCell ref="I114:I116"/>
    <mergeCell ref="A115:A116"/>
    <mergeCell ref="B115:B116"/>
    <mergeCell ref="C115:C116"/>
    <mergeCell ref="D115:E115"/>
    <mergeCell ref="F115:G115"/>
    <mergeCell ref="H114:H116"/>
    <mergeCell ref="F137:G137"/>
    <mergeCell ref="A129:G129"/>
    <mergeCell ref="H129:H131"/>
    <mergeCell ref="I129:I131"/>
    <mergeCell ref="A130:A131"/>
    <mergeCell ref="B130:B131"/>
    <mergeCell ref="C130:C131"/>
    <mergeCell ref="D130:E130"/>
    <mergeCell ref="F130:G131"/>
    <mergeCell ref="F132:G132"/>
    <mergeCell ref="F133:G133"/>
    <mergeCell ref="F134:G134"/>
    <mergeCell ref="F135:G135"/>
    <mergeCell ref="F136:G136"/>
    <mergeCell ref="F149:G149"/>
    <mergeCell ref="F138:G138"/>
    <mergeCell ref="F139:G139"/>
    <mergeCell ref="F140:G140"/>
    <mergeCell ref="F141:G141"/>
    <mergeCell ref="F142:G142"/>
    <mergeCell ref="F143:G143"/>
    <mergeCell ref="F144:G144"/>
    <mergeCell ref="F145:G145"/>
    <mergeCell ref="F146:G146"/>
    <mergeCell ref="F147:G147"/>
    <mergeCell ref="F148:G148"/>
    <mergeCell ref="F150:G150"/>
    <mergeCell ref="F151:G151"/>
    <mergeCell ref="F152:G152"/>
    <mergeCell ref="F153:G153"/>
    <mergeCell ref="F154:G154"/>
    <mergeCell ref="F163:G163"/>
    <mergeCell ref="H155:H157"/>
    <mergeCell ref="I155:I157"/>
    <mergeCell ref="A156:A157"/>
    <mergeCell ref="B156:B157"/>
    <mergeCell ref="C156:C157"/>
    <mergeCell ref="D156:E156"/>
    <mergeCell ref="F156:G156"/>
    <mergeCell ref="A155:G155"/>
    <mergeCell ref="F158:G158"/>
    <mergeCell ref="F159:G159"/>
    <mergeCell ref="F160:G160"/>
    <mergeCell ref="F161:G161"/>
    <mergeCell ref="F162:G162"/>
    <mergeCell ref="F170:G170"/>
    <mergeCell ref="F171:G171"/>
    <mergeCell ref="F172:G172"/>
    <mergeCell ref="F164:G164"/>
    <mergeCell ref="F165:G165"/>
    <mergeCell ref="F166:G166"/>
    <mergeCell ref="F167:G167"/>
    <mergeCell ref="F168:G168"/>
    <mergeCell ref="F169:G169"/>
  </mergeCells>
  <conditionalFormatting sqref="B1:B172">
    <cfRule type="duplicateValues" dxfId="23" priority="1"/>
  </conditionalFormatting>
  <pageMargins left="0.7" right="0.7" top="0.75" bottom="0.75" header="0.3" footer="0.3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L172"/>
  <sheetViews>
    <sheetView topLeftCell="A103" workbookViewId="0">
      <selection activeCell="M118" sqref="M118"/>
    </sheetView>
  </sheetViews>
  <sheetFormatPr defaultRowHeight="19.5" customHeight="1" x14ac:dyDescent="0.35"/>
  <cols>
    <col min="2" max="2" width="13.7265625" customWidth="1"/>
    <col min="3" max="3" width="17.54296875" customWidth="1"/>
  </cols>
  <sheetData>
    <row r="1" spans="1:12" ht="19.5" customHeight="1" x14ac:dyDescent="0.35">
      <c r="A1" s="203" t="s">
        <v>0</v>
      </c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</row>
    <row r="2" spans="1:12" ht="19.5" customHeight="1" x14ac:dyDescent="0.35">
      <c r="A2" s="203"/>
      <c r="B2" s="204"/>
      <c r="C2" s="204"/>
      <c r="D2" s="204"/>
      <c r="E2" s="204"/>
      <c r="F2" s="204"/>
      <c r="G2" s="204"/>
      <c r="H2" s="204"/>
      <c r="I2" s="204"/>
      <c r="J2" s="204"/>
      <c r="K2" s="204"/>
      <c r="L2" s="204"/>
    </row>
    <row r="3" spans="1:12" ht="9.75" customHeight="1" x14ac:dyDescent="0.35">
      <c r="A3" s="326"/>
      <c r="B3" s="327"/>
      <c r="C3" s="327"/>
      <c r="D3" s="327"/>
      <c r="E3" s="327"/>
      <c r="F3" s="327"/>
      <c r="G3" s="327"/>
      <c r="H3" s="327"/>
      <c r="I3" s="327"/>
      <c r="J3" s="327"/>
      <c r="K3" s="327"/>
      <c r="L3" s="327"/>
    </row>
    <row r="4" spans="1:12" ht="24" customHeight="1" x14ac:dyDescent="0.35">
      <c r="A4" s="319" t="s">
        <v>530</v>
      </c>
      <c r="B4" s="319"/>
      <c r="C4" s="319"/>
      <c r="D4" s="319"/>
      <c r="E4" s="319"/>
      <c r="F4" s="319"/>
      <c r="G4" s="319"/>
      <c r="H4" s="319"/>
      <c r="I4" s="319"/>
      <c r="J4" s="319"/>
      <c r="K4" s="319"/>
      <c r="L4" s="319"/>
    </row>
    <row r="5" spans="1:12" ht="19.5" customHeight="1" x14ac:dyDescent="0.35">
      <c r="A5" s="287" t="s">
        <v>2</v>
      </c>
      <c r="B5" s="287" t="s">
        <v>3</v>
      </c>
      <c r="C5" s="287" t="s">
        <v>4</v>
      </c>
      <c r="D5" s="287" t="s">
        <v>5</v>
      </c>
      <c r="E5" s="287"/>
      <c r="F5" s="287" t="s">
        <v>6</v>
      </c>
      <c r="G5" s="287"/>
      <c r="H5" s="305" t="s">
        <v>7</v>
      </c>
      <c r="I5" s="315" t="s">
        <v>504</v>
      </c>
      <c r="J5" s="315"/>
      <c r="K5" s="315"/>
      <c r="L5" s="315"/>
    </row>
    <row r="6" spans="1:12" ht="19.5" customHeight="1" x14ac:dyDescent="0.35">
      <c r="A6" s="287"/>
      <c r="B6" s="287"/>
      <c r="C6" s="287"/>
      <c r="D6" s="11" t="s">
        <v>9</v>
      </c>
      <c r="E6" s="11" t="s">
        <v>10</v>
      </c>
      <c r="F6" s="11" t="s">
        <v>11</v>
      </c>
      <c r="G6" s="11" t="s">
        <v>12</v>
      </c>
      <c r="H6" s="305"/>
      <c r="I6" s="41">
        <v>0.3</v>
      </c>
      <c r="J6" s="41">
        <v>0.04</v>
      </c>
      <c r="K6" s="41">
        <v>0.03</v>
      </c>
      <c r="L6" s="41">
        <v>0.01</v>
      </c>
    </row>
    <row r="7" spans="1:12" ht="19.5" customHeight="1" x14ac:dyDescent="0.35">
      <c r="A7" s="42">
        <v>1</v>
      </c>
      <c r="B7" s="43" t="s">
        <v>13</v>
      </c>
      <c r="C7" s="44" t="s">
        <v>14</v>
      </c>
      <c r="D7" s="45">
        <v>0.5</v>
      </c>
      <c r="E7" s="45">
        <v>0.37</v>
      </c>
      <c r="F7" s="45">
        <v>25</v>
      </c>
      <c r="G7" s="45">
        <v>25</v>
      </c>
      <c r="H7" s="46">
        <v>2640</v>
      </c>
      <c r="I7" s="297">
        <v>1748</v>
      </c>
      <c r="J7" s="297"/>
      <c r="K7" s="297"/>
      <c r="L7" s="297"/>
    </row>
    <row r="8" spans="1:12" ht="19.5" customHeight="1" x14ac:dyDescent="0.35">
      <c r="A8" s="42">
        <v>2</v>
      </c>
      <c r="B8" s="43" t="s">
        <v>15</v>
      </c>
      <c r="C8" s="44" t="s">
        <v>16</v>
      </c>
      <c r="D8" s="45">
        <v>1</v>
      </c>
      <c r="E8" s="45">
        <v>0.75</v>
      </c>
      <c r="F8" s="45">
        <v>25</v>
      </c>
      <c r="G8" s="45">
        <v>25</v>
      </c>
      <c r="H8" s="46">
        <v>3420</v>
      </c>
      <c r="I8" s="297">
        <v>2263</v>
      </c>
      <c r="J8" s="297"/>
      <c r="K8" s="297"/>
      <c r="L8" s="297"/>
    </row>
    <row r="9" spans="1:12" ht="19.5" customHeight="1" x14ac:dyDescent="0.35">
      <c r="A9" s="43">
        <v>3</v>
      </c>
      <c r="B9" s="43" t="s">
        <v>17</v>
      </c>
      <c r="C9" s="44" t="s">
        <v>18</v>
      </c>
      <c r="D9" s="45">
        <v>0.5</v>
      </c>
      <c r="E9" s="45">
        <v>0.37</v>
      </c>
      <c r="F9" s="45">
        <v>25</v>
      </c>
      <c r="G9" s="45">
        <v>25</v>
      </c>
      <c r="H9" s="46">
        <v>2840</v>
      </c>
      <c r="I9" s="297">
        <v>1878</v>
      </c>
      <c r="J9" s="297"/>
      <c r="K9" s="297"/>
      <c r="L9" s="297"/>
    </row>
    <row r="10" spans="1:12" ht="19.5" customHeight="1" x14ac:dyDescent="0.35">
      <c r="A10" s="42">
        <v>4</v>
      </c>
      <c r="B10" s="43" t="s">
        <v>19</v>
      </c>
      <c r="C10" s="44" t="s">
        <v>20</v>
      </c>
      <c r="D10" s="45">
        <v>1</v>
      </c>
      <c r="E10" s="45">
        <v>0.75</v>
      </c>
      <c r="F10" s="45">
        <v>25</v>
      </c>
      <c r="G10" s="45">
        <v>25</v>
      </c>
      <c r="H10" s="46">
        <v>3660</v>
      </c>
      <c r="I10" s="297">
        <v>2421</v>
      </c>
      <c r="J10" s="297"/>
      <c r="K10" s="297"/>
      <c r="L10" s="297"/>
    </row>
    <row r="11" spans="1:12" ht="19.5" customHeight="1" x14ac:dyDescent="0.35">
      <c r="A11" s="42">
        <v>5</v>
      </c>
      <c r="B11" s="42" t="s">
        <v>21</v>
      </c>
      <c r="C11" s="48" t="s">
        <v>22</v>
      </c>
      <c r="D11" s="45">
        <v>0.5</v>
      </c>
      <c r="E11" s="45">
        <v>0.37</v>
      </c>
      <c r="F11" s="45">
        <v>25</v>
      </c>
      <c r="G11" s="45">
        <v>25</v>
      </c>
      <c r="H11" s="49">
        <v>3160</v>
      </c>
      <c r="I11" s="26">
        <f>H11*0.7</f>
        <v>2212</v>
      </c>
      <c r="J11" s="26">
        <f>+I11*0.96</f>
        <v>2123.52</v>
      </c>
      <c r="K11" s="26">
        <f>+J11*0.97</f>
        <v>2059.8143999999998</v>
      </c>
      <c r="L11" s="26">
        <f>+K11*0.99</f>
        <v>2039.2162559999997</v>
      </c>
    </row>
    <row r="12" spans="1:12" ht="19.5" customHeight="1" x14ac:dyDescent="0.35">
      <c r="A12" s="42">
        <v>6</v>
      </c>
      <c r="B12" s="42" t="s">
        <v>23</v>
      </c>
      <c r="C12" s="48" t="s">
        <v>24</v>
      </c>
      <c r="D12" s="45">
        <v>1</v>
      </c>
      <c r="E12" s="45">
        <v>0.75</v>
      </c>
      <c r="F12" s="45">
        <v>25</v>
      </c>
      <c r="G12" s="45">
        <v>25</v>
      </c>
      <c r="H12" s="49">
        <v>4120</v>
      </c>
      <c r="I12" s="26">
        <f t="shared" ref="I12:I25" si="0">H12*0.7</f>
        <v>2884</v>
      </c>
      <c r="J12" s="26">
        <f t="shared" ref="J12:J25" si="1">+I12*0.96</f>
        <v>2768.64</v>
      </c>
      <c r="K12" s="26">
        <f t="shared" ref="K12:K25" si="2">+J12*0.97</f>
        <v>2685.5807999999997</v>
      </c>
      <c r="L12" s="26">
        <f t="shared" ref="L12:L25" si="3">+K12*0.99</f>
        <v>2658.7249919999999</v>
      </c>
    </row>
    <row r="13" spans="1:12" ht="19.5" customHeight="1" x14ac:dyDescent="0.35">
      <c r="A13" s="43">
        <v>7</v>
      </c>
      <c r="B13" s="43" t="s">
        <v>25</v>
      </c>
      <c r="C13" s="44" t="s">
        <v>26</v>
      </c>
      <c r="D13" s="45">
        <v>1.5</v>
      </c>
      <c r="E13" s="45">
        <v>1</v>
      </c>
      <c r="F13" s="45">
        <v>25</v>
      </c>
      <c r="G13" s="45">
        <v>25</v>
      </c>
      <c r="H13" s="49">
        <v>5750</v>
      </c>
      <c r="I13" s="26">
        <f t="shared" si="0"/>
        <v>4024.9999999999995</v>
      </c>
      <c r="J13" s="26">
        <f t="shared" si="1"/>
        <v>3863.9999999999995</v>
      </c>
      <c r="K13" s="26">
        <f t="shared" si="2"/>
        <v>3748.0799999999995</v>
      </c>
      <c r="L13" s="26">
        <f t="shared" si="3"/>
        <v>3710.5991999999997</v>
      </c>
    </row>
    <row r="14" spans="1:12" ht="19.5" customHeight="1" x14ac:dyDescent="0.35">
      <c r="A14" s="42">
        <v>8</v>
      </c>
      <c r="B14" s="42" t="s">
        <v>27</v>
      </c>
      <c r="C14" s="48" t="s">
        <v>28</v>
      </c>
      <c r="D14" s="45">
        <v>0.5</v>
      </c>
      <c r="E14" s="45">
        <v>0.37</v>
      </c>
      <c r="F14" s="45">
        <v>25</v>
      </c>
      <c r="G14" s="45">
        <v>25</v>
      </c>
      <c r="H14" s="49">
        <v>3520</v>
      </c>
      <c r="I14" s="26">
        <f t="shared" si="0"/>
        <v>2464</v>
      </c>
      <c r="J14" s="26">
        <f t="shared" si="1"/>
        <v>2365.44</v>
      </c>
      <c r="K14" s="26">
        <f t="shared" si="2"/>
        <v>2294.4767999999999</v>
      </c>
      <c r="L14" s="26">
        <f t="shared" si="3"/>
        <v>2271.5320320000001</v>
      </c>
    </row>
    <row r="15" spans="1:12" ht="19.5" customHeight="1" x14ac:dyDescent="0.35">
      <c r="A15" s="42">
        <v>9</v>
      </c>
      <c r="B15" s="43" t="s">
        <v>29</v>
      </c>
      <c r="C15" s="50" t="s">
        <v>30</v>
      </c>
      <c r="D15" s="45">
        <v>1</v>
      </c>
      <c r="E15" s="45">
        <v>0.75</v>
      </c>
      <c r="F15" s="45">
        <v>25</v>
      </c>
      <c r="G15" s="45">
        <v>25</v>
      </c>
      <c r="H15" s="49">
        <v>3660</v>
      </c>
      <c r="I15" s="26">
        <f t="shared" si="0"/>
        <v>2562</v>
      </c>
      <c r="J15" s="26">
        <f t="shared" si="1"/>
        <v>2459.52</v>
      </c>
      <c r="K15" s="26">
        <f t="shared" si="2"/>
        <v>2385.7343999999998</v>
      </c>
      <c r="L15" s="26">
        <f t="shared" si="3"/>
        <v>2361.8770559999998</v>
      </c>
    </row>
    <row r="16" spans="1:12" ht="19.5" customHeight="1" x14ac:dyDescent="0.35">
      <c r="A16" s="42">
        <v>10</v>
      </c>
      <c r="B16" s="43" t="s">
        <v>31</v>
      </c>
      <c r="C16" s="44" t="s">
        <v>32</v>
      </c>
      <c r="D16" s="45">
        <v>1</v>
      </c>
      <c r="E16" s="45">
        <v>0.75</v>
      </c>
      <c r="F16" s="45">
        <v>25</v>
      </c>
      <c r="G16" s="45">
        <v>25</v>
      </c>
      <c r="H16" s="49">
        <v>4220</v>
      </c>
      <c r="I16" s="26">
        <f t="shared" si="0"/>
        <v>2954</v>
      </c>
      <c r="J16" s="26">
        <f t="shared" si="1"/>
        <v>2835.8399999999997</v>
      </c>
      <c r="K16" s="26">
        <f t="shared" si="2"/>
        <v>2750.7647999999995</v>
      </c>
      <c r="L16" s="26">
        <f t="shared" si="3"/>
        <v>2723.2571519999992</v>
      </c>
    </row>
    <row r="17" spans="1:12" ht="19.5" customHeight="1" x14ac:dyDescent="0.35">
      <c r="A17" s="43">
        <v>11</v>
      </c>
      <c r="B17" s="42" t="s">
        <v>33</v>
      </c>
      <c r="C17" s="48" t="s">
        <v>34</v>
      </c>
      <c r="D17" s="45">
        <v>0.75</v>
      </c>
      <c r="E17" s="45">
        <v>0.56000000000000005</v>
      </c>
      <c r="F17" s="45">
        <v>25</v>
      </c>
      <c r="G17" s="45">
        <v>25</v>
      </c>
      <c r="H17" s="49">
        <v>4080</v>
      </c>
      <c r="I17" s="26">
        <f t="shared" si="0"/>
        <v>2856</v>
      </c>
      <c r="J17" s="26">
        <f t="shared" si="1"/>
        <v>2741.7599999999998</v>
      </c>
      <c r="K17" s="26">
        <f t="shared" si="2"/>
        <v>2659.5071999999996</v>
      </c>
      <c r="L17" s="26">
        <f t="shared" si="3"/>
        <v>2632.9121279999995</v>
      </c>
    </row>
    <row r="18" spans="1:12" ht="19.5" customHeight="1" x14ac:dyDescent="0.35">
      <c r="A18" s="42">
        <v>12</v>
      </c>
      <c r="B18" s="43" t="s">
        <v>35</v>
      </c>
      <c r="C18" s="51" t="s">
        <v>36</v>
      </c>
      <c r="D18" s="45">
        <v>1</v>
      </c>
      <c r="E18" s="45">
        <v>0.75</v>
      </c>
      <c r="F18" s="45">
        <v>25</v>
      </c>
      <c r="G18" s="45">
        <v>25</v>
      </c>
      <c r="H18" s="49">
        <v>4730</v>
      </c>
      <c r="I18" s="26">
        <f t="shared" si="0"/>
        <v>3311</v>
      </c>
      <c r="J18" s="26">
        <f t="shared" si="1"/>
        <v>3178.56</v>
      </c>
      <c r="K18" s="26">
        <f t="shared" si="2"/>
        <v>3083.2031999999999</v>
      </c>
      <c r="L18" s="26">
        <f t="shared" si="3"/>
        <v>3052.3711679999997</v>
      </c>
    </row>
    <row r="19" spans="1:12" ht="19.5" customHeight="1" x14ac:dyDescent="0.35">
      <c r="A19" s="42">
        <v>13</v>
      </c>
      <c r="B19" s="43" t="s">
        <v>37</v>
      </c>
      <c r="C19" s="51" t="s">
        <v>38</v>
      </c>
      <c r="D19" s="45">
        <v>1</v>
      </c>
      <c r="E19" s="45">
        <v>0.75</v>
      </c>
      <c r="F19" s="45">
        <v>25</v>
      </c>
      <c r="G19" s="45">
        <v>25</v>
      </c>
      <c r="H19" s="49">
        <v>4730</v>
      </c>
      <c r="I19" s="26">
        <f t="shared" si="0"/>
        <v>3311</v>
      </c>
      <c r="J19" s="26">
        <f t="shared" si="1"/>
        <v>3178.56</v>
      </c>
      <c r="K19" s="26">
        <f t="shared" si="2"/>
        <v>3083.2031999999999</v>
      </c>
      <c r="L19" s="26">
        <f t="shared" si="3"/>
        <v>3052.3711679999997</v>
      </c>
    </row>
    <row r="20" spans="1:12" ht="19.5" customHeight="1" x14ac:dyDescent="0.35">
      <c r="A20" s="42">
        <v>14</v>
      </c>
      <c r="B20" s="42" t="s">
        <v>39</v>
      </c>
      <c r="C20" s="48" t="s">
        <v>40</v>
      </c>
      <c r="D20" s="45">
        <v>1</v>
      </c>
      <c r="E20" s="45">
        <v>0.75</v>
      </c>
      <c r="F20" s="45">
        <v>25</v>
      </c>
      <c r="G20" s="45">
        <v>25</v>
      </c>
      <c r="H20" s="49">
        <v>5170</v>
      </c>
      <c r="I20" s="26">
        <f t="shared" si="0"/>
        <v>3618.9999999999995</v>
      </c>
      <c r="J20" s="26">
        <f t="shared" si="1"/>
        <v>3474.2399999999993</v>
      </c>
      <c r="K20" s="26">
        <f t="shared" si="2"/>
        <v>3370.0127999999991</v>
      </c>
      <c r="L20" s="26">
        <f t="shared" si="3"/>
        <v>3336.3126719999991</v>
      </c>
    </row>
    <row r="21" spans="1:12" ht="19.5" customHeight="1" x14ac:dyDescent="0.35">
      <c r="A21" s="43">
        <v>15</v>
      </c>
      <c r="B21" s="42" t="s">
        <v>41</v>
      </c>
      <c r="C21" s="48" t="s">
        <v>42</v>
      </c>
      <c r="D21" s="45">
        <v>1</v>
      </c>
      <c r="E21" s="45">
        <v>0.75</v>
      </c>
      <c r="F21" s="45">
        <v>25</v>
      </c>
      <c r="G21" s="45">
        <v>25</v>
      </c>
      <c r="H21" s="49">
        <v>4670</v>
      </c>
      <c r="I21" s="26">
        <f t="shared" si="0"/>
        <v>3269</v>
      </c>
      <c r="J21" s="26">
        <f t="shared" si="1"/>
        <v>3138.24</v>
      </c>
      <c r="K21" s="26">
        <f t="shared" si="2"/>
        <v>3044.0927999999999</v>
      </c>
      <c r="L21" s="26">
        <f t="shared" si="3"/>
        <v>3013.6518719999999</v>
      </c>
    </row>
    <row r="22" spans="1:12" ht="19.5" customHeight="1" x14ac:dyDescent="0.35">
      <c r="A22" s="42">
        <v>16</v>
      </c>
      <c r="B22" s="43" t="s">
        <v>43</v>
      </c>
      <c r="C22" s="44" t="s">
        <v>44</v>
      </c>
      <c r="D22" s="45">
        <v>1.2</v>
      </c>
      <c r="E22" s="45">
        <v>0.9</v>
      </c>
      <c r="F22" s="45">
        <v>25</v>
      </c>
      <c r="G22" s="45">
        <v>25</v>
      </c>
      <c r="H22" s="49">
        <v>6650</v>
      </c>
      <c r="I22" s="26">
        <f t="shared" si="0"/>
        <v>4655</v>
      </c>
      <c r="J22" s="26">
        <f t="shared" si="1"/>
        <v>4468.8</v>
      </c>
      <c r="K22" s="26">
        <f t="shared" si="2"/>
        <v>4334.7359999999999</v>
      </c>
      <c r="L22" s="26">
        <f t="shared" si="3"/>
        <v>4291.3886400000001</v>
      </c>
    </row>
    <row r="23" spans="1:12" ht="19.5" customHeight="1" x14ac:dyDescent="0.35">
      <c r="A23" s="42">
        <v>17</v>
      </c>
      <c r="B23" s="42" t="s">
        <v>45</v>
      </c>
      <c r="C23" s="48" t="s">
        <v>46</v>
      </c>
      <c r="D23" s="45">
        <v>1.5</v>
      </c>
      <c r="E23" s="45">
        <v>1.1000000000000001</v>
      </c>
      <c r="F23" s="45">
        <v>25</v>
      </c>
      <c r="G23" s="45">
        <v>25</v>
      </c>
      <c r="H23" s="49">
        <v>8150</v>
      </c>
      <c r="I23" s="26">
        <f t="shared" si="0"/>
        <v>5705</v>
      </c>
      <c r="J23" s="26">
        <f t="shared" si="1"/>
        <v>5476.8</v>
      </c>
      <c r="K23" s="26">
        <f t="shared" si="2"/>
        <v>5312.4960000000001</v>
      </c>
      <c r="L23" s="26">
        <f t="shared" si="3"/>
        <v>5259.37104</v>
      </c>
    </row>
    <row r="24" spans="1:12" ht="19.5" customHeight="1" x14ac:dyDescent="0.35">
      <c r="A24" s="42">
        <v>18</v>
      </c>
      <c r="B24" s="42" t="s">
        <v>47</v>
      </c>
      <c r="C24" s="48" t="s">
        <v>48</v>
      </c>
      <c r="D24" s="45">
        <v>2</v>
      </c>
      <c r="E24" s="45">
        <v>1.5</v>
      </c>
      <c r="F24" s="45">
        <v>25</v>
      </c>
      <c r="G24" s="45">
        <v>25</v>
      </c>
      <c r="H24" s="49">
        <v>9190</v>
      </c>
      <c r="I24" s="26">
        <f t="shared" si="0"/>
        <v>6433</v>
      </c>
      <c r="J24" s="26">
        <f t="shared" si="1"/>
        <v>6175.6799999999994</v>
      </c>
      <c r="K24" s="26">
        <f t="shared" si="2"/>
        <v>5990.409599999999</v>
      </c>
      <c r="L24" s="26">
        <f t="shared" si="3"/>
        <v>5930.5055039999988</v>
      </c>
    </row>
    <row r="25" spans="1:12" ht="19.5" customHeight="1" x14ac:dyDescent="0.35">
      <c r="A25" s="43">
        <v>19</v>
      </c>
      <c r="B25" s="42" t="s">
        <v>49</v>
      </c>
      <c r="C25" s="48" t="s">
        <v>50</v>
      </c>
      <c r="D25" s="45">
        <v>0.5</v>
      </c>
      <c r="E25" s="45">
        <v>0.37</v>
      </c>
      <c r="F25" s="45">
        <v>25</v>
      </c>
      <c r="G25" s="45">
        <v>25</v>
      </c>
      <c r="H25" s="49">
        <v>3310</v>
      </c>
      <c r="I25" s="26">
        <f t="shared" si="0"/>
        <v>2317</v>
      </c>
      <c r="J25" s="26">
        <f t="shared" si="1"/>
        <v>2224.3199999999997</v>
      </c>
      <c r="K25" s="26">
        <f t="shared" si="2"/>
        <v>2157.5903999999996</v>
      </c>
      <c r="L25" s="26">
        <f t="shared" si="3"/>
        <v>2136.0144959999998</v>
      </c>
    </row>
    <row r="26" spans="1:12" ht="19.5" customHeight="1" x14ac:dyDescent="0.35">
      <c r="A26" s="42">
        <v>20</v>
      </c>
      <c r="B26" s="43" t="s">
        <v>51</v>
      </c>
      <c r="C26" s="44" t="s">
        <v>52</v>
      </c>
      <c r="D26" s="45">
        <v>0.5</v>
      </c>
      <c r="E26" s="45">
        <v>0.37</v>
      </c>
      <c r="F26" s="45">
        <v>25</v>
      </c>
      <c r="G26" s="45">
        <v>25</v>
      </c>
      <c r="H26" s="52">
        <v>4380</v>
      </c>
      <c r="I26" s="295">
        <v>2897</v>
      </c>
      <c r="J26" s="325"/>
      <c r="K26" s="325"/>
      <c r="L26" s="296"/>
    </row>
    <row r="27" spans="1:12" ht="19.5" customHeight="1" x14ac:dyDescent="0.35">
      <c r="A27" s="42">
        <v>21</v>
      </c>
      <c r="B27" s="43" t="s">
        <v>53</v>
      </c>
      <c r="C27" s="44" t="s">
        <v>54</v>
      </c>
      <c r="D27" s="45">
        <v>1</v>
      </c>
      <c r="E27" s="45">
        <v>0.75</v>
      </c>
      <c r="F27" s="45">
        <v>25</v>
      </c>
      <c r="G27" s="45">
        <v>25</v>
      </c>
      <c r="H27" s="52">
        <v>5300</v>
      </c>
      <c r="I27" s="295">
        <v>3506</v>
      </c>
      <c r="J27" s="325"/>
      <c r="K27" s="325"/>
      <c r="L27" s="296"/>
    </row>
    <row r="28" spans="1:12" ht="19.5" customHeight="1" x14ac:dyDescent="0.35">
      <c r="A28" s="42">
        <v>22</v>
      </c>
      <c r="B28" s="42" t="s">
        <v>55</v>
      </c>
      <c r="C28" s="48" t="s">
        <v>56</v>
      </c>
      <c r="D28" s="45">
        <v>1.1000000000000001</v>
      </c>
      <c r="E28" s="45">
        <v>0.8</v>
      </c>
      <c r="F28" s="45">
        <v>25</v>
      </c>
      <c r="G28" s="45">
        <v>25</v>
      </c>
      <c r="H28" s="49">
        <v>5040</v>
      </c>
      <c r="I28" s="26">
        <f>H28*0.7</f>
        <v>3528</v>
      </c>
      <c r="J28" s="26">
        <f>+I28*0.96</f>
        <v>3386.8799999999997</v>
      </c>
      <c r="K28" s="26">
        <f>+J28*0.97</f>
        <v>3285.2735999999995</v>
      </c>
      <c r="L28" s="26">
        <f>+K28*0.99</f>
        <v>3252.4208639999997</v>
      </c>
    </row>
    <row r="29" spans="1:12" ht="19.5" customHeight="1" x14ac:dyDescent="0.35">
      <c r="A29" s="43">
        <v>23</v>
      </c>
      <c r="B29" s="42" t="s">
        <v>57</v>
      </c>
      <c r="C29" s="48" t="s">
        <v>58</v>
      </c>
      <c r="D29" s="45">
        <v>1.1000000000000001</v>
      </c>
      <c r="E29" s="45">
        <v>0.8</v>
      </c>
      <c r="F29" s="45">
        <v>25</v>
      </c>
      <c r="G29" s="45">
        <v>25</v>
      </c>
      <c r="H29" s="49">
        <v>5150</v>
      </c>
      <c r="I29" s="26">
        <f>H29*0.7</f>
        <v>3604.9999999999995</v>
      </c>
      <c r="J29" s="26">
        <f>+I29*0.96</f>
        <v>3460.7999999999993</v>
      </c>
      <c r="K29" s="26">
        <f>+J29*0.97</f>
        <v>3356.9759999999992</v>
      </c>
      <c r="L29" s="26">
        <f>+K29*0.99</f>
        <v>3323.4062399999993</v>
      </c>
    </row>
    <row r="30" spans="1:12" ht="19.5" customHeight="1" x14ac:dyDescent="0.35">
      <c r="A30" s="42">
        <v>24</v>
      </c>
      <c r="B30" s="43" t="s">
        <v>59</v>
      </c>
      <c r="C30" s="51" t="s">
        <v>60</v>
      </c>
      <c r="D30" s="45">
        <v>1.25</v>
      </c>
      <c r="E30" s="45">
        <v>0.94</v>
      </c>
      <c r="F30" s="45">
        <v>25</v>
      </c>
      <c r="G30" s="45">
        <v>25</v>
      </c>
      <c r="H30" s="49">
        <v>6630</v>
      </c>
      <c r="I30" s="26">
        <f>H30*0.7</f>
        <v>4641</v>
      </c>
      <c r="J30" s="26">
        <f>+I30*0.96</f>
        <v>4455.3599999999997</v>
      </c>
      <c r="K30" s="26">
        <f>+J30*0.97</f>
        <v>4321.6991999999991</v>
      </c>
      <c r="L30" s="26">
        <f>+K30*0.99</f>
        <v>4278.4822079999994</v>
      </c>
    </row>
    <row r="31" spans="1:12" ht="19.5" customHeight="1" x14ac:dyDescent="0.35">
      <c r="A31" s="42">
        <v>25</v>
      </c>
      <c r="B31" s="42" t="s">
        <v>61</v>
      </c>
      <c r="C31" s="48" t="s">
        <v>62</v>
      </c>
      <c r="D31" s="53">
        <v>0.5</v>
      </c>
      <c r="E31" s="53">
        <v>0.37</v>
      </c>
      <c r="F31" s="53">
        <v>25</v>
      </c>
      <c r="G31" s="53">
        <v>25</v>
      </c>
      <c r="H31" s="54">
        <v>4950</v>
      </c>
      <c r="I31" s="295">
        <v>3275</v>
      </c>
      <c r="J31" s="325"/>
      <c r="K31" s="325"/>
      <c r="L31" s="296"/>
    </row>
    <row r="32" spans="1:12" ht="19.5" customHeight="1" x14ac:dyDescent="0.35">
      <c r="A32" s="42">
        <v>26</v>
      </c>
      <c r="B32" s="42" t="s">
        <v>63</v>
      </c>
      <c r="C32" s="48" t="s">
        <v>64</v>
      </c>
      <c r="D32" s="53">
        <v>0.5</v>
      </c>
      <c r="E32" s="53">
        <v>0.37</v>
      </c>
      <c r="F32" s="53">
        <v>25</v>
      </c>
      <c r="G32" s="53">
        <v>25</v>
      </c>
      <c r="H32" s="54">
        <v>5000</v>
      </c>
      <c r="I32" s="295">
        <v>3308</v>
      </c>
      <c r="J32" s="325"/>
      <c r="K32" s="325"/>
      <c r="L32" s="296"/>
    </row>
    <row r="33" spans="1:12" ht="19.5" customHeight="1" x14ac:dyDescent="0.35">
      <c r="A33" s="43">
        <v>27</v>
      </c>
      <c r="B33" s="42" t="s">
        <v>65</v>
      </c>
      <c r="C33" s="48" t="s">
        <v>66</v>
      </c>
      <c r="D33" s="45">
        <v>1</v>
      </c>
      <c r="E33" s="45">
        <v>0.75</v>
      </c>
      <c r="F33" s="45">
        <v>25</v>
      </c>
      <c r="G33" s="45">
        <v>25</v>
      </c>
      <c r="H33" s="49">
        <v>5560</v>
      </c>
      <c r="I33" s="26">
        <f t="shared" ref="I33:I46" si="4">H33*0.7</f>
        <v>3891.9999999999995</v>
      </c>
      <c r="J33" s="26">
        <f t="shared" ref="J33:J46" si="5">+I33*0.96</f>
        <v>3736.3199999999993</v>
      </c>
      <c r="K33" s="26">
        <f t="shared" ref="K33:K46" si="6">+J33*0.97</f>
        <v>3624.230399999999</v>
      </c>
      <c r="L33" s="26">
        <f t="shared" ref="L33:L54" si="7">+K33*0.99</f>
        <v>3587.9880959999991</v>
      </c>
    </row>
    <row r="34" spans="1:12" ht="19.5" customHeight="1" x14ac:dyDescent="0.35">
      <c r="A34" s="42">
        <v>28</v>
      </c>
      <c r="B34" s="42" t="s">
        <v>67</v>
      </c>
      <c r="C34" s="48" t="s">
        <v>68</v>
      </c>
      <c r="D34" s="45">
        <v>1</v>
      </c>
      <c r="E34" s="45">
        <v>0.75</v>
      </c>
      <c r="F34" s="45">
        <v>25</v>
      </c>
      <c r="G34" s="45">
        <v>25</v>
      </c>
      <c r="H34" s="49">
        <v>5650</v>
      </c>
      <c r="I34" s="26">
        <f t="shared" si="4"/>
        <v>3954.9999999999995</v>
      </c>
      <c r="J34" s="26">
        <f t="shared" si="5"/>
        <v>3796.7999999999993</v>
      </c>
      <c r="K34" s="26">
        <f t="shared" si="6"/>
        <v>3682.8959999999993</v>
      </c>
      <c r="L34" s="26">
        <f t="shared" si="7"/>
        <v>3646.0670399999995</v>
      </c>
    </row>
    <row r="35" spans="1:12" ht="19.5" customHeight="1" x14ac:dyDescent="0.35">
      <c r="A35" s="42">
        <v>29</v>
      </c>
      <c r="B35" s="42" t="s">
        <v>69</v>
      </c>
      <c r="C35" s="48" t="s">
        <v>70</v>
      </c>
      <c r="D35" s="45">
        <v>1.5</v>
      </c>
      <c r="E35" s="45">
        <v>1.1000000000000001</v>
      </c>
      <c r="F35" s="45">
        <v>25</v>
      </c>
      <c r="G35" s="45">
        <v>25</v>
      </c>
      <c r="H35" s="49">
        <v>7840</v>
      </c>
      <c r="I35" s="26">
        <f t="shared" si="4"/>
        <v>5488</v>
      </c>
      <c r="J35" s="26">
        <f t="shared" si="5"/>
        <v>5268.48</v>
      </c>
      <c r="K35" s="26">
        <f t="shared" si="6"/>
        <v>5110.4255999999996</v>
      </c>
      <c r="L35" s="26">
        <f t="shared" si="7"/>
        <v>5059.321344</v>
      </c>
    </row>
    <row r="36" spans="1:12" ht="19.5" customHeight="1" x14ac:dyDescent="0.35">
      <c r="A36" s="42">
        <v>30</v>
      </c>
      <c r="B36" s="42" t="s">
        <v>71</v>
      </c>
      <c r="C36" s="48" t="s">
        <v>72</v>
      </c>
      <c r="D36" s="45">
        <v>1.5</v>
      </c>
      <c r="E36" s="45">
        <v>1.1000000000000001</v>
      </c>
      <c r="F36" s="45">
        <v>25</v>
      </c>
      <c r="G36" s="45">
        <v>25</v>
      </c>
      <c r="H36" s="49">
        <v>8170</v>
      </c>
      <c r="I36" s="26">
        <f t="shared" si="4"/>
        <v>5719</v>
      </c>
      <c r="J36" s="26">
        <f t="shared" si="5"/>
        <v>5490.24</v>
      </c>
      <c r="K36" s="26">
        <f t="shared" si="6"/>
        <v>5325.5328</v>
      </c>
      <c r="L36" s="26">
        <f t="shared" si="7"/>
        <v>5272.2774719999998</v>
      </c>
    </row>
    <row r="37" spans="1:12" ht="19.5" customHeight="1" x14ac:dyDescent="0.35">
      <c r="A37" s="43">
        <v>31</v>
      </c>
      <c r="B37" s="43" t="s">
        <v>73</v>
      </c>
      <c r="C37" s="44" t="s">
        <v>74</v>
      </c>
      <c r="D37" s="45">
        <v>0.5</v>
      </c>
      <c r="E37" s="45">
        <v>0.37</v>
      </c>
      <c r="F37" s="45">
        <v>25</v>
      </c>
      <c r="G37" s="45">
        <v>25</v>
      </c>
      <c r="H37" s="49">
        <v>6450</v>
      </c>
      <c r="I37" s="26">
        <f t="shared" si="4"/>
        <v>4515</v>
      </c>
      <c r="J37" s="26">
        <f t="shared" si="5"/>
        <v>4334.3999999999996</v>
      </c>
      <c r="K37" s="26">
        <f t="shared" si="6"/>
        <v>4204.3679999999995</v>
      </c>
      <c r="L37" s="26">
        <f t="shared" si="7"/>
        <v>4162.3243199999997</v>
      </c>
    </row>
    <row r="38" spans="1:12" ht="19.5" customHeight="1" x14ac:dyDescent="0.35">
      <c r="A38" s="42">
        <v>32</v>
      </c>
      <c r="B38" s="42" t="s">
        <v>75</v>
      </c>
      <c r="C38" s="48" t="s">
        <v>76</v>
      </c>
      <c r="D38" s="55">
        <v>0.9</v>
      </c>
      <c r="E38" s="55">
        <v>0.7</v>
      </c>
      <c r="F38" s="55">
        <v>25</v>
      </c>
      <c r="G38" s="55">
        <v>25</v>
      </c>
      <c r="H38" s="49">
        <v>6640</v>
      </c>
      <c r="I38" s="26">
        <f t="shared" si="4"/>
        <v>4648</v>
      </c>
      <c r="J38" s="26">
        <f t="shared" si="5"/>
        <v>4462.08</v>
      </c>
      <c r="K38" s="26">
        <f t="shared" si="6"/>
        <v>4328.2175999999999</v>
      </c>
      <c r="L38" s="26">
        <f t="shared" si="7"/>
        <v>4284.9354240000002</v>
      </c>
    </row>
    <row r="39" spans="1:12" ht="19.5" customHeight="1" x14ac:dyDescent="0.35">
      <c r="A39" s="42">
        <v>33</v>
      </c>
      <c r="B39" s="42" t="s">
        <v>77</v>
      </c>
      <c r="C39" s="48" t="s">
        <v>78</v>
      </c>
      <c r="D39" s="55">
        <v>1</v>
      </c>
      <c r="E39" s="55">
        <v>0.75</v>
      </c>
      <c r="F39" s="55">
        <v>25</v>
      </c>
      <c r="G39" s="55">
        <v>25</v>
      </c>
      <c r="H39" s="49">
        <v>7100</v>
      </c>
      <c r="I39" s="26">
        <f t="shared" si="4"/>
        <v>4970</v>
      </c>
      <c r="J39" s="26">
        <f t="shared" si="5"/>
        <v>4771.2</v>
      </c>
      <c r="K39" s="26">
        <f t="shared" si="6"/>
        <v>4628.0639999999994</v>
      </c>
      <c r="L39" s="26">
        <f t="shared" si="7"/>
        <v>4581.7833599999994</v>
      </c>
    </row>
    <row r="40" spans="1:12" ht="19.5" customHeight="1" x14ac:dyDescent="0.35">
      <c r="A40" s="42">
        <v>34</v>
      </c>
      <c r="B40" s="43" t="s">
        <v>79</v>
      </c>
      <c r="C40" s="50" t="s">
        <v>80</v>
      </c>
      <c r="D40" s="55">
        <v>0.5</v>
      </c>
      <c r="E40" s="55">
        <v>0.37</v>
      </c>
      <c r="F40" s="55">
        <v>25</v>
      </c>
      <c r="G40" s="55">
        <v>25</v>
      </c>
      <c r="H40" s="49">
        <v>5500</v>
      </c>
      <c r="I40" s="26">
        <f t="shared" si="4"/>
        <v>3849.9999999999995</v>
      </c>
      <c r="J40" s="26">
        <f t="shared" si="5"/>
        <v>3695.9999999999995</v>
      </c>
      <c r="K40" s="26">
        <f t="shared" si="6"/>
        <v>3585.1199999999994</v>
      </c>
      <c r="L40" s="26">
        <f t="shared" si="7"/>
        <v>3549.2687999999994</v>
      </c>
    </row>
    <row r="41" spans="1:12" ht="19.5" customHeight="1" x14ac:dyDescent="0.35">
      <c r="A41" s="43">
        <v>35</v>
      </c>
      <c r="B41" s="43"/>
      <c r="C41" s="50" t="s">
        <v>81</v>
      </c>
      <c r="D41" s="55">
        <v>1</v>
      </c>
      <c r="E41" s="55">
        <v>0.75</v>
      </c>
      <c r="F41" s="55">
        <v>25</v>
      </c>
      <c r="G41" s="55">
        <v>25</v>
      </c>
      <c r="H41" s="49">
        <v>6200</v>
      </c>
      <c r="I41" s="26">
        <f t="shared" si="4"/>
        <v>4340</v>
      </c>
      <c r="J41" s="26">
        <f t="shared" si="5"/>
        <v>4166.3999999999996</v>
      </c>
      <c r="K41" s="26">
        <f t="shared" si="6"/>
        <v>4041.4079999999994</v>
      </c>
      <c r="L41" s="26">
        <f t="shared" si="7"/>
        <v>4000.9939199999994</v>
      </c>
    </row>
    <row r="42" spans="1:12" ht="19.5" customHeight="1" x14ac:dyDescent="0.35">
      <c r="A42" s="42">
        <v>36</v>
      </c>
      <c r="B42" s="43" t="s">
        <v>82</v>
      </c>
      <c r="C42" s="44" t="s">
        <v>83</v>
      </c>
      <c r="D42" s="56">
        <v>0.5</v>
      </c>
      <c r="E42" s="56">
        <v>0.37</v>
      </c>
      <c r="F42" s="56">
        <v>25</v>
      </c>
      <c r="G42" s="56">
        <v>25</v>
      </c>
      <c r="H42" s="49">
        <v>7140</v>
      </c>
      <c r="I42" s="26">
        <f t="shared" si="4"/>
        <v>4998</v>
      </c>
      <c r="J42" s="26">
        <f t="shared" si="5"/>
        <v>4798.08</v>
      </c>
      <c r="K42" s="26">
        <f t="shared" si="6"/>
        <v>4654.1376</v>
      </c>
      <c r="L42" s="26">
        <f t="shared" si="7"/>
        <v>4607.5962239999999</v>
      </c>
    </row>
    <row r="43" spans="1:12" ht="19.5" customHeight="1" x14ac:dyDescent="0.35">
      <c r="A43" s="42">
        <v>37</v>
      </c>
      <c r="B43" s="42" t="s">
        <v>84</v>
      </c>
      <c r="C43" s="48" t="s">
        <v>85</v>
      </c>
      <c r="D43" s="56">
        <v>1.1000000000000001</v>
      </c>
      <c r="E43" s="56">
        <v>0.8</v>
      </c>
      <c r="F43" s="56">
        <v>25</v>
      </c>
      <c r="G43" s="56">
        <v>25</v>
      </c>
      <c r="H43" s="49">
        <v>7700</v>
      </c>
      <c r="I43" s="26">
        <f t="shared" si="4"/>
        <v>5390</v>
      </c>
      <c r="J43" s="26">
        <f t="shared" si="5"/>
        <v>5174.3999999999996</v>
      </c>
      <c r="K43" s="26">
        <f t="shared" si="6"/>
        <v>5019.1679999999997</v>
      </c>
      <c r="L43" s="26">
        <f t="shared" si="7"/>
        <v>4968.9763199999998</v>
      </c>
    </row>
    <row r="44" spans="1:12" ht="19.5" customHeight="1" x14ac:dyDescent="0.35">
      <c r="A44" s="42">
        <v>38</v>
      </c>
      <c r="B44" s="42" t="s">
        <v>86</v>
      </c>
      <c r="C44" s="48" t="s">
        <v>87</v>
      </c>
      <c r="D44" s="56">
        <v>1.5</v>
      </c>
      <c r="E44" s="56">
        <v>1.1000000000000001</v>
      </c>
      <c r="F44" s="56">
        <v>25</v>
      </c>
      <c r="G44" s="56">
        <v>25</v>
      </c>
      <c r="H44" s="49">
        <v>8690</v>
      </c>
      <c r="I44" s="26">
        <f t="shared" si="4"/>
        <v>6083</v>
      </c>
      <c r="J44" s="26">
        <f t="shared" si="5"/>
        <v>5839.6799999999994</v>
      </c>
      <c r="K44" s="26">
        <f t="shared" si="6"/>
        <v>5664.489599999999</v>
      </c>
      <c r="L44" s="26">
        <f t="shared" si="7"/>
        <v>5607.8447039999992</v>
      </c>
    </row>
    <row r="45" spans="1:12" ht="19.5" customHeight="1" x14ac:dyDescent="0.35">
      <c r="A45" s="43">
        <v>39</v>
      </c>
      <c r="B45" s="43" t="s">
        <v>88</v>
      </c>
      <c r="C45" s="44" t="s">
        <v>89</v>
      </c>
      <c r="D45" s="45">
        <v>0.5</v>
      </c>
      <c r="E45" s="45">
        <v>0.37</v>
      </c>
      <c r="F45" s="45">
        <v>25</v>
      </c>
      <c r="G45" s="45">
        <v>12</v>
      </c>
      <c r="H45" s="49">
        <v>4860</v>
      </c>
      <c r="I45" s="26">
        <f t="shared" si="4"/>
        <v>3402</v>
      </c>
      <c r="J45" s="26">
        <f t="shared" si="5"/>
        <v>3265.92</v>
      </c>
      <c r="K45" s="26">
        <f t="shared" si="6"/>
        <v>3167.9423999999999</v>
      </c>
      <c r="L45" s="26">
        <f t="shared" si="7"/>
        <v>3136.262976</v>
      </c>
    </row>
    <row r="46" spans="1:12" ht="19.5" customHeight="1" x14ac:dyDescent="0.35">
      <c r="A46" s="42">
        <v>40</v>
      </c>
      <c r="B46" s="43" t="s">
        <v>90</v>
      </c>
      <c r="C46" s="44" t="s">
        <v>91</v>
      </c>
      <c r="D46" s="45">
        <v>1</v>
      </c>
      <c r="E46" s="45">
        <v>0.75</v>
      </c>
      <c r="F46" s="45">
        <v>25</v>
      </c>
      <c r="G46" s="45">
        <v>25</v>
      </c>
      <c r="H46" s="49">
        <v>5600</v>
      </c>
      <c r="I46" s="26">
        <f t="shared" si="4"/>
        <v>3919.9999999999995</v>
      </c>
      <c r="J46" s="26">
        <f t="shared" si="5"/>
        <v>3763.1999999999994</v>
      </c>
      <c r="K46" s="26">
        <f t="shared" si="6"/>
        <v>3650.3039999999992</v>
      </c>
      <c r="L46" s="26">
        <f t="shared" si="7"/>
        <v>3613.8009599999991</v>
      </c>
    </row>
    <row r="47" spans="1:12" ht="19.5" customHeight="1" x14ac:dyDescent="0.35">
      <c r="A47" s="42">
        <v>41</v>
      </c>
      <c r="B47" s="42" t="s">
        <v>92</v>
      </c>
      <c r="C47" s="48" t="s">
        <v>93</v>
      </c>
      <c r="D47" s="53">
        <v>1</v>
      </c>
      <c r="E47" s="53">
        <v>0.75</v>
      </c>
      <c r="F47" s="53">
        <v>25</v>
      </c>
      <c r="G47" s="53">
        <v>25</v>
      </c>
      <c r="H47" s="54">
        <v>8420</v>
      </c>
      <c r="I47" s="295">
        <v>5570</v>
      </c>
      <c r="J47" s="325"/>
      <c r="K47" s="325"/>
      <c r="L47" s="296"/>
    </row>
    <row r="48" spans="1:12" ht="19.5" customHeight="1" x14ac:dyDescent="0.35">
      <c r="A48" s="42">
        <v>42</v>
      </c>
      <c r="B48" s="42" t="s">
        <v>94</v>
      </c>
      <c r="C48" s="48" t="s">
        <v>95</v>
      </c>
      <c r="D48" s="45">
        <v>1.1000000000000001</v>
      </c>
      <c r="E48" s="45">
        <v>0.8</v>
      </c>
      <c r="F48" s="45">
        <v>25</v>
      </c>
      <c r="G48" s="45">
        <v>25</v>
      </c>
      <c r="H48" s="49">
        <v>12020</v>
      </c>
      <c r="I48" s="26">
        <f t="shared" ref="I48:I54" si="8">H48*0.7</f>
        <v>8414</v>
      </c>
      <c r="J48" s="26">
        <f t="shared" ref="J48:J54" si="9">+I48*0.96</f>
        <v>8077.44</v>
      </c>
      <c r="K48" s="26">
        <f t="shared" ref="K48:K54" si="10">+J48*0.97</f>
        <v>7835.1167999999998</v>
      </c>
      <c r="L48" s="26">
        <f t="shared" si="7"/>
        <v>7756.7656319999996</v>
      </c>
    </row>
    <row r="49" spans="1:12" ht="19.5" customHeight="1" x14ac:dyDescent="0.35">
      <c r="A49" s="43">
        <v>43</v>
      </c>
      <c r="B49" s="43" t="s">
        <v>96</v>
      </c>
      <c r="C49" s="44" t="s">
        <v>97</v>
      </c>
      <c r="D49" s="45">
        <v>0.5</v>
      </c>
      <c r="E49" s="45">
        <v>0.37</v>
      </c>
      <c r="F49" s="45">
        <v>25</v>
      </c>
      <c r="G49" s="45">
        <v>25</v>
      </c>
      <c r="H49" s="49">
        <v>7530</v>
      </c>
      <c r="I49" s="26">
        <f t="shared" si="8"/>
        <v>5271</v>
      </c>
      <c r="J49" s="26">
        <f t="shared" si="9"/>
        <v>5060.16</v>
      </c>
      <c r="K49" s="26">
        <f t="shared" si="10"/>
        <v>4908.3552</v>
      </c>
      <c r="L49" s="26">
        <f t="shared" si="7"/>
        <v>4859.2716479999999</v>
      </c>
    </row>
    <row r="50" spans="1:12" ht="19.5" customHeight="1" x14ac:dyDescent="0.35">
      <c r="A50" s="42">
        <v>44</v>
      </c>
      <c r="B50" s="43" t="s">
        <v>98</v>
      </c>
      <c r="C50" s="44" t="s">
        <v>99</v>
      </c>
      <c r="D50" s="45">
        <v>1</v>
      </c>
      <c r="E50" s="45">
        <v>0.75</v>
      </c>
      <c r="F50" s="45">
        <v>25</v>
      </c>
      <c r="G50" s="45">
        <v>25</v>
      </c>
      <c r="H50" s="49">
        <v>9150</v>
      </c>
      <c r="I50" s="26">
        <f t="shared" si="8"/>
        <v>6405</v>
      </c>
      <c r="J50" s="26">
        <f t="shared" si="9"/>
        <v>6148.8</v>
      </c>
      <c r="K50" s="26">
        <f t="shared" si="10"/>
        <v>5964.3360000000002</v>
      </c>
      <c r="L50" s="26">
        <f t="shared" si="7"/>
        <v>5904.6926400000002</v>
      </c>
    </row>
    <row r="51" spans="1:12" ht="19.5" customHeight="1" x14ac:dyDescent="0.35">
      <c r="A51" s="42">
        <v>45</v>
      </c>
      <c r="B51" s="43" t="s">
        <v>100</v>
      </c>
      <c r="C51" s="44" t="s">
        <v>101</v>
      </c>
      <c r="D51" s="45">
        <v>1</v>
      </c>
      <c r="E51" s="45">
        <v>0.75</v>
      </c>
      <c r="F51" s="45">
        <v>25</v>
      </c>
      <c r="G51" s="45">
        <v>25</v>
      </c>
      <c r="H51" s="57">
        <v>16800</v>
      </c>
      <c r="I51" s="26">
        <f t="shared" si="8"/>
        <v>11760</v>
      </c>
      <c r="J51" s="26">
        <f t="shared" si="9"/>
        <v>11289.6</v>
      </c>
      <c r="K51" s="26">
        <f t="shared" si="10"/>
        <v>10950.912</v>
      </c>
      <c r="L51" s="26">
        <f t="shared" si="7"/>
        <v>10841.40288</v>
      </c>
    </row>
    <row r="52" spans="1:12" ht="19.5" customHeight="1" x14ac:dyDescent="0.35">
      <c r="A52" s="42">
        <v>46</v>
      </c>
      <c r="B52" s="42" t="s">
        <v>102</v>
      </c>
      <c r="C52" s="48" t="s">
        <v>103</v>
      </c>
      <c r="D52" s="45">
        <v>0.5</v>
      </c>
      <c r="E52" s="45">
        <v>0.37</v>
      </c>
      <c r="F52" s="45">
        <v>25</v>
      </c>
      <c r="G52" s="45">
        <v>25</v>
      </c>
      <c r="H52" s="49">
        <v>17760</v>
      </c>
      <c r="I52" s="26">
        <f t="shared" si="8"/>
        <v>12432</v>
      </c>
      <c r="J52" s="26">
        <f t="shared" si="9"/>
        <v>11934.72</v>
      </c>
      <c r="K52" s="26">
        <f t="shared" si="10"/>
        <v>11576.678399999999</v>
      </c>
      <c r="L52" s="26">
        <f t="shared" si="7"/>
        <v>11460.911615999999</v>
      </c>
    </row>
    <row r="53" spans="1:12" ht="19.5" customHeight="1" x14ac:dyDescent="0.35">
      <c r="A53" s="43">
        <v>47</v>
      </c>
      <c r="B53" s="42" t="s">
        <v>104</v>
      </c>
      <c r="C53" s="48" t="s">
        <v>105</v>
      </c>
      <c r="D53" s="45">
        <v>1</v>
      </c>
      <c r="E53" s="45">
        <v>0.75</v>
      </c>
      <c r="F53" s="45">
        <v>25</v>
      </c>
      <c r="G53" s="45">
        <v>25</v>
      </c>
      <c r="H53" s="49">
        <v>19120</v>
      </c>
      <c r="I53" s="26">
        <f t="shared" si="8"/>
        <v>13384</v>
      </c>
      <c r="J53" s="26">
        <f t="shared" si="9"/>
        <v>12848.64</v>
      </c>
      <c r="K53" s="26">
        <f t="shared" si="10"/>
        <v>12463.180799999998</v>
      </c>
      <c r="L53" s="26">
        <f t="shared" si="7"/>
        <v>12338.548991999998</v>
      </c>
    </row>
    <row r="54" spans="1:12" ht="19.5" customHeight="1" x14ac:dyDescent="0.35">
      <c r="A54" s="42">
        <v>48</v>
      </c>
      <c r="B54" s="42" t="s">
        <v>106</v>
      </c>
      <c r="C54" s="48" t="s">
        <v>107</v>
      </c>
      <c r="D54" s="45">
        <v>1.1000000000000001</v>
      </c>
      <c r="E54" s="45">
        <v>0.8</v>
      </c>
      <c r="F54" s="45">
        <v>25</v>
      </c>
      <c r="G54" s="45">
        <v>25</v>
      </c>
      <c r="H54" s="49">
        <v>20900</v>
      </c>
      <c r="I54" s="26">
        <f t="shared" si="8"/>
        <v>14629.999999999998</v>
      </c>
      <c r="J54" s="26">
        <f t="shared" si="9"/>
        <v>14044.799999999997</v>
      </c>
      <c r="K54" s="26">
        <f t="shared" si="10"/>
        <v>13623.455999999996</v>
      </c>
      <c r="L54" s="26">
        <f t="shared" si="7"/>
        <v>13487.221439999996</v>
      </c>
    </row>
    <row r="55" spans="1:12" ht="19.5" customHeight="1" x14ac:dyDescent="0.35">
      <c r="A55" s="284" t="s">
        <v>108</v>
      </c>
      <c r="B55" s="284"/>
      <c r="C55" s="284"/>
      <c r="D55" s="284"/>
      <c r="E55" s="284"/>
      <c r="F55" s="284"/>
      <c r="G55" s="284"/>
      <c r="H55" s="281" t="s">
        <v>109</v>
      </c>
      <c r="I55" s="315" t="s">
        <v>504</v>
      </c>
      <c r="J55" s="315"/>
      <c r="K55" s="315"/>
      <c r="L55" s="315"/>
    </row>
    <row r="56" spans="1:12" ht="19.5" customHeight="1" x14ac:dyDescent="0.35">
      <c r="A56" s="281" t="s">
        <v>2</v>
      </c>
      <c r="B56" s="281" t="s">
        <v>3</v>
      </c>
      <c r="C56" s="283" t="s">
        <v>4</v>
      </c>
      <c r="D56" s="281" t="s">
        <v>5</v>
      </c>
      <c r="E56" s="281"/>
      <c r="F56" s="281" t="s">
        <v>6</v>
      </c>
      <c r="G56" s="281"/>
      <c r="H56" s="281"/>
      <c r="I56" s="323">
        <v>0.3</v>
      </c>
      <c r="J56" s="323">
        <v>0.04</v>
      </c>
      <c r="K56" s="323">
        <v>0.03</v>
      </c>
      <c r="L56" s="323">
        <v>0.01</v>
      </c>
    </row>
    <row r="57" spans="1:12" ht="19.5" customHeight="1" x14ac:dyDescent="0.35">
      <c r="A57" s="281"/>
      <c r="B57" s="281"/>
      <c r="C57" s="283"/>
      <c r="D57" s="58" t="s">
        <v>9</v>
      </c>
      <c r="E57" s="58" t="s">
        <v>10</v>
      </c>
      <c r="F57" s="58" t="s">
        <v>11</v>
      </c>
      <c r="G57" s="58" t="s">
        <v>12</v>
      </c>
      <c r="H57" s="281"/>
      <c r="I57" s="324"/>
      <c r="J57" s="324">
        <v>0.04</v>
      </c>
      <c r="K57" s="324">
        <v>0.03</v>
      </c>
      <c r="L57" s="324">
        <v>0.03</v>
      </c>
    </row>
    <row r="58" spans="1:12" ht="19.5" customHeight="1" x14ac:dyDescent="0.35">
      <c r="A58" s="42">
        <v>1</v>
      </c>
      <c r="B58" s="42" t="s">
        <v>110</v>
      </c>
      <c r="C58" s="48" t="s">
        <v>111</v>
      </c>
      <c r="D58" s="286">
        <v>0.5</v>
      </c>
      <c r="E58" s="286">
        <v>0.37</v>
      </c>
      <c r="F58" s="45">
        <v>25</v>
      </c>
      <c r="G58" s="45">
        <v>25</v>
      </c>
      <c r="H58" s="49">
        <v>4680</v>
      </c>
      <c r="I58" s="26">
        <f t="shared" ref="I58:I113" si="11">H58*0.7</f>
        <v>3276</v>
      </c>
      <c r="J58" s="26">
        <f t="shared" ref="J58:J113" si="12">+I58*0.96</f>
        <v>3144.96</v>
      </c>
      <c r="K58" s="26">
        <f t="shared" ref="K58:K113" si="13">+J58*0.97</f>
        <v>3050.6111999999998</v>
      </c>
      <c r="L58" s="26">
        <f t="shared" ref="L58:L113" si="14">+K58*0.99</f>
        <v>3020.1050879999998</v>
      </c>
    </row>
    <row r="59" spans="1:12" ht="19.5" customHeight="1" x14ac:dyDescent="0.35">
      <c r="A59" s="42">
        <v>2</v>
      </c>
      <c r="B59" s="42" t="s">
        <v>112</v>
      </c>
      <c r="C59" s="48" t="s">
        <v>113</v>
      </c>
      <c r="D59" s="286"/>
      <c r="E59" s="286"/>
      <c r="F59" s="45">
        <v>40</v>
      </c>
      <c r="G59" s="45">
        <v>40</v>
      </c>
      <c r="H59" s="49">
        <v>6430</v>
      </c>
      <c r="I59" s="26">
        <f t="shared" si="11"/>
        <v>4501</v>
      </c>
      <c r="J59" s="26">
        <f t="shared" si="12"/>
        <v>4320.96</v>
      </c>
      <c r="K59" s="26">
        <f t="shared" si="13"/>
        <v>4191.3311999999996</v>
      </c>
      <c r="L59" s="26">
        <f t="shared" si="14"/>
        <v>4149.4178879999999</v>
      </c>
    </row>
    <row r="60" spans="1:12" ht="19.5" customHeight="1" x14ac:dyDescent="0.35">
      <c r="A60" s="43">
        <v>3</v>
      </c>
      <c r="B60" s="43" t="s">
        <v>114</v>
      </c>
      <c r="C60" s="60" t="s">
        <v>115</v>
      </c>
      <c r="D60" s="45">
        <v>0.75</v>
      </c>
      <c r="E60" s="45">
        <v>0.56000000000000005</v>
      </c>
      <c r="F60" s="45">
        <v>40</v>
      </c>
      <c r="G60" s="45">
        <v>40</v>
      </c>
      <c r="H60" s="57">
        <v>6240</v>
      </c>
      <c r="I60" s="26">
        <f t="shared" si="11"/>
        <v>4368</v>
      </c>
      <c r="J60" s="26">
        <f t="shared" si="12"/>
        <v>4193.28</v>
      </c>
      <c r="K60" s="26">
        <f t="shared" si="13"/>
        <v>4067.4815999999996</v>
      </c>
      <c r="L60" s="26">
        <f t="shared" si="14"/>
        <v>4026.8067839999994</v>
      </c>
    </row>
    <row r="61" spans="1:12" ht="19.5" customHeight="1" x14ac:dyDescent="0.35">
      <c r="A61" s="42">
        <v>4</v>
      </c>
      <c r="B61" s="42" t="s">
        <v>116</v>
      </c>
      <c r="C61" s="48" t="s">
        <v>117</v>
      </c>
      <c r="D61" s="285">
        <v>1</v>
      </c>
      <c r="E61" s="285">
        <v>0.75</v>
      </c>
      <c r="F61" s="56">
        <v>25</v>
      </c>
      <c r="G61" s="56">
        <v>25</v>
      </c>
      <c r="H61" s="49">
        <v>7572</v>
      </c>
      <c r="I61" s="26">
        <f t="shared" si="11"/>
        <v>5300.4</v>
      </c>
      <c r="J61" s="26">
        <f t="shared" si="12"/>
        <v>5088.3839999999991</v>
      </c>
      <c r="K61" s="26">
        <f t="shared" si="13"/>
        <v>4935.7324799999988</v>
      </c>
      <c r="L61" s="26">
        <f t="shared" si="14"/>
        <v>4886.3751551999985</v>
      </c>
    </row>
    <row r="62" spans="1:12" ht="19.5" customHeight="1" x14ac:dyDescent="0.35">
      <c r="A62" s="42">
        <v>5</v>
      </c>
      <c r="B62" s="42" t="s">
        <v>118</v>
      </c>
      <c r="C62" s="48" t="s">
        <v>119</v>
      </c>
      <c r="D62" s="285"/>
      <c r="E62" s="285"/>
      <c r="F62" s="56">
        <v>50</v>
      </c>
      <c r="G62" s="56">
        <v>50</v>
      </c>
      <c r="H62" s="49">
        <v>8900</v>
      </c>
      <c r="I62" s="26">
        <f t="shared" si="11"/>
        <v>6230</v>
      </c>
      <c r="J62" s="26">
        <f t="shared" si="12"/>
        <v>5980.8</v>
      </c>
      <c r="K62" s="26">
        <f t="shared" si="13"/>
        <v>5801.3760000000002</v>
      </c>
      <c r="L62" s="26">
        <f t="shared" si="14"/>
        <v>5743.3622400000004</v>
      </c>
    </row>
    <row r="63" spans="1:12" ht="19.5" customHeight="1" x14ac:dyDescent="0.35">
      <c r="A63" s="43">
        <v>6</v>
      </c>
      <c r="B63" s="42" t="s">
        <v>120</v>
      </c>
      <c r="C63" s="48" t="s">
        <v>121</v>
      </c>
      <c r="D63" s="285"/>
      <c r="E63" s="285"/>
      <c r="F63" s="56">
        <v>50</v>
      </c>
      <c r="G63" s="56">
        <v>50</v>
      </c>
      <c r="H63" s="57">
        <v>9100</v>
      </c>
      <c r="I63" s="26">
        <f t="shared" si="11"/>
        <v>6370</v>
      </c>
      <c r="J63" s="26">
        <f t="shared" si="12"/>
        <v>6115.2</v>
      </c>
      <c r="K63" s="26">
        <f t="shared" si="13"/>
        <v>5931.7439999999997</v>
      </c>
      <c r="L63" s="26">
        <f t="shared" si="14"/>
        <v>5872.4265599999999</v>
      </c>
    </row>
    <row r="64" spans="1:12" ht="19.5" customHeight="1" x14ac:dyDescent="0.35">
      <c r="A64" s="42">
        <v>7</v>
      </c>
      <c r="B64" s="43" t="s">
        <v>122</v>
      </c>
      <c r="C64" s="60" t="s">
        <v>123</v>
      </c>
      <c r="D64" s="285"/>
      <c r="E64" s="285"/>
      <c r="F64" s="56">
        <v>50</v>
      </c>
      <c r="G64" s="56">
        <v>50</v>
      </c>
      <c r="H64" s="57">
        <v>9000</v>
      </c>
      <c r="I64" s="26">
        <f t="shared" si="11"/>
        <v>6300</v>
      </c>
      <c r="J64" s="26">
        <f t="shared" si="12"/>
        <v>6048</v>
      </c>
      <c r="K64" s="26">
        <f t="shared" si="13"/>
        <v>5866.5599999999995</v>
      </c>
      <c r="L64" s="26">
        <f t="shared" si="14"/>
        <v>5807.8943999999992</v>
      </c>
    </row>
    <row r="65" spans="1:12" ht="19.5" customHeight="1" x14ac:dyDescent="0.35">
      <c r="A65" s="42">
        <v>8</v>
      </c>
      <c r="B65" s="43" t="s">
        <v>124</v>
      </c>
      <c r="C65" s="61" t="s">
        <v>125</v>
      </c>
      <c r="D65" s="285"/>
      <c r="E65" s="285"/>
      <c r="F65" s="56">
        <v>75</v>
      </c>
      <c r="G65" s="56">
        <v>75</v>
      </c>
      <c r="H65" s="49">
        <v>10000</v>
      </c>
      <c r="I65" s="26">
        <f t="shared" si="11"/>
        <v>7000</v>
      </c>
      <c r="J65" s="26">
        <f t="shared" si="12"/>
        <v>6720</v>
      </c>
      <c r="K65" s="26">
        <f t="shared" si="13"/>
        <v>6518.4</v>
      </c>
      <c r="L65" s="26">
        <f t="shared" si="14"/>
        <v>6453.2159999999994</v>
      </c>
    </row>
    <row r="66" spans="1:12" ht="19.5" customHeight="1" x14ac:dyDescent="0.35">
      <c r="A66" s="43">
        <v>9</v>
      </c>
      <c r="B66" s="43"/>
      <c r="C66" s="60" t="s">
        <v>126</v>
      </c>
      <c r="D66" s="285"/>
      <c r="E66" s="285"/>
      <c r="F66" s="56">
        <v>75</v>
      </c>
      <c r="G66" s="56">
        <v>75</v>
      </c>
      <c r="H66" s="57">
        <v>10200</v>
      </c>
      <c r="I66" s="26">
        <f t="shared" si="11"/>
        <v>7140</v>
      </c>
      <c r="J66" s="26">
        <f t="shared" si="12"/>
        <v>6854.4</v>
      </c>
      <c r="K66" s="26">
        <f t="shared" si="13"/>
        <v>6648.7679999999991</v>
      </c>
      <c r="L66" s="26">
        <f t="shared" si="14"/>
        <v>6582.2803199999989</v>
      </c>
    </row>
    <row r="67" spans="1:12" ht="19.5" customHeight="1" x14ac:dyDescent="0.35">
      <c r="A67" s="42">
        <v>10</v>
      </c>
      <c r="B67" s="43" t="s">
        <v>127</v>
      </c>
      <c r="C67" s="61" t="s">
        <v>128</v>
      </c>
      <c r="D67" s="285">
        <v>1.5</v>
      </c>
      <c r="E67" s="285">
        <v>1.1000000000000001</v>
      </c>
      <c r="F67" s="56">
        <v>50</v>
      </c>
      <c r="G67" s="56">
        <v>50</v>
      </c>
      <c r="H67" s="57">
        <v>10420</v>
      </c>
      <c r="I67" s="26">
        <f t="shared" si="11"/>
        <v>7293.9999999999991</v>
      </c>
      <c r="J67" s="26">
        <f t="shared" si="12"/>
        <v>7002.2399999999989</v>
      </c>
      <c r="K67" s="26">
        <f t="shared" si="13"/>
        <v>6792.1727999999985</v>
      </c>
      <c r="L67" s="26">
        <f t="shared" si="14"/>
        <v>6724.2510719999982</v>
      </c>
    </row>
    <row r="68" spans="1:12" ht="19.5" customHeight="1" x14ac:dyDescent="0.35">
      <c r="A68" s="42">
        <v>11</v>
      </c>
      <c r="B68" s="43" t="s">
        <v>129</v>
      </c>
      <c r="C68" s="60" t="s">
        <v>130</v>
      </c>
      <c r="D68" s="285"/>
      <c r="E68" s="285"/>
      <c r="F68" s="56">
        <v>50</v>
      </c>
      <c r="G68" s="56">
        <v>50</v>
      </c>
      <c r="H68" s="57">
        <v>10600</v>
      </c>
      <c r="I68" s="26">
        <f t="shared" si="11"/>
        <v>7419.9999999999991</v>
      </c>
      <c r="J68" s="26">
        <f t="shared" si="12"/>
        <v>7123.1999999999989</v>
      </c>
      <c r="K68" s="26">
        <f t="shared" si="13"/>
        <v>6909.503999999999</v>
      </c>
      <c r="L68" s="26">
        <f t="shared" si="14"/>
        <v>6840.4089599999988</v>
      </c>
    </row>
    <row r="69" spans="1:12" ht="19.5" customHeight="1" x14ac:dyDescent="0.35">
      <c r="A69" s="43">
        <v>12</v>
      </c>
      <c r="B69" s="43" t="s">
        <v>131</v>
      </c>
      <c r="C69" s="61" t="s">
        <v>132</v>
      </c>
      <c r="D69" s="285"/>
      <c r="E69" s="285"/>
      <c r="F69" s="56">
        <v>65</v>
      </c>
      <c r="G69" s="56">
        <v>50</v>
      </c>
      <c r="H69" s="57">
        <v>10600</v>
      </c>
      <c r="I69" s="26">
        <f t="shared" si="11"/>
        <v>7419.9999999999991</v>
      </c>
      <c r="J69" s="26">
        <f t="shared" si="12"/>
        <v>7123.1999999999989</v>
      </c>
      <c r="K69" s="26">
        <f t="shared" si="13"/>
        <v>6909.503999999999</v>
      </c>
      <c r="L69" s="26">
        <f t="shared" si="14"/>
        <v>6840.4089599999988</v>
      </c>
    </row>
    <row r="70" spans="1:12" ht="19.5" customHeight="1" x14ac:dyDescent="0.35">
      <c r="A70" s="42">
        <v>13</v>
      </c>
      <c r="B70" s="43" t="s">
        <v>133</v>
      </c>
      <c r="C70" s="60" t="s">
        <v>134</v>
      </c>
      <c r="D70" s="285"/>
      <c r="E70" s="285"/>
      <c r="F70" s="56">
        <v>65</v>
      </c>
      <c r="G70" s="56">
        <v>50</v>
      </c>
      <c r="H70" s="57">
        <v>10800</v>
      </c>
      <c r="I70" s="26">
        <f t="shared" si="11"/>
        <v>7559.9999999999991</v>
      </c>
      <c r="J70" s="26">
        <f t="shared" si="12"/>
        <v>7257.5999999999985</v>
      </c>
      <c r="K70" s="26">
        <f t="shared" si="13"/>
        <v>7039.8719999999985</v>
      </c>
      <c r="L70" s="26">
        <f t="shared" si="14"/>
        <v>6969.4732799999983</v>
      </c>
    </row>
    <row r="71" spans="1:12" ht="19.5" customHeight="1" x14ac:dyDescent="0.35">
      <c r="A71" s="42">
        <v>14</v>
      </c>
      <c r="B71" s="43" t="s">
        <v>135</v>
      </c>
      <c r="C71" s="61" t="s">
        <v>136</v>
      </c>
      <c r="D71" s="285"/>
      <c r="E71" s="285"/>
      <c r="F71" s="56">
        <v>75</v>
      </c>
      <c r="G71" s="56">
        <v>75</v>
      </c>
      <c r="H71" s="49">
        <v>11000</v>
      </c>
      <c r="I71" s="26">
        <f t="shared" si="11"/>
        <v>7699.9999999999991</v>
      </c>
      <c r="J71" s="26">
        <f t="shared" si="12"/>
        <v>7391.9999999999991</v>
      </c>
      <c r="K71" s="26">
        <f t="shared" si="13"/>
        <v>7170.2399999999989</v>
      </c>
      <c r="L71" s="26">
        <f t="shared" si="14"/>
        <v>7098.5375999999987</v>
      </c>
    </row>
    <row r="72" spans="1:12" ht="19.5" customHeight="1" x14ac:dyDescent="0.35">
      <c r="A72" s="43">
        <v>15</v>
      </c>
      <c r="B72" s="43" t="s">
        <v>137</v>
      </c>
      <c r="C72" s="60" t="s">
        <v>138</v>
      </c>
      <c r="D72" s="285"/>
      <c r="E72" s="285"/>
      <c r="F72" s="56">
        <v>75</v>
      </c>
      <c r="G72" s="56">
        <v>75</v>
      </c>
      <c r="H72" s="57">
        <v>11200</v>
      </c>
      <c r="I72" s="26">
        <f t="shared" si="11"/>
        <v>7839.9999999999991</v>
      </c>
      <c r="J72" s="26">
        <f t="shared" si="12"/>
        <v>7526.3999999999987</v>
      </c>
      <c r="K72" s="26">
        <f t="shared" si="13"/>
        <v>7300.6079999999984</v>
      </c>
      <c r="L72" s="26">
        <f t="shared" si="14"/>
        <v>7227.6019199999982</v>
      </c>
    </row>
    <row r="73" spans="1:12" ht="19.5" customHeight="1" x14ac:dyDescent="0.35">
      <c r="A73" s="42">
        <v>16</v>
      </c>
      <c r="B73" s="43" t="s">
        <v>139</v>
      </c>
      <c r="C73" s="60" t="s">
        <v>140</v>
      </c>
      <c r="D73" s="285"/>
      <c r="E73" s="285"/>
      <c r="F73" s="56">
        <v>75</v>
      </c>
      <c r="G73" s="56">
        <v>75</v>
      </c>
      <c r="H73" s="57">
        <v>11200</v>
      </c>
      <c r="I73" s="26">
        <f t="shared" si="11"/>
        <v>7839.9999999999991</v>
      </c>
      <c r="J73" s="26">
        <f t="shared" si="12"/>
        <v>7526.3999999999987</v>
      </c>
      <c r="K73" s="26">
        <f t="shared" si="13"/>
        <v>7300.6079999999984</v>
      </c>
      <c r="L73" s="26">
        <f t="shared" si="14"/>
        <v>7227.6019199999982</v>
      </c>
    </row>
    <row r="74" spans="1:12" ht="19.5" customHeight="1" x14ac:dyDescent="0.35">
      <c r="A74" s="42">
        <v>17</v>
      </c>
      <c r="B74" s="43" t="s">
        <v>141</v>
      </c>
      <c r="C74" s="61" t="s">
        <v>142</v>
      </c>
      <c r="D74" s="285">
        <v>2</v>
      </c>
      <c r="E74" s="285">
        <v>1.5</v>
      </c>
      <c r="F74" s="56">
        <v>50</v>
      </c>
      <c r="G74" s="56">
        <v>40</v>
      </c>
      <c r="H74" s="49">
        <v>15000</v>
      </c>
      <c r="I74" s="26">
        <f t="shared" si="11"/>
        <v>10500</v>
      </c>
      <c r="J74" s="26">
        <f t="shared" si="12"/>
        <v>10080</v>
      </c>
      <c r="K74" s="26">
        <f t="shared" si="13"/>
        <v>9777.6</v>
      </c>
      <c r="L74" s="26">
        <f t="shared" si="14"/>
        <v>9679.8240000000005</v>
      </c>
    </row>
    <row r="75" spans="1:12" ht="19.5" customHeight="1" x14ac:dyDescent="0.35">
      <c r="A75" s="43">
        <v>18</v>
      </c>
      <c r="B75" s="43" t="s">
        <v>143</v>
      </c>
      <c r="C75" s="60" t="s">
        <v>144</v>
      </c>
      <c r="D75" s="285"/>
      <c r="E75" s="285"/>
      <c r="F75" s="56">
        <v>50</v>
      </c>
      <c r="G75" s="56">
        <v>40</v>
      </c>
      <c r="H75" s="57">
        <v>15200</v>
      </c>
      <c r="I75" s="26">
        <f t="shared" si="11"/>
        <v>10640</v>
      </c>
      <c r="J75" s="26">
        <f t="shared" si="12"/>
        <v>10214.4</v>
      </c>
      <c r="K75" s="26">
        <f t="shared" si="13"/>
        <v>9907.9679999999989</v>
      </c>
      <c r="L75" s="26">
        <f t="shared" si="14"/>
        <v>9808.8883199999982</v>
      </c>
    </row>
    <row r="76" spans="1:12" ht="19.5" customHeight="1" x14ac:dyDescent="0.35">
      <c r="A76" s="42">
        <v>19</v>
      </c>
      <c r="B76" s="42" t="s">
        <v>145</v>
      </c>
      <c r="C76" s="48" t="s">
        <v>146</v>
      </c>
      <c r="D76" s="285"/>
      <c r="E76" s="285"/>
      <c r="F76" s="56">
        <v>50</v>
      </c>
      <c r="G76" s="56">
        <v>50</v>
      </c>
      <c r="H76" s="49">
        <v>13000</v>
      </c>
      <c r="I76" s="26">
        <f t="shared" si="11"/>
        <v>9100</v>
      </c>
      <c r="J76" s="26">
        <f t="shared" si="12"/>
        <v>8736</v>
      </c>
      <c r="K76" s="26">
        <f t="shared" si="13"/>
        <v>8473.92</v>
      </c>
      <c r="L76" s="26">
        <f t="shared" si="14"/>
        <v>8389.1808000000001</v>
      </c>
    </row>
    <row r="77" spans="1:12" ht="19.5" customHeight="1" x14ac:dyDescent="0.35">
      <c r="A77" s="42">
        <v>20</v>
      </c>
      <c r="B77" s="43" t="s">
        <v>147</v>
      </c>
      <c r="C77" s="60" t="s">
        <v>148</v>
      </c>
      <c r="D77" s="285"/>
      <c r="E77" s="285"/>
      <c r="F77" s="56">
        <v>50</v>
      </c>
      <c r="G77" s="56">
        <v>50</v>
      </c>
      <c r="H77" s="57">
        <v>13200</v>
      </c>
      <c r="I77" s="26">
        <f t="shared" si="11"/>
        <v>9240</v>
      </c>
      <c r="J77" s="26">
        <f t="shared" si="12"/>
        <v>8870.4</v>
      </c>
      <c r="K77" s="26">
        <f t="shared" si="13"/>
        <v>8604.2879999999986</v>
      </c>
      <c r="L77" s="26">
        <f t="shared" si="14"/>
        <v>8518.2451199999978</v>
      </c>
    </row>
    <row r="78" spans="1:12" ht="19.5" customHeight="1" x14ac:dyDescent="0.35">
      <c r="A78" s="43">
        <v>21</v>
      </c>
      <c r="B78" s="42" t="s">
        <v>149</v>
      </c>
      <c r="C78" s="48" t="s">
        <v>150</v>
      </c>
      <c r="D78" s="285"/>
      <c r="E78" s="285"/>
      <c r="F78" s="56">
        <v>65</v>
      </c>
      <c r="G78" s="56">
        <v>50</v>
      </c>
      <c r="H78" s="49">
        <v>13300</v>
      </c>
      <c r="I78" s="26">
        <f t="shared" si="11"/>
        <v>9310</v>
      </c>
      <c r="J78" s="26">
        <f t="shared" si="12"/>
        <v>8937.6</v>
      </c>
      <c r="K78" s="26">
        <f t="shared" si="13"/>
        <v>8669.4719999999998</v>
      </c>
      <c r="L78" s="26">
        <f t="shared" si="14"/>
        <v>8582.7772800000002</v>
      </c>
    </row>
    <row r="79" spans="1:12" ht="19.5" customHeight="1" x14ac:dyDescent="0.35">
      <c r="A79" s="42">
        <v>22</v>
      </c>
      <c r="B79" s="42" t="s">
        <v>151</v>
      </c>
      <c r="C79" s="48" t="s">
        <v>152</v>
      </c>
      <c r="D79" s="285"/>
      <c r="E79" s="285"/>
      <c r="F79" s="56">
        <v>65</v>
      </c>
      <c r="G79" s="56">
        <v>50</v>
      </c>
      <c r="H79" s="57">
        <v>13500</v>
      </c>
      <c r="I79" s="26">
        <f t="shared" si="11"/>
        <v>9450</v>
      </c>
      <c r="J79" s="26">
        <f t="shared" si="12"/>
        <v>9072</v>
      </c>
      <c r="K79" s="26">
        <f t="shared" si="13"/>
        <v>8799.84</v>
      </c>
      <c r="L79" s="26">
        <f t="shared" si="14"/>
        <v>8711.8415999999997</v>
      </c>
    </row>
    <row r="80" spans="1:12" ht="19.5" customHeight="1" x14ac:dyDescent="0.35">
      <c r="A80" s="42">
        <v>23</v>
      </c>
      <c r="B80" s="43" t="s">
        <v>153</v>
      </c>
      <c r="C80" s="60" t="s">
        <v>154</v>
      </c>
      <c r="D80" s="285"/>
      <c r="E80" s="285"/>
      <c r="F80" s="56">
        <v>65</v>
      </c>
      <c r="G80" s="56">
        <v>50</v>
      </c>
      <c r="H80" s="57">
        <v>13340</v>
      </c>
      <c r="I80" s="26">
        <f t="shared" si="11"/>
        <v>9338</v>
      </c>
      <c r="J80" s="26">
        <f t="shared" si="12"/>
        <v>8964.48</v>
      </c>
      <c r="K80" s="26">
        <f t="shared" si="13"/>
        <v>8695.5455999999995</v>
      </c>
      <c r="L80" s="26">
        <f t="shared" si="14"/>
        <v>8608.5901439999998</v>
      </c>
    </row>
    <row r="81" spans="1:12" ht="19.5" customHeight="1" x14ac:dyDescent="0.35">
      <c r="A81" s="43">
        <v>24</v>
      </c>
      <c r="B81" s="42"/>
      <c r="C81" s="48" t="s">
        <v>155</v>
      </c>
      <c r="D81" s="285"/>
      <c r="E81" s="285"/>
      <c r="F81" s="56">
        <v>65</v>
      </c>
      <c r="G81" s="56">
        <v>50</v>
      </c>
      <c r="H81" s="49">
        <v>13300</v>
      </c>
      <c r="I81" s="26">
        <f t="shared" si="11"/>
        <v>9310</v>
      </c>
      <c r="J81" s="26">
        <f t="shared" si="12"/>
        <v>8937.6</v>
      </c>
      <c r="K81" s="26">
        <f t="shared" si="13"/>
        <v>8669.4719999999998</v>
      </c>
      <c r="L81" s="26">
        <f t="shared" si="14"/>
        <v>8582.7772800000002</v>
      </c>
    </row>
    <row r="82" spans="1:12" ht="19.5" customHeight="1" x14ac:dyDescent="0.35">
      <c r="A82" s="42">
        <v>25</v>
      </c>
      <c r="B82" s="43" t="s">
        <v>156</v>
      </c>
      <c r="C82" s="60" t="s">
        <v>157</v>
      </c>
      <c r="D82" s="285"/>
      <c r="E82" s="285"/>
      <c r="F82" s="56">
        <v>75</v>
      </c>
      <c r="G82" s="56">
        <v>75</v>
      </c>
      <c r="H82" s="57">
        <v>13600</v>
      </c>
      <c r="I82" s="26">
        <f t="shared" si="11"/>
        <v>9520</v>
      </c>
      <c r="J82" s="26">
        <f t="shared" si="12"/>
        <v>9139.1999999999989</v>
      </c>
      <c r="K82" s="26">
        <f t="shared" si="13"/>
        <v>8865.0239999999994</v>
      </c>
      <c r="L82" s="26">
        <f t="shared" si="14"/>
        <v>8776.3737599999986</v>
      </c>
    </row>
    <row r="83" spans="1:12" ht="19.5" customHeight="1" x14ac:dyDescent="0.35">
      <c r="A83" s="42">
        <v>26</v>
      </c>
      <c r="B83" s="42" t="s">
        <v>158</v>
      </c>
      <c r="C83" s="48" t="s">
        <v>159</v>
      </c>
      <c r="D83" s="285"/>
      <c r="E83" s="285"/>
      <c r="F83" s="56">
        <v>75</v>
      </c>
      <c r="G83" s="56">
        <v>75</v>
      </c>
      <c r="H83" s="49">
        <v>13450</v>
      </c>
      <c r="I83" s="26">
        <f t="shared" si="11"/>
        <v>9415</v>
      </c>
      <c r="J83" s="26">
        <f t="shared" si="12"/>
        <v>9038.4</v>
      </c>
      <c r="K83" s="26">
        <f t="shared" si="13"/>
        <v>8767.2479999999996</v>
      </c>
      <c r="L83" s="26">
        <f t="shared" si="14"/>
        <v>8679.5755200000003</v>
      </c>
    </row>
    <row r="84" spans="1:12" ht="19.5" customHeight="1" x14ac:dyDescent="0.35">
      <c r="A84" s="43">
        <v>27</v>
      </c>
      <c r="B84" s="42" t="s">
        <v>160</v>
      </c>
      <c r="C84" s="48" t="s">
        <v>161</v>
      </c>
      <c r="D84" s="285"/>
      <c r="E84" s="285"/>
      <c r="F84" s="56">
        <v>75</v>
      </c>
      <c r="G84" s="56">
        <v>75</v>
      </c>
      <c r="H84" s="57">
        <v>13800</v>
      </c>
      <c r="I84" s="26">
        <f t="shared" si="11"/>
        <v>9660</v>
      </c>
      <c r="J84" s="26">
        <f t="shared" si="12"/>
        <v>9273.6</v>
      </c>
      <c r="K84" s="26">
        <f t="shared" si="13"/>
        <v>8995.3919999999998</v>
      </c>
      <c r="L84" s="26">
        <f t="shared" si="14"/>
        <v>8905.4380799999999</v>
      </c>
    </row>
    <row r="85" spans="1:12" ht="19.5" customHeight="1" x14ac:dyDescent="0.35">
      <c r="A85" s="42">
        <v>28</v>
      </c>
      <c r="B85" s="42" t="s">
        <v>162</v>
      </c>
      <c r="C85" s="48" t="s">
        <v>163</v>
      </c>
      <c r="D85" s="285"/>
      <c r="E85" s="285"/>
      <c r="F85" s="56">
        <v>75</v>
      </c>
      <c r="G85" s="56">
        <v>75</v>
      </c>
      <c r="H85" s="57">
        <v>14000</v>
      </c>
      <c r="I85" s="26">
        <f t="shared" si="11"/>
        <v>9800</v>
      </c>
      <c r="J85" s="26">
        <f t="shared" si="12"/>
        <v>9408</v>
      </c>
      <c r="K85" s="26">
        <f t="shared" si="13"/>
        <v>9125.76</v>
      </c>
      <c r="L85" s="26">
        <f t="shared" si="14"/>
        <v>9034.5023999999994</v>
      </c>
    </row>
    <row r="86" spans="1:12" ht="19.5" customHeight="1" x14ac:dyDescent="0.35">
      <c r="A86" s="42">
        <v>29</v>
      </c>
      <c r="B86" s="42" t="s">
        <v>164</v>
      </c>
      <c r="C86" s="48" t="s">
        <v>165</v>
      </c>
      <c r="D86" s="285"/>
      <c r="E86" s="285"/>
      <c r="F86" s="56">
        <v>75</v>
      </c>
      <c r="G86" s="56">
        <v>75</v>
      </c>
      <c r="H86" s="57">
        <v>14500</v>
      </c>
      <c r="I86" s="26">
        <f t="shared" si="11"/>
        <v>10150</v>
      </c>
      <c r="J86" s="26">
        <f t="shared" si="12"/>
        <v>9744</v>
      </c>
      <c r="K86" s="26">
        <f t="shared" si="13"/>
        <v>9451.68</v>
      </c>
      <c r="L86" s="26">
        <f t="shared" si="14"/>
        <v>9357.1632000000009</v>
      </c>
    </row>
    <row r="87" spans="1:12" ht="19.5" customHeight="1" x14ac:dyDescent="0.35">
      <c r="A87" s="43">
        <v>30</v>
      </c>
      <c r="B87" s="43" t="s">
        <v>166</v>
      </c>
      <c r="C87" s="60" t="s">
        <v>167</v>
      </c>
      <c r="D87" s="285"/>
      <c r="E87" s="285"/>
      <c r="F87" s="56">
        <v>75</v>
      </c>
      <c r="G87" s="56">
        <v>75</v>
      </c>
      <c r="H87" s="57">
        <v>13550</v>
      </c>
      <c r="I87" s="26">
        <f t="shared" si="11"/>
        <v>9485</v>
      </c>
      <c r="J87" s="26">
        <f t="shared" si="12"/>
        <v>9105.6</v>
      </c>
      <c r="K87" s="26">
        <f t="shared" si="13"/>
        <v>8832.4320000000007</v>
      </c>
      <c r="L87" s="26">
        <f t="shared" si="14"/>
        <v>8744.107680000001</v>
      </c>
    </row>
    <row r="88" spans="1:12" ht="19.5" customHeight="1" x14ac:dyDescent="0.35">
      <c r="A88" s="42">
        <v>31</v>
      </c>
      <c r="B88" s="42" t="s">
        <v>168</v>
      </c>
      <c r="C88" s="48" t="s">
        <v>169</v>
      </c>
      <c r="D88" s="285"/>
      <c r="E88" s="285"/>
      <c r="F88" s="56">
        <v>75</v>
      </c>
      <c r="G88" s="56">
        <v>65</v>
      </c>
      <c r="H88" s="49">
        <v>13450</v>
      </c>
      <c r="I88" s="26">
        <f t="shared" si="11"/>
        <v>9415</v>
      </c>
      <c r="J88" s="26">
        <f t="shared" si="12"/>
        <v>9038.4</v>
      </c>
      <c r="K88" s="26">
        <f t="shared" si="13"/>
        <v>8767.2479999999996</v>
      </c>
      <c r="L88" s="26">
        <f t="shared" si="14"/>
        <v>8679.5755200000003</v>
      </c>
    </row>
    <row r="89" spans="1:12" ht="19.5" customHeight="1" x14ac:dyDescent="0.35">
      <c r="A89" s="42">
        <v>32</v>
      </c>
      <c r="B89" s="42" t="s">
        <v>170</v>
      </c>
      <c r="C89" s="48" t="s">
        <v>171</v>
      </c>
      <c r="D89" s="285"/>
      <c r="E89" s="285"/>
      <c r="F89" s="56">
        <v>75</v>
      </c>
      <c r="G89" s="56">
        <v>65</v>
      </c>
      <c r="H89" s="57">
        <v>13740</v>
      </c>
      <c r="I89" s="26">
        <f t="shared" si="11"/>
        <v>9618</v>
      </c>
      <c r="J89" s="26">
        <f t="shared" si="12"/>
        <v>9233.2799999999988</v>
      </c>
      <c r="K89" s="26">
        <f t="shared" si="13"/>
        <v>8956.2815999999984</v>
      </c>
      <c r="L89" s="26">
        <f t="shared" si="14"/>
        <v>8866.7187839999988</v>
      </c>
    </row>
    <row r="90" spans="1:12" ht="19.5" customHeight="1" x14ac:dyDescent="0.35">
      <c r="A90" s="43">
        <v>33</v>
      </c>
      <c r="B90" s="43"/>
      <c r="C90" s="61" t="s">
        <v>172</v>
      </c>
      <c r="D90" s="285"/>
      <c r="E90" s="285"/>
      <c r="F90" s="56">
        <v>100</v>
      </c>
      <c r="G90" s="56">
        <v>100</v>
      </c>
      <c r="H90" s="49">
        <v>15000</v>
      </c>
      <c r="I90" s="26">
        <f t="shared" si="11"/>
        <v>10500</v>
      </c>
      <c r="J90" s="26">
        <f t="shared" si="12"/>
        <v>10080</v>
      </c>
      <c r="K90" s="26">
        <f t="shared" si="13"/>
        <v>9777.6</v>
      </c>
      <c r="L90" s="26">
        <f t="shared" si="14"/>
        <v>9679.8240000000005</v>
      </c>
    </row>
    <row r="91" spans="1:12" ht="19.5" customHeight="1" x14ac:dyDescent="0.35">
      <c r="A91" s="42">
        <v>34</v>
      </c>
      <c r="B91" s="43"/>
      <c r="C91" s="60" t="s">
        <v>173</v>
      </c>
      <c r="D91" s="285"/>
      <c r="E91" s="285"/>
      <c r="F91" s="56">
        <v>100</v>
      </c>
      <c r="G91" s="56">
        <v>100</v>
      </c>
      <c r="H91" s="57">
        <v>15200</v>
      </c>
      <c r="I91" s="26">
        <f t="shared" si="11"/>
        <v>10640</v>
      </c>
      <c r="J91" s="26">
        <f t="shared" si="12"/>
        <v>10214.4</v>
      </c>
      <c r="K91" s="26">
        <f t="shared" si="13"/>
        <v>9907.9679999999989</v>
      </c>
      <c r="L91" s="26">
        <f t="shared" si="14"/>
        <v>9808.8883199999982</v>
      </c>
    </row>
    <row r="92" spans="1:12" ht="19.5" customHeight="1" x14ac:dyDescent="0.35">
      <c r="A92" s="42">
        <v>35</v>
      </c>
      <c r="B92" s="43"/>
      <c r="C92" s="61" t="s">
        <v>174</v>
      </c>
      <c r="D92" s="285">
        <v>3</v>
      </c>
      <c r="E92" s="285">
        <v>2.25</v>
      </c>
      <c r="F92" s="56">
        <v>50</v>
      </c>
      <c r="G92" s="56">
        <v>40</v>
      </c>
      <c r="H92" s="49">
        <v>18000</v>
      </c>
      <c r="I92" s="26">
        <f t="shared" si="11"/>
        <v>12600</v>
      </c>
      <c r="J92" s="26">
        <f t="shared" si="12"/>
        <v>12096</v>
      </c>
      <c r="K92" s="26">
        <f t="shared" si="13"/>
        <v>11733.119999999999</v>
      </c>
      <c r="L92" s="26">
        <f t="shared" si="14"/>
        <v>11615.788799999998</v>
      </c>
    </row>
    <row r="93" spans="1:12" ht="19.5" customHeight="1" x14ac:dyDescent="0.35">
      <c r="A93" s="43">
        <v>36</v>
      </c>
      <c r="B93" s="43" t="s">
        <v>175</v>
      </c>
      <c r="C93" s="60" t="s">
        <v>176</v>
      </c>
      <c r="D93" s="285"/>
      <c r="E93" s="285"/>
      <c r="F93" s="56">
        <v>50</v>
      </c>
      <c r="G93" s="56">
        <v>40</v>
      </c>
      <c r="H93" s="57">
        <v>18560</v>
      </c>
      <c r="I93" s="26">
        <f t="shared" si="11"/>
        <v>12992</v>
      </c>
      <c r="J93" s="26">
        <f t="shared" si="12"/>
        <v>12472.32</v>
      </c>
      <c r="K93" s="26">
        <f t="shared" si="13"/>
        <v>12098.150399999999</v>
      </c>
      <c r="L93" s="26">
        <f t="shared" si="14"/>
        <v>11977.168895999999</v>
      </c>
    </row>
    <row r="94" spans="1:12" ht="19.5" customHeight="1" x14ac:dyDescent="0.35">
      <c r="A94" s="42">
        <v>37</v>
      </c>
      <c r="B94" s="43" t="s">
        <v>177</v>
      </c>
      <c r="C94" s="61" t="s">
        <v>178</v>
      </c>
      <c r="D94" s="285"/>
      <c r="E94" s="285"/>
      <c r="F94" s="56">
        <v>50</v>
      </c>
      <c r="G94" s="56">
        <v>50</v>
      </c>
      <c r="H94" s="49">
        <v>18250</v>
      </c>
      <c r="I94" s="26">
        <f t="shared" si="11"/>
        <v>12775</v>
      </c>
      <c r="J94" s="26">
        <f t="shared" si="12"/>
        <v>12264</v>
      </c>
      <c r="K94" s="26">
        <f t="shared" si="13"/>
        <v>11896.08</v>
      </c>
      <c r="L94" s="26">
        <f t="shared" si="14"/>
        <v>11777.119199999999</v>
      </c>
    </row>
    <row r="95" spans="1:12" ht="19.5" customHeight="1" x14ac:dyDescent="0.35">
      <c r="A95" s="42">
        <v>38</v>
      </c>
      <c r="B95" s="43" t="s">
        <v>179</v>
      </c>
      <c r="C95" s="60" t="s">
        <v>180</v>
      </c>
      <c r="D95" s="285"/>
      <c r="E95" s="285"/>
      <c r="F95" s="56">
        <v>50</v>
      </c>
      <c r="G95" s="56">
        <v>50</v>
      </c>
      <c r="H95" s="57">
        <v>18670</v>
      </c>
      <c r="I95" s="26">
        <f t="shared" si="11"/>
        <v>13069</v>
      </c>
      <c r="J95" s="26">
        <f t="shared" si="12"/>
        <v>12546.24</v>
      </c>
      <c r="K95" s="26">
        <f t="shared" si="13"/>
        <v>12169.852799999999</v>
      </c>
      <c r="L95" s="26">
        <f t="shared" si="14"/>
        <v>12048.154271999998</v>
      </c>
    </row>
    <row r="96" spans="1:12" ht="19.5" customHeight="1" x14ac:dyDescent="0.35">
      <c r="A96" s="43">
        <v>39</v>
      </c>
      <c r="B96" s="42" t="s">
        <v>181</v>
      </c>
      <c r="C96" s="48" t="s">
        <v>182</v>
      </c>
      <c r="D96" s="285"/>
      <c r="E96" s="285"/>
      <c r="F96" s="56">
        <v>65</v>
      </c>
      <c r="G96" s="56">
        <v>50</v>
      </c>
      <c r="H96" s="49">
        <v>18100</v>
      </c>
      <c r="I96" s="26">
        <f t="shared" si="11"/>
        <v>12670</v>
      </c>
      <c r="J96" s="26">
        <f t="shared" si="12"/>
        <v>12163.199999999999</v>
      </c>
      <c r="K96" s="26">
        <f t="shared" si="13"/>
        <v>11798.303999999998</v>
      </c>
      <c r="L96" s="26">
        <f t="shared" si="14"/>
        <v>11680.320959999997</v>
      </c>
    </row>
    <row r="97" spans="1:12" ht="19.5" customHeight="1" x14ac:dyDescent="0.35">
      <c r="A97" s="42">
        <v>40</v>
      </c>
      <c r="B97" s="42" t="s">
        <v>183</v>
      </c>
      <c r="C97" s="48" t="s">
        <v>184</v>
      </c>
      <c r="D97" s="285"/>
      <c r="E97" s="285"/>
      <c r="F97" s="56">
        <v>65</v>
      </c>
      <c r="G97" s="56">
        <v>50</v>
      </c>
      <c r="H97" s="57">
        <v>18770</v>
      </c>
      <c r="I97" s="26">
        <f t="shared" si="11"/>
        <v>13139</v>
      </c>
      <c r="J97" s="26">
        <f t="shared" si="12"/>
        <v>12613.439999999999</v>
      </c>
      <c r="K97" s="26">
        <f t="shared" si="13"/>
        <v>12235.036799999998</v>
      </c>
      <c r="L97" s="26">
        <f t="shared" si="14"/>
        <v>12112.686431999999</v>
      </c>
    </row>
    <row r="98" spans="1:12" ht="19.5" customHeight="1" x14ac:dyDescent="0.35">
      <c r="A98" s="42">
        <v>41</v>
      </c>
      <c r="B98" s="42" t="s">
        <v>185</v>
      </c>
      <c r="C98" s="48" t="s">
        <v>186</v>
      </c>
      <c r="D98" s="285"/>
      <c r="E98" s="285"/>
      <c r="F98" s="56">
        <v>75</v>
      </c>
      <c r="G98" s="56">
        <v>75</v>
      </c>
      <c r="H98" s="49">
        <v>18020</v>
      </c>
      <c r="I98" s="26">
        <f t="shared" si="11"/>
        <v>12614</v>
      </c>
      <c r="J98" s="26">
        <f t="shared" si="12"/>
        <v>12109.439999999999</v>
      </c>
      <c r="K98" s="26">
        <f t="shared" si="13"/>
        <v>11746.156799999999</v>
      </c>
      <c r="L98" s="26">
        <f t="shared" si="14"/>
        <v>11628.695231999998</v>
      </c>
    </row>
    <row r="99" spans="1:12" ht="19.5" customHeight="1" x14ac:dyDescent="0.35">
      <c r="A99" s="43">
        <v>42</v>
      </c>
      <c r="B99" s="42" t="s">
        <v>187</v>
      </c>
      <c r="C99" s="48" t="s">
        <v>188</v>
      </c>
      <c r="D99" s="285"/>
      <c r="E99" s="285"/>
      <c r="F99" s="56">
        <v>75</v>
      </c>
      <c r="G99" s="56">
        <v>75</v>
      </c>
      <c r="H99" s="57">
        <v>18680</v>
      </c>
      <c r="I99" s="26">
        <f t="shared" si="11"/>
        <v>13076</v>
      </c>
      <c r="J99" s="26">
        <f t="shared" si="12"/>
        <v>12552.96</v>
      </c>
      <c r="K99" s="26">
        <f t="shared" si="13"/>
        <v>12176.3712</v>
      </c>
      <c r="L99" s="26">
        <f t="shared" si="14"/>
        <v>12054.607488</v>
      </c>
    </row>
    <row r="100" spans="1:12" ht="19.5" customHeight="1" x14ac:dyDescent="0.35">
      <c r="A100" s="42">
        <v>43</v>
      </c>
      <c r="B100" s="42" t="s">
        <v>189</v>
      </c>
      <c r="C100" s="48" t="s">
        <v>190</v>
      </c>
      <c r="D100" s="285"/>
      <c r="E100" s="285"/>
      <c r="F100" s="56">
        <v>100</v>
      </c>
      <c r="G100" s="56">
        <v>100</v>
      </c>
      <c r="H100" s="49">
        <v>19100</v>
      </c>
      <c r="I100" s="26">
        <f t="shared" si="11"/>
        <v>13370</v>
      </c>
      <c r="J100" s="26">
        <f t="shared" si="12"/>
        <v>12835.199999999999</v>
      </c>
      <c r="K100" s="26">
        <f t="shared" si="13"/>
        <v>12450.143999999998</v>
      </c>
      <c r="L100" s="26">
        <f t="shared" si="14"/>
        <v>12325.642559999998</v>
      </c>
    </row>
    <row r="101" spans="1:12" ht="19.5" customHeight="1" x14ac:dyDescent="0.35">
      <c r="A101" s="42">
        <v>44</v>
      </c>
      <c r="B101" s="42" t="s">
        <v>191</v>
      </c>
      <c r="C101" s="48" t="s">
        <v>192</v>
      </c>
      <c r="D101" s="285"/>
      <c r="E101" s="285"/>
      <c r="F101" s="56">
        <v>100</v>
      </c>
      <c r="G101" s="56">
        <v>100</v>
      </c>
      <c r="H101" s="57">
        <v>19500</v>
      </c>
      <c r="I101" s="26">
        <f t="shared" si="11"/>
        <v>13650</v>
      </c>
      <c r="J101" s="26">
        <f t="shared" si="12"/>
        <v>13104</v>
      </c>
      <c r="K101" s="26">
        <f t="shared" si="13"/>
        <v>12710.88</v>
      </c>
      <c r="L101" s="26">
        <f t="shared" si="14"/>
        <v>12583.771199999999</v>
      </c>
    </row>
    <row r="102" spans="1:12" ht="19.5" customHeight="1" x14ac:dyDescent="0.35">
      <c r="A102" s="43">
        <v>45</v>
      </c>
      <c r="B102" s="42" t="s">
        <v>193</v>
      </c>
      <c r="C102" s="48" t="s">
        <v>194</v>
      </c>
      <c r="D102" s="285"/>
      <c r="E102" s="285"/>
      <c r="F102" s="56">
        <v>100</v>
      </c>
      <c r="G102" s="56">
        <v>100</v>
      </c>
      <c r="H102" s="57">
        <v>14800</v>
      </c>
      <c r="I102" s="26">
        <f t="shared" si="11"/>
        <v>10360</v>
      </c>
      <c r="J102" s="26">
        <f t="shared" si="12"/>
        <v>9945.6</v>
      </c>
      <c r="K102" s="26">
        <f t="shared" si="13"/>
        <v>9647.232</v>
      </c>
      <c r="L102" s="26">
        <f t="shared" si="14"/>
        <v>9550.7596799999992</v>
      </c>
    </row>
    <row r="103" spans="1:12" ht="19.5" customHeight="1" x14ac:dyDescent="0.35">
      <c r="A103" s="42">
        <v>46</v>
      </c>
      <c r="B103" s="43" t="s">
        <v>195</v>
      </c>
      <c r="C103" s="60" t="s">
        <v>196</v>
      </c>
      <c r="D103" s="285"/>
      <c r="E103" s="285"/>
      <c r="F103" s="56">
        <v>100</v>
      </c>
      <c r="G103" s="56">
        <v>100</v>
      </c>
      <c r="H103" s="57">
        <v>15000</v>
      </c>
      <c r="I103" s="26">
        <f t="shared" si="11"/>
        <v>10500</v>
      </c>
      <c r="J103" s="26">
        <f t="shared" si="12"/>
        <v>10080</v>
      </c>
      <c r="K103" s="26">
        <f t="shared" si="13"/>
        <v>9777.6</v>
      </c>
      <c r="L103" s="26">
        <f t="shared" si="14"/>
        <v>9679.8240000000005</v>
      </c>
    </row>
    <row r="104" spans="1:12" ht="19.5" customHeight="1" x14ac:dyDescent="0.35">
      <c r="A104" s="42">
        <v>47</v>
      </c>
      <c r="B104" s="42" t="s">
        <v>197</v>
      </c>
      <c r="C104" s="48" t="s">
        <v>198</v>
      </c>
      <c r="D104" s="285">
        <v>5</v>
      </c>
      <c r="E104" s="285">
        <v>3.75</v>
      </c>
      <c r="F104" s="56">
        <v>80</v>
      </c>
      <c r="G104" s="56">
        <v>65</v>
      </c>
      <c r="H104" s="57">
        <v>24600</v>
      </c>
      <c r="I104" s="26">
        <f t="shared" si="11"/>
        <v>17220</v>
      </c>
      <c r="J104" s="26">
        <f t="shared" si="12"/>
        <v>16531.2</v>
      </c>
      <c r="K104" s="26">
        <f t="shared" si="13"/>
        <v>16035.264000000001</v>
      </c>
      <c r="L104" s="26">
        <f t="shared" si="14"/>
        <v>15874.91136</v>
      </c>
    </row>
    <row r="105" spans="1:12" ht="19.5" customHeight="1" x14ac:dyDescent="0.35">
      <c r="A105" s="43">
        <v>48</v>
      </c>
      <c r="B105" s="43"/>
      <c r="C105" s="62" t="s">
        <v>199</v>
      </c>
      <c r="D105" s="285"/>
      <c r="E105" s="285"/>
      <c r="F105" s="56">
        <v>80</v>
      </c>
      <c r="G105" s="56">
        <v>65</v>
      </c>
      <c r="H105" s="57">
        <v>26000</v>
      </c>
      <c r="I105" s="26">
        <f t="shared" si="11"/>
        <v>18200</v>
      </c>
      <c r="J105" s="26">
        <f t="shared" si="12"/>
        <v>17472</v>
      </c>
      <c r="K105" s="26">
        <f t="shared" si="13"/>
        <v>16947.84</v>
      </c>
      <c r="L105" s="26">
        <f t="shared" si="14"/>
        <v>16778.3616</v>
      </c>
    </row>
    <row r="106" spans="1:12" ht="19.5" customHeight="1" x14ac:dyDescent="0.35">
      <c r="A106" s="42">
        <v>49</v>
      </c>
      <c r="B106" s="42" t="s">
        <v>200</v>
      </c>
      <c r="C106" s="62" t="s">
        <v>201</v>
      </c>
      <c r="D106" s="285"/>
      <c r="E106" s="285"/>
      <c r="F106" s="56">
        <v>80</v>
      </c>
      <c r="G106" s="56">
        <v>65</v>
      </c>
      <c r="H106" s="57">
        <v>23600</v>
      </c>
      <c r="I106" s="26">
        <f t="shared" si="11"/>
        <v>16520</v>
      </c>
      <c r="J106" s="26">
        <f t="shared" si="12"/>
        <v>15859.199999999999</v>
      </c>
      <c r="K106" s="26">
        <f t="shared" si="13"/>
        <v>15383.423999999999</v>
      </c>
      <c r="L106" s="26">
        <f t="shared" si="14"/>
        <v>15229.589759999999</v>
      </c>
    </row>
    <row r="107" spans="1:12" ht="19.5" customHeight="1" x14ac:dyDescent="0.35">
      <c r="A107" s="42">
        <v>50</v>
      </c>
      <c r="B107" s="43" t="s">
        <v>202</v>
      </c>
      <c r="C107" s="60" t="s">
        <v>203</v>
      </c>
      <c r="D107" s="63">
        <v>0.75</v>
      </c>
      <c r="E107" s="63">
        <v>0.56000000000000005</v>
      </c>
      <c r="F107" s="45">
        <v>25</v>
      </c>
      <c r="G107" s="45">
        <v>25</v>
      </c>
      <c r="H107" s="57">
        <v>5170</v>
      </c>
      <c r="I107" s="26">
        <f t="shared" si="11"/>
        <v>3618.9999999999995</v>
      </c>
      <c r="J107" s="26">
        <f t="shared" si="12"/>
        <v>3474.2399999999993</v>
      </c>
      <c r="K107" s="26">
        <f t="shared" si="13"/>
        <v>3370.0127999999991</v>
      </c>
      <c r="L107" s="26">
        <f t="shared" si="14"/>
        <v>3336.3126719999991</v>
      </c>
    </row>
    <row r="108" spans="1:12" ht="19.5" customHeight="1" x14ac:dyDescent="0.35">
      <c r="A108" s="43">
        <v>51</v>
      </c>
      <c r="B108" s="43" t="s">
        <v>204</v>
      </c>
      <c r="C108" s="60" t="s">
        <v>205</v>
      </c>
      <c r="D108" s="285">
        <v>1</v>
      </c>
      <c r="E108" s="285">
        <v>0.75</v>
      </c>
      <c r="F108" s="56">
        <v>40</v>
      </c>
      <c r="G108" s="56">
        <v>40</v>
      </c>
      <c r="H108" s="57">
        <v>9000</v>
      </c>
      <c r="I108" s="26">
        <f t="shared" si="11"/>
        <v>6300</v>
      </c>
      <c r="J108" s="26">
        <f t="shared" si="12"/>
        <v>6048</v>
      </c>
      <c r="K108" s="26">
        <f t="shared" si="13"/>
        <v>5866.5599999999995</v>
      </c>
      <c r="L108" s="26">
        <f t="shared" si="14"/>
        <v>5807.8943999999992</v>
      </c>
    </row>
    <row r="109" spans="1:12" ht="19.5" customHeight="1" x14ac:dyDescent="0.35">
      <c r="A109" s="42">
        <v>52</v>
      </c>
      <c r="B109" s="43"/>
      <c r="C109" s="60" t="s">
        <v>206</v>
      </c>
      <c r="D109" s="285"/>
      <c r="E109" s="285"/>
      <c r="F109" s="56">
        <v>40</v>
      </c>
      <c r="G109" s="56">
        <v>40</v>
      </c>
      <c r="H109" s="57">
        <v>9000</v>
      </c>
      <c r="I109" s="26">
        <f t="shared" si="11"/>
        <v>6300</v>
      </c>
      <c r="J109" s="26">
        <f t="shared" si="12"/>
        <v>6048</v>
      </c>
      <c r="K109" s="26">
        <f t="shared" si="13"/>
        <v>5866.5599999999995</v>
      </c>
      <c r="L109" s="26">
        <f t="shared" si="14"/>
        <v>5807.8943999999992</v>
      </c>
    </row>
    <row r="110" spans="1:12" ht="19.5" customHeight="1" x14ac:dyDescent="0.35">
      <c r="A110" s="42">
        <v>53</v>
      </c>
      <c r="B110" s="43"/>
      <c r="C110" s="62" t="s">
        <v>207</v>
      </c>
      <c r="D110" s="285">
        <v>2</v>
      </c>
      <c r="E110" s="285">
        <v>1.5</v>
      </c>
      <c r="F110" s="56">
        <v>75</v>
      </c>
      <c r="G110" s="56">
        <v>75</v>
      </c>
      <c r="H110" s="57">
        <v>12500</v>
      </c>
      <c r="I110" s="26">
        <f t="shared" si="11"/>
        <v>8750</v>
      </c>
      <c r="J110" s="26">
        <f t="shared" si="12"/>
        <v>8400</v>
      </c>
      <c r="K110" s="26">
        <f t="shared" si="13"/>
        <v>8148</v>
      </c>
      <c r="L110" s="26">
        <f t="shared" si="14"/>
        <v>8066.5199999999995</v>
      </c>
    </row>
    <row r="111" spans="1:12" ht="19.5" customHeight="1" x14ac:dyDescent="0.35">
      <c r="A111" s="43">
        <v>54</v>
      </c>
      <c r="B111" s="43" t="s">
        <v>208</v>
      </c>
      <c r="C111" s="62" t="s">
        <v>209</v>
      </c>
      <c r="D111" s="285"/>
      <c r="E111" s="285"/>
      <c r="F111" s="56">
        <v>75</v>
      </c>
      <c r="G111" s="56">
        <v>75</v>
      </c>
      <c r="H111" s="57">
        <v>12500</v>
      </c>
      <c r="I111" s="26">
        <f t="shared" si="11"/>
        <v>8750</v>
      </c>
      <c r="J111" s="26">
        <f t="shared" si="12"/>
        <v>8400</v>
      </c>
      <c r="K111" s="26">
        <f t="shared" si="13"/>
        <v>8148</v>
      </c>
      <c r="L111" s="26">
        <f t="shared" si="14"/>
        <v>8066.5199999999995</v>
      </c>
    </row>
    <row r="112" spans="1:12" ht="19.5" customHeight="1" x14ac:dyDescent="0.35">
      <c r="A112" s="42">
        <v>55</v>
      </c>
      <c r="B112" s="43" t="s">
        <v>210</v>
      </c>
      <c r="C112" s="62" t="s">
        <v>211</v>
      </c>
      <c r="D112" s="285"/>
      <c r="E112" s="285"/>
      <c r="F112" s="56">
        <v>65</v>
      </c>
      <c r="G112" s="56">
        <v>50</v>
      </c>
      <c r="H112" s="57">
        <v>12200</v>
      </c>
      <c r="I112" s="26">
        <f t="shared" si="11"/>
        <v>8540</v>
      </c>
      <c r="J112" s="26">
        <f t="shared" si="12"/>
        <v>8198.4</v>
      </c>
      <c r="K112" s="26">
        <f t="shared" si="13"/>
        <v>7952.4479999999994</v>
      </c>
      <c r="L112" s="26">
        <f t="shared" si="14"/>
        <v>7872.9235199999994</v>
      </c>
    </row>
    <row r="113" spans="1:12" ht="19.5" customHeight="1" x14ac:dyDescent="0.35">
      <c r="A113" s="42">
        <v>56</v>
      </c>
      <c r="B113" s="43" t="s">
        <v>212</v>
      </c>
      <c r="C113" s="62" t="s">
        <v>213</v>
      </c>
      <c r="D113" s="285"/>
      <c r="E113" s="285"/>
      <c r="F113" s="56">
        <v>50</v>
      </c>
      <c r="G113" s="56">
        <v>50</v>
      </c>
      <c r="H113" s="57">
        <v>12200</v>
      </c>
      <c r="I113" s="26">
        <f t="shared" si="11"/>
        <v>8540</v>
      </c>
      <c r="J113" s="26">
        <f t="shared" si="12"/>
        <v>8198.4</v>
      </c>
      <c r="K113" s="26">
        <f t="shared" si="13"/>
        <v>7952.4479999999994</v>
      </c>
      <c r="L113" s="26">
        <f t="shared" si="14"/>
        <v>7872.9235199999994</v>
      </c>
    </row>
    <row r="114" spans="1:12" ht="19.5" customHeight="1" x14ac:dyDescent="0.35">
      <c r="A114" s="284" t="s">
        <v>214</v>
      </c>
      <c r="B114" s="284"/>
      <c r="C114" s="284"/>
      <c r="D114" s="284"/>
      <c r="E114" s="284"/>
      <c r="F114" s="284"/>
      <c r="G114" s="284"/>
      <c r="H114" s="281" t="s">
        <v>109</v>
      </c>
      <c r="I114" s="315" t="s">
        <v>504</v>
      </c>
      <c r="J114" s="315"/>
      <c r="K114" s="315"/>
      <c r="L114" s="315"/>
    </row>
    <row r="115" spans="1:12" ht="19.5" customHeight="1" x14ac:dyDescent="0.35">
      <c r="A115" s="281" t="s">
        <v>2</v>
      </c>
      <c r="B115" s="281" t="s">
        <v>3</v>
      </c>
      <c r="C115" s="283" t="s">
        <v>4</v>
      </c>
      <c r="D115" s="281" t="s">
        <v>5</v>
      </c>
      <c r="E115" s="281"/>
      <c r="F115" s="281" t="s">
        <v>6</v>
      </c>
      <c r="G115" s="281"/>
      <c r="H115" s="281"/>
      <c r="I115" s="323">
        <v>0.3</v>
      </c>
      <c r="J115" s="323">
        <v>0.04</v>
      </c>
      <c r="K115" s="323">
        <v>0.03</v>
      </c>
      <c r="L115" s="323">
        <v>0.01</v>
      </c>
    </row>
    <row r="116" spans="1:12" ht="19.5" customHeight="1" x14ac:dyDescent="0.35">
      <c r="A116" s="281"/>
      <c r="B116" s="281"/>
      <c r="C116" s="283"/>
      <c r="D116" s="58" t="s">
        <v>9</v>
      </c>
      <c r="E116" s="58" t="s">
        <v>10</v>
      </c>
      <c r="F116" s="58" t="s">
        <v>11</v>
      </c>
      <c r="G116" s="58" t="s">
        <v>12</v>
      </c>
      <c r="H116" s="281"/>
      <c r="I116" s="324"/>
      <c r="J116" s="324">
        <v>0.04</v>
      </c>
      <c r="K116" s="324">
        <v>0.03</v>
      </c>
      <c r="L116" s="324">
        <v>0.03</v>
      </c>
    </row>
    <row r="117" spans="1:12" ht="19.5" customHeight="1" x14ac:dyDescent="0.35">
      <c r="A117" s="43">
        <v>1</v>
      </c>
      <c r="B117" s="43" t="s">
        <v>215</v>
      </c>
      <c r="C117" s="44" t="s">
        <v>216</v>
      </c>
      <c r="D117" s="45">
        <v>0.5</v>
      </c>
      <c r="E117" s="45">
        <v>0.37</v>
      </c>
      <c r="F117" s="45">
        <v>25</v>
      </c>
      <c r="G117" s="45">
        <v>25</v>
      </c>
      <c r="H117" s="46">
        <v>5370</v>
      </c>
      <c r="I117" s="295">
        <v>3552</v>
      </c>
      <c r="J117" s="325"/>
      <c r="K117" s="325"/>
      <c r="L117" s="296"/>
    </row>
    <row r="118" spans="1:12" ht="19.5" customHeight="1" x14ac:dyDescent="0.35">
      <c r="A118" s="43">
        <v>2</v>
      </c>
      <c r="B118" s="43" t="s">
        <v>217</v>
      </c>
      <c r="C118" s="44" t="s">
        <v>218</v>
      </c>
      <c r="D118" s="45">
        <v>1</v>
      </c>
      <c r="E118" s="45">
        <v>0.75</v>
      </c>
      <c r="F118" s="45">
        <v>25</v>
      </c>
      <c r="G118" s="45">
        <v>25</v>
      </c>
      <c r="H118" s="46">
        <v>7070</v>
      </c>
      <c r="I118" s="295">
        <v>4677</v>
      </c>
      <c r="J118" s="325"/>
      <c r="K118" s="325"/>
      <c r="L118" s="296"/>
    </row>
    <row r="119" spans="1:12" ht="19.5" customHeight="1" x14ac:dyDescent="0.35">
      <c r="A119" s="43">
        <v>3</v>
      </c>
      <c r="B119" s="64" t="s">
        <v>219</v>
      </c>
      <c r="C119" s="65" t="s">
        <v>220</v>
      </c>
      <c r="D119" s="66">
        <v>2</v>
      </c>
      <c r="E119" s="43">
        <v>1.5</v>
      </c>
      <c r="F119" s="43">
        <v>50</v>
      </c>
      <c r="G119" s="43">
        <v>50</v>
      </c>
      <c r="H119" s="43">
        <v>12200</v>
      </c>
      <c r="I119" s="26">
        <f t="shared" ref="I119:I128" si="15">H119*0.7</f>
        <v>8540</v>
      </c>
      <c r="J119" s="26">
        <f t="shared" ref="J119:J128" si="16">+I119*0.96</f>
        <v>8198.4</v>
      </c>
      <c r="K119" s="26">
        <f t="shared" ref="K119:L128" si="17">+J119*0.97</f>
        <v>7952.4479999999994</v>
      </c>
      <c r="L119" s="26">
        <f t="shared" si="17"/>
        <v>7713.8745599999993</v>
      </c>
    </row>
    <row r="120" spans="1:12" ht="19.5" customHeight="1" x14ac:dyDescent="0.35">
      <c r="A120" s="43">
        <v>4</v>
      </c>
      <c r="B120" s="64" t="s">
        <v>221</v>
      </c>
      <c r="C120" s="65" t="s">
        <v>222</v>
      </c>
      <c r="D120" s="66">
        <v>2</v>
      </c>
      <c r="E120" s="43">
        <v>1.5</v>
      </c>
      <c r="F120" s="43">
        <v>50</v>
      </c>
      <c r="G120" s="43">
        <v>50</v>
      </c>
      <c r="H120" s="43">
        <v>12200</v>
      </c>
      <c r="I120" s="26">
        <f t="shared" si="15"/>
        <v>8540</v>
      </c>
      <c r="J120" s="26">
        <f t="shared" si="16"/>
        <v>8198.4</v>
      </c>
      <c r="K120" s="26">
        <f t="shared" si="17"/>
        <v>7952.4479999999994</v>
      </c>
      <c r="L120" s="26">
        <f t="shared" si="17"/>
        <v>7713.8745599999993</v>
      </c>
    </row>
    <row r="121" spans="1:12" ht="19.5" customHeight="1" x14ac:dyDescent="0.35">
      <c r="A121" s="43">
        <v>5</v>
      </c>
      <c r="B121" s="64" t="s">
        <v>223</v>
      </c>
      <c r="C121" s="65" t="s">
        <v>224</v>
      </c>
      <c r="D121" s="66">
        <v>2</v>
      </c>
      <c r="E121" s="43">
        <v>1.5</v>
      </c>
      <c r="F121" s="43">
        <v>65</v>
      </c>
      <c r="G121" s="43">
        <v>50</v>
      </c>
      <c r="H121" s="43">
        <v>12300</v>
      </c>
      <c r="I121" s="26">
        <f t="shared" si="15"/>
        <v>8610</v>
      </c>
      <c r="J121" s="26">
        <f t="shared" si="16"/>
        <v>8265.6</v>
      </c>
      <c r="K121" s="26">
        <f t="shared" si="17"/>
        <v>8017.6320000000005</v>
      </c>
      <c r="L121" s="26">
        <f t="shared" si="17"/>
        <v>7777.10304</v>
      </c>
    </row>
    <row r="122" spans="1:12" ht="19.5" customHeight="1" x14ac:dyDescent="0.35">
      <c r="A122" s="43">
        <v>6</v>
      </c>
      <c r="B122" s="64" t="s">
        <v>225</v>
      </c>
      <c r="C122" s="65" t="s">
        <v>226</v>
      </c>
      <c r="D122" s="66">
        <v>2</v>
      </c>
      <c r="E122" s="43">
        <v>1.5</v>
      </c>
      <c r="F122" s="43">
        <v>65</v>
      </c>
      <c r="G122" s="43">
        <v>50</v>
      </c>
      <c r="H122" s="43">
        <v>12300</v>
      </c>
      <c r="I122" s="26">
        <f t="shared" si="15"/>
        <v>8610</v>
      </c>
      <c r="J122" s="26">
        <f t="shared" si="16"/>
        <v>8265.6</v>
      </c>
      <c r="K122" s="26">
        <f t="shared" si="17"/>
        <v>8017.6320000000005</v>
      </c>
      <c r="L122" s="26">
        <f t="shared" si="17"/>
        <v>7777.10304</v>
      </c>
    </row>
    <row r="123" spans="1:12" ht="19.5" customHeight="1" x14ac:dyDescent="0.35">
      <c r="A123" s="43">
        <v>7</v>
      </c>
      <c r="B123" s="64" t="s">
        <v>227</v>
      </c>
      <c r="C123" s="65" t="s">
        <v>228</v>
      </c>
      <c r="D123" s="64">
        <v>3</v>
      </c>
      <c r="E123" s="43">
        <v>2.25</v>
      </c>
      <c r="F123" s="43">
        <v>65</v>
      </c>
      <c r="G123" s="43">
        <v>50</v>
      </c>
      <c r="H123" s="43">
        <v>12900</v>
      </c>
      <c r="I123" s="26">
        <f t="shared" si="15"/>
        <v>9030</v>
      </c>
      <c r="J123" s="26">
        <f t="shared" si="16"/>
        <v>8668.7999999999993</v>
      </c>
      <c r="K123" s="26">
        <f t="shared" si="17"/>
        <v>8408.735999999999</v>
      </c>
      <c r="L123" s="26">
        <f t="shared" si="17"/>
        <v>8156.4739199999985</v>
      </c>
    </row>
    <row r="124" spans="1:12" ht="19.5" customHeight="1" x14ac:dyDescent="0.35">
      <c r="A124" s="43">
        <v>8</v>
      </c>
      <c r="B124" s="64" t="s">
        <v>229</v>
      </c>
      <c r="C124" s="67" t="s">
        <v>230</v>
      </c>
      <c r="D124" s="64">
        <v>3</v>
      </c>
      <c r="E124" s="43">
        <v>2.25</v>
      </c>
      <c r="F124" s="43">
        <v>65</v>
      </c>
      <c r="G124" s="43">
        <v>50</v>
      </c>
      <c r="H124" s="43">
        <v>13000</v>
      </c>
      <c r="I124" s="26">
        <f t="shared" si="15"/>
        <v>9100</v>
      </c>
      <c r="J124" s="26">
        <f t="shared" si="16"/>
        <v>8736</v>
      </c>
      <c r="K124" s="26">
        <f t="shared" si="17"/>
        <v>8473.92</v>
      </c>
      <c r="L124" s="26">
        <f t="shared" si="17"/>
        <v>8219.7024000000001</v>
      </c>
    </row>
    <row r="125" spans="1:12" ht="19.5" customHeight="1" x14ac:dyDescent="0.35">
      <c r="A125" s="43">
        <v>9</v>
      </c>
      <c r="B125" s="64" t="s">
        <v>231</v>
      </c>
      <c r="C125" s="67" t="s">
        <v>232</v>
      </c>
      <c r="D125" s="64">
        <v>3</v>
      </c>
      <c r="E125" s="43">
        <v>2.25</v>
      </c>
      <c r="F125" s="43">
        <v>65</v>
      </c>
      <c r="G125" s="43">
        <v>50</v>
      </c>
      <c r="H125" s="43">
        <v>12900</v>
      </c>
      <c r="I125" s="26">
        <f t="shared" si="15"/>
        <v>9030</v>
      </c>
      <c r="J125" s="26">
        <f t="shared" si="16"/>
        <v>8668.7999999999993</v>
      </c>
      <c r="K125" s="26">
        <f t="shared" si="17"/>
        <v>8408.735999999999</v>
      </c>
      <c r="L125" s="26">
        <f t="shared" si="17"/>
        <v>8156.4739199999985</v>
      </c>
    </row>
    <row r="126" spans="1:12" ht="19.5" customHeight="1" x14ac:dyDescent="0.35">
      <c r="A126" s="43">
        <v>10</v>
      </c>
      <c r="B126" s="64" t="s">
        <v>233</v>
      </c>
      <c r="C126" s="67" t="s">
        <v>234</v>
      </c>
      <c r="D126" s="64">
        <v>3</v>
      </c>
      <c r="E126" s="43">
        <v>2.25</v>
      </c>
      <c r="F126" s="43">
        <v>65</v>
      </c>
      <c r="G126" s="43">
        <v>50</v>
      </c>
      <c r="H126" s="43">
        <v>19300</v>
      </c>
      <c r="I126" s="26">
        <f t="shared" si="15"/>
        <v>13510</v>
      </c>
      <c r="J126" s="26">
        <f t="shared" si="16"/>
        <v>12969.6</v>
      </c>
      <c r="K126" s="26">
        <f t="shared" si="17"/>
        <v>12580.512000000001</v>
      </c>
      <c r="L126" s="26">
        <f t="shared" si="17"/>
        <v>12203.09664</v>
      </c>
    </row>
    <row r="127" spans="1:12" ht="19.5" customHeight="1" x14ac:dyDescent="0.35">
      <c r="A127" s="43">
        <v>11</v>
      </c>
      <c r="B127" s="64" t="s">
        <v>235</v>
      </c>
      <c r="C127" s="67" t="s">
        <v>236</v>
      </c>
      <c r="D127" s="64">
        <v>5</v>
      </c>
      <c r="E127" s="56">
        <v>3.75</v>
      </c>
      <c r="F127" s="43">
        <v>65</v>
      </c>
      <c r="G127" s="43">
        <v>50</v>
      </c>
      <c r="H127" s="43">
        <v>18700</v>
      </c>
      <c r="I127" s="26">
        <f t="shared" si="15"/>
        <v>13090</v>
      </c>
      <c r="J127" s="26">
        <f t="shared" si="16"/>
        <v>12566.4</v>
      </c>
      <c r="K127" s="26">
        <f t="shared" si="17"/>
        <v>12189.407999999999</v>
      </c>
      <c r="L127" s="26">
        <f t="shared" si="17"/>
        <v>11823.725759999999</v>
      </c>
    </row>
    <row r="128" spans="1:12" ht="19.5" customHeight="1" x14ac:dyDescent="0.35">
      <c r="A128" s="43">
        <v>12</v>
      </c>
      <c r="B128" s="64" t="s">
        <v>237</v>
      </c>
      <c r="C128" s="67" t="s">
        <v>238</v>
      </c>
      <c r="D128" s="64">
        <v>5</v>
      </c>
      <c r="E128" s="56">
        <v>3.75</v>
      </c>
      <c r="F128" s="43">
        <v>65</v>
      </c>
      <c r="G128" s="43">
        <v>50</v>
      </c>
      <c r="H128" s="43">
        <v>22900</v>
      </c>
      <c r="I128" s="26">
        <f t="shared" si="15"/>
        <v>16029.999999999998</v>
      </c>
      <c r="J128" s="26">
        <f t="shared" si="16"/>
        <v>15388.799999999997</v>
      </c>
      <c r="K128" s="26">
        <f t="shared" si="17"/>
        <v>14927.135999999997</v>
      </c>
      <c r="L128" s="26">
        <f t="shared" si="17"/>
        <v>14479.321919999997</v>
      </c>
    </row>
    <row r="129" spans="1:12" ht="19.5" customHeight="1" x14ac:dyDescent="0.35">
      <c r="A129" s="284" t="s">
        <v>239</v>
      </c>
      <c r="B129" s="284"/>
      <c r="C129" s="284"/>
      <c r="D129" s="284"/>
      <c r="E129" s="284"/>
      <c r="F129" s="284"/>
      <c r="G129" s="284"/>
      <c r="H129" s="281" t="s">
        <v>109</v>
      </c>
      <c r="I129" s="315" t="s">
        <v>504</v>
      </c>
      <c r="J129" s="315"/>
      <c r="K129" s="315"/>
      <c r="L129" s="315"/>
    </row>
    <row r="130" spans="1:12" ht="19.5" customHeight="1" x14ac:dyDescent="0.35">
      <c r="A130" s="281" t="s">
        <v>2</v>
      </c>
      <c r="B130" s="281" t="s">
        <v>3</v>
      </c>
      <c r="C130" s="283" t="s">
        <v>4</v>
      </c>
      <c r="D130" s="281" t="s">
        <v>5</v>
      </c>
      <c r="E130" s="281"/>
      <c r="F130" s="281" t="s">
        <v>6</v>
      </c>
      <c r="G130" s="281"/>
      <c r="H130" s="281"/>
      <c r="I130" s="323">
        <v>0.3</v>
      </c>
      <c r="J130" s="323">
        <v>0.04</v>
      </c>
      <c r="K130" s="323">
        <v>0.03</v>
      </c>
      <c r="L130" s="323">
        <v>0.01</v>
      </c>
    </row>
    <row r="131" spans="1:12" ht="19.5" customHeight="1" x14ac:dyDescent="0.35">
      <c r="A131" s="281"/>
      <c r="B131" s="281"/>
      <c r="C131" s="283"/>
      <c r="D131" s="58" t="s">
        <v>9</v>
      </c>
      <c r="E131" s="58" t="s">
        <v>10</v>
      </c>
      <c r="F131" s="281"/>
      <c r="G131" s="281"/>
      <c r="H131" s="281"/>
      <c r="I131" s="324"/>
      <c r="J131" s="324">
        <v>0.04</v>
      </c>
      <c r="K131" s="324">
        <v>0.03</v>
      </c>
      <c r="L131" s="324">
        <v>0.03</v>
      </c>
    </row>
    <row r="132" spans="1:12" ht="19.5" customHeight="1" x14ac:dyDescent="0.35">
      <c r="A132" s="43">
        <v>1</v>
      </c>
      <c r="B132" s="43" t="s">
        <v>240</v>
      </c>
      <c r="C132" s="68" t="s">
        <v>241</v>
      </c>
      <c r="D132" s="43">
        <v>0.5</v>
      </c>
      <c r="E132" s="43"/>
      <c r="F132" s="279">
        <v>32</v>
      </c>
      <c r="G132" s="279"/>
      <c r="H132" s="43">
        <v>8240</v>
      </c>
      <c r="I132" s="26">
        <f t="shared" ref="I132:I154" si="18">H132*0.7</f>
        <v>5768</v>
      </c>
      <c r="J132" s="26">
        <f t="shared" ref="J132:J154" si="19">+I132*0.96</f>
        <v>5537.28</v>
      </c>
      <c r="K132" s="26">
        <f t="shared" ref="K132:L154" si="20">+J132*0.97</f>
        <v>5371.1615999999995</v>
      </c>
      <c r="L132" s="26">
        <f t="shared" si="20"/>
        <v>5210.0267519999998</v>
      </c>
    </row>
    <row r="133" spans="1:12" ht="19.5" customHeight="1" x14ac:dyDescent="0.35">
      <c r="A133" s="43">
        <v>2</v>
      </c>
      <c r="B133" s="43" t="s">
        <v>242</v>
      </c>
      <c r="C133" s="68" t="s">
        <v>243</v>
      </c>
      <c r="D133" s="43">
        <v>0.5</v>
      </c>
      <c r="E133" s="43"/>
      <c r="F133" s="279">
        <v>32</v>
      </c>
      <c r="G133" s="279"/>
      <c r="H133" s="43">
        <v>8450</v>
      </c>
      <c r="I133" s="26">
        <f t="shared" si="18"/>
        <v>5915</v>
      </c>
      <c r="J133" s="26">
        <f t="shared" si="19"/>
        <v>5678.4</v>
      </c>
      <c r="K133" s="26">
        <f t="shared" si="20"/>
        <v>5508.0479999999998</v>
      </c>
      <c r="L133" s="26">
        <f t="shared" si="20"/>
        <v>5342.80656</v>
      </c>
    </row>
    <row r="134" spans="1:12" ht="19.5" customHeight="1" x14ac:dyDescent="0.35">
      <c r="A134" s="43">
        <v>3</v>
      </c>
      <c r="B134" s="43" t="s">
        <v>244</v>
      </c>
      <c r="C134" s="68" t="s">
        <v>245</v>
      </c>
      <c r="D134" s="43">
        <v>0.75</v>
      </c>
      <c r="E134" s="43"/>
      <c r="F134" s="279">
        <v>32</v>
      </c>
      <c r="G134" s="279"/>
      <c r="H134" s="43">
        <v>8550</v>
      </c>
      <c r="I134" s="26">
        <f t="shared" si="18"/>
        <v>5985</v>
      </c>
      <c r="J134" s="26">
        <f t="shared" si="19"/>
        <v>5745.5999999999995</v>
      </c>
      <c r="K134" s="26">
        <f t="shared" si="20"/>
        <v>5573.2319999999991</v>
      </c>
      <c r="L134" s="26">
        <f t="shared" si="20"/>
        <v>5406.0350399999988</v>
      </c>
    </row>
    <row r="135" spans="1:12" ht="19.5" customHeight="1" x14ac:dyDescent="0.35">
      <c r="A135" s="43">
        <v>4</v>
      </c>
      <c r="B135" s="43" t="s">
        <v>246</v>
      </c>
      <c r="C135" s="68" t="s">
        <v>247</v>
      </c>
      <c r="D135" s="43">
        <v>0.75</v>
      </c>
      <c r="E135" s="43"/>
      <c r="F135" s="279">
        <v>32</v>
      </c>
      <c r="G135" s="279"/>
      <c r="H135" s="43">
        <v>8750</v>
      </c>
      <c r="I135" s="26">
        <f t="shared" si="18"/>
        <v>6125</v>
      </c>
      <c r="J135" s="26">
        <f t="shared" si="19"/>
        <v>5880</v>
      </c>
      <c r="K135" s="26">
        <f t="shared" si="20"/>
        <v>5703.5999999999995</v>
      </c>
      <c r="L135" s="26">
        <f t="shared" si="20"/>
        <v>5532.4919999999993</v>
      </c>
    </row>
    <row r="136" spans="1:12" ht="19.5" customHeight="1" x14ac:dyDescent="0.35">
      <c r="A136" s="43">
        <v>5</v>
      </c>
      <c r="B136" s="43" t="s">
        <v>248</v>
      </c>
      <c r="C136" s="68" t="s">
        <v>249</v>
      </c>
      <c r="D136" s="43">
        <v>1</v>
      </c>
      <c r="E136" s="43"/>
      <c r="F136" s="279">
        <v>32</v>
      </c>
      <c r="G136" s="279"/>
      <c r="H136" s="47">
        <v>8800</v>
      </c>
      <c r="I136" s="26">
        <f t="shared" si="18"/>
        <v>6160</v>
      </c>
      <c r="J136" s="26">
        <f t="shared" si="19"/>
        <v>5913.5999999999995</v>
      </c>
      <c r="K136" s="26">
        <f t="shared" si="20"/>
        <v>5736.1919999999991</v>
      </c>
      <c r="L136" s="26">
        <f t="shared" si="20"/>
        <v>5564.1062399999992</v>
      </c>
    </row>
    <row r="137" spans="1:12" ht="19.5" customHeight="1" x14ac:dyDescent="0.35">
      <c r="A137" s="43">
        <v>6</v>
      </c>
      <c r="B137" s="43" t="s">
        <v>250</v>
      </c>
      <c r="C137" s="68" t="s">
        <v>251</v>
      </c>
      <c r="D137" s="43">
        <v>1</v>
      </c>
      <c r="E137" s="43"/>
      <c r="F137" s="279">
        <v>32</v>
      </c>
      <c r="G137" s="279"/>
      <c r="H137" s="47">
        <v>9000</v>
      </c>
      <c r="I137" s="26">
        <f t="shared" si="18"/>
        <v>6300</v>
      </c>
      <c r="J137" s="26">
        <f t="shared" si="19"/>
        <v>6048</v>
      </c>
      <c r="K137" s="26">
        <f t="shared" si="20"/>
        <v>5866.5599999999995</v>
      </c>
      <c r="L137" s="26">
        <f t="shared" si="20"/>
        <v>5690.5631999999996</v>
      </c>
    </row>
    <row r="138" spans="1:12" ht="19.5" customHeight="1" x14ac:dyDescent="0.35">
      <c r="A138" s="43">
        <v>7</v>
      </c>
      <c r="B138" s="43" t="s">
        <v>252</v>
      </c>
      <c r="C138" s="68" t="s">
        <v>253</v>
      </c>
      <c r="D138" s="43">
        <v>1</v>
      </c>
      <c r="E138" s="43"/>
      <c r="F138" s="279">
        <v>32</v>
      </c>
      <c r="G138" s="279"/>
      <c r="H138" s="43">
        <v>9480</v>
      </c>
      <c r="I138" s="26">
        <f t="shared" si="18"/>
        <v>6636</v>
      </c>
      <c r="J138" s="26">
        <f t="shared" si="19"/>
        <v>6370.5599999999995</v>
      </c>
      <c r="K138" s="26">
        <f t="shared" si="20"/>
        <v>6179.4431999999997</v>
      </c>
      <c r="L138" s="26">
        <f t="shared" si="20"/>
        <v>5994.0599039999997</v>
      </c>
    </row>
    <row r="139" spans="1:12" ht="19.5" customHeight="1" x14ac:dyDescent="0.35">
      <c r="A139" s="43">
        <v>8</v>
      </c>
      <c r="B139" s="43" t="s">
        <v>254</v>
      </c>
      <c r="C139" s="68" t="s">
        <v>255</v>
      </c>
      <c r="D139" s="43">
        <v>1</v>
      </c>
      <c r="E139" s="43"/>
      <c r="F139" s="279">
        <v>32</v>
      </c>
      <c r="G139" s="279"/>
      <c r="H139" s="43">
        <v>9790</v>
      </c>
      <c r="I139" s="26">
        <f t="shared" si="18"/>
        <v>6853</v>
      </c>
      <c r="J139" s="26">
        <f t="shared" si="19"/>
        <v>6578.88</v>
      </c>
      <c r="K139" s="26">
        <f t="shared" si="20"/>
        <v>6381.5136000000002</v>
      </c>
      <c r="L139" s="26">
        <f t="shared" si="20"/>
        <v>6190.0681919999997</v>
      </c>
    </row>
    <row r="140" spans="1:12" ht="19.5" customHeight="1" x14ac:dyDescent="0.35">
      <c r="A140" s="43">
        <v>9</v>
      </c>
      <c r="B140" s="43" t="s">
        <v>256</v>
      </c>
      <c r="C140" s="68" t="s">
        <v>257</v>
      </c>
      <c r="D140" s="43">
        <v>1.5</v>
      </c>
      <c r="E140" s="43"/>
      <c r="F140" s="279">
        <v>32</v>
      </c>
      <c r="G140" s="279"/>
      <c r="H140" s="43">
        <v>11330</v>
      </c>
      <c r="I140" s="26">
        <f t="shared" si="18"/>
        <v>7930.9999999999991</v>
      </c>
      <c r="J140" s="26">
        <f t="shared" si="19"/>
        <v>7613.7599999999984</v>
      </c>
      <c r="K140" s="26">
        <f t="shared" si="20"/>
        <v>7385.3471999999983</v>
      </c>
      <c r="L140" s="26">
        <f t="shared" si="20"/>
        <v>7163.7867839999981</v>
      </c>
    </row>
    <row r="141" spans="1:12" ht="19.5" customHeight="1" x14ac:dyDescent="0.35">
      <c r="A141" s="43">
        <v>10</v>
      </c>
      <c r="B141" s="43" t="s">
        <v>258</v>
      </c>
      <c r="C141" s="68" t="s">
        <v>259</v>
      </c>
      <c r="D141" s="43">
        <v>1.5</v>
      </c>
      <c r="E141" s="43"/>
      <c r="F141" s="279">
        <v>32</v>
      </c>
      <c r="G141" s="279"/>
      <c r="H141" s="43">
        <v>11640</v>
      </c>
      <c r="I141" s="26">
        <f t="shared" si="18"/>
        <v>8147.9999999999991</v>
      </c>
      <c r="J141" s="26">
        <f t="shared" si="19"/>
        <v>7822.079999999999</v>
      </c>
      <c r="K141" s="26">
        <f t="shared" si="20"/>
        <v>7587.4175999999989</v>
      </c>
      <c r="L141" s="26">
        <f t="shared" si="20"/>
        <v>7359.795071999999</v>
      </c>
    </row>
    <row r="142" spans="1:12" ht="19.5" customHeight="1" x14ac:dyDescent="0.35">
      <c r="A142" s="43">
        <v>11</v>
      </c>
      <c r="B142" s="43" t="s">
        <v>260</v>
      </c>
      <c r="C142" s="68" t="s">
        <v>261</v>
      </c>
      <c r="D142" s="43">
        <v>1.5</v>
      </c>
      <c r="E142" s="43"/>
      <c r="F142" s="279">
        <v>32</v>
      </c>
      <c r="G142" s="279"/>
      <c r="H142" s="43">
        <v>11800</v>
      </c>
      <c r="I142" s="26">
        <f t="shared" si="18"/>
        <v>8260</v>
      </c>
      <c r="J142" s="26">
        <f t="shared" si="19"/>
        <v>7929.5999999999995</v>
      </c>
      <c r="K142" s="26">
        <f t="shared" si="20"/>
        <v>7691.7119999999995</v>
      </c>
      <c r="L142" s="26">
        <f t="shared" si="20"/>
        <v>7460.9606399999993</v>
      </c>
    </row>
    <row r="143" spans="1:12" ht="19.5" customHeight="1" x14ac:dyDescent="0.35">
      <c r="A143" s="43">
        <v>12</v>
      </c>
      <c r="B143" s="43" t="s">
        <v>262</v>
      </c>
      <c r="C143" s="68" t="s">
        <v>263</v>
      </c>
      <c r="D143" s="43">
        <v>1.5</v>
      </c>
      <c r="E143" s="43"/>
      <c r="F143" s="279">
        <v>32</v>
      </c>
      <c r="G143" s="279"/>
      <c r="H143" s="43">
        <v>12670</v>
      </c>
      <c r="I143" s="26">
        <f t="shared" si="18"/>
        <v>8869</v>
      </c>
      <c r="J143" s="26">
        <f t="shared" si="19"/>
        <v>8514.24</v>
      </c>
      <c r="K143" s="26">
        <f t="shared" si="20"/>
        <v>8258.8127999999997</v>
      </c>
      <c r="L143" s="26">
        <f t="shared" si="20"/>
        <v>8011.0484159999996</v>
      </c>
    </row>
    <row r="144" spans="1:12" ht="19.5" customHeight="1" x14ac:dyDescent="0.35">
      <c r="A144" s="43">
        <v>13</v>
      </c>
      <c r="B144" s="43" t="s">
        <v>264</v>
      </c>
      <c r="C144" s="68" t="s">
        <v>265</v>
      </c>
      <c r="D144" s="43">
        <v>2</v>
      </c>
      <c r="E144" s="43"/>
      <c r="F144" s="279">
        <v>40</v>
      </c>
      <c r="G144" s="279"/>
      <c r="H144" s="43">
        <v>14730</v>
      </c>
      <c r="I144" s="26">
        <f t="shared" si="18"/>
        <v>10311</v>
      </c>
      <c r="J144" s="26">
        <f t="shared" si="19"/>
        <v>9898.56</v>
      </c>
      <c r="K144" s="26">
        <f t="shared" si="20"/>
        <v>9601.6031999999996</v>
      </c>
      <c r="L144" s="26">
        <f t="shared" si="20"/>
        <v>9313.5551039999991</v>
      </c>
    </row>
    <row r="145" spans="1:12" ht="19.5" customHeight="1" x14ac:dyDescent="0.35">
      <c r="A145" s="43">
        <v>14</v>
      </c>
      <c r="B145" s="43" t="s">
        <v>266</v>
      </c>
      <c r="C145" s="68" t="s">
        <v>267</v>
      </c>
      <c r="D145" s="43">
        <v>2</v>
      </c>
      <c r="E145" s="43"/>
      <c r="F145" s="279">
        <v>32</v>
      </c>
      <c r="G145" s="279"/>
      <c r="H145" s="43">
        <v>15250</v>
      </c>
      <c r="I145" s="26">
        <f t="shared" si="18"/>
        <v>10675</v>
      </c>
      <c r="J145" s="26">
        <f t="shared" si="19"/>
        <v>10248</v>
      </c>
      <c r="K145" s="26">
        <f t="shared" si="20"/>
        <v>9940.56</v>
      </c>
      <c r="L145" s="26">
        <f t="shared" si="20"/>
        <v>9642.3431999999993</v>
      </c>
    </row>
    <row r="146" spans="1:12" ht="19.5" customHeight="1" x14ac:dyDescent="0.35">
      <c r="A146" s="43">
        <v>15</v>
      </c>
      <c r="B146" s="43" t="s">
        <v>268</v>
      </c>
      <c r="C146" s="68" t="s">
        <v>269</v>
      </c>
      <c r="D146" s="43">
        <v>2</v>
      </c>
      <c r="E146" s="43"/>
      <c r="F146" s="279">
        <v>32</v>
      </c>
      <c r="G146" s="279"/>
      <c r="H146" s="43">
        <v>15860</v>
      </c>
      <c r="I146" s="26">
        <f t="shared" si="18"/>
        <v>11102</v>
      </c>
      <c r="J146" s="26">
        <f t="shared" si="19"/>
        <v>10657.92</v>
      </c>
      <c r="K146" s="26">
        <f t="shared" si="20"/>
        <v>10338.1824</v>
      </c>
      <c r="L146" s="26">
        <f t="shared" si="20"/>
        <v>10028.036928</v>
      </c>
    </row>
    <row r="147" spans="1:12" ht="19.5" customHeight="1" x14ac:dyDescent="0.35">
      <c r="A147" s="43">
        <v>16</v>
      </c>
      <c r="B147" s="43" t="s">
        <v>270</v>
      </c>
      <c r="C147" s="68" t="s">
        <v>271</v>
      </c>
      <c r="D147" s="43">
        <v>2</v>
      </c>
      <c r="E147" s="43"/>
      <c r="F147" s="279">
        <v>32</v>
      </c>
      <c r="G147" s="279"/>
      <c r="H147" s="43">
        <v>15970</v>
      </c>
      <c r="I147" s="26">
        <f t="shared" si="18"/>
        <v>11179</v>
      </c>
      <c r="J147" s="26">
        <f t="shared" si="19"/>
        <v>10731.84</v>
      </c>
      <c r="K147" s="26">
        <f t="shared" si="20"/>
        <v>10409.8848</v>
      </c>
      <c r="L147" s="26">
        <f t="shared" si="20"/>
        <v>10097.588255999999</v>
      </c>
    </row>
    <row r="148" spans="1:12" ht="19.5" customHeight="1" x14ac:dyDescent="0.35">
      <c r="A148" s="43">
        <v>17</v>
      </c>
      <c r="B148" s="43" t="s">
        <v>272</v>
      </c>
      <c r="C148" s="68" t="s">
        <v>273</v>
      </c>
      <c r="D148" s="43">
        <v>2</v>
      </c>
      <c r="E148" s="43"/>
      <c r="F148" s="279">
        <v>32</v>
      </c>
      <c r="G148" s="279"/>
      <c r="H148" s="43">
        <v>16480</v>
      </c>
      <c r="I148" s="26">
        <f t="shared" si="18"/>
        <v>11536</v>
      </c>
      <c r="J148" s="26">
        <f t="shared" si="19"/>
        <v>11074.56</v>
      </c>
      <c r="K148" s="26">
        <f t="shared" si="20"/>
        <v>10742.323199999999</v>
      </c>
      <c r="L148" s="26">
        <f t="shared" si="20"/>
        <v>10420.053504</v>
      </c>
    </row>
    <row r="149" spans="1:12" ht="19.5" customHeight="1" x14ac:dyDescent="0.35">
      <c r="A149" s="43">
        <v>18</v>
      </c>
      <c r="B149" s="43" t="s">
        <v>274</v>
      </c>
      <c r="C149" s="68" t="s">
        <v>275</v>
      </c>
      <c r="D149" s="43">
        <v>2</v>
      </c>
      <c r="E149" s="43"/>
      <c r="F149" s="279">
        <v>65</v>
      </c>
      <c r="G149" s="279"/>
      <c r="H149" s="43">
        <v>14940</v>
      </c>
      <c r="I149" s="26">
        <f t="shared" si="18"/>
        <v>10458</v>
      </c>
      <c r="J149" s="26">
        <f t="shared" si="19"/>
        <v>10039.68</v>
      </c>
      <c r="K149" s="26">
        <f t="shared" si="20"/>
        <v>9738.4896000000008</v>
      </c>
      <c r="L149" s="26">
        <f t="shared" si="20"/>
        <v>9446.3349120000003</v>
      </c>
    </row>
    <row r="150" spans="1:12" ht="19.5" customHeight="1" x14ac:dyDescent="0.35">
      <c r="A150" s="43">
        <v>19</v>
      </c>
      <c r="B150" s="43" t="s">
        <v>276</v>
      </c>
      <c r="C150" s="68" t="s">
        <v>277</v>
      </c>
      <c r="D150" s="43">
        <v>3</v>
      </c>
      <c r="E150" s="43"/>
      <c r="F150" s="279">
        <v>32</v>
      </c>
      <c r="G150" s="279"/>
      <c r="H150" s="43">
        <v>23500</v>
      </c>
      <c r="I150" s="26">
        <f t="shared" si="18"/>
        <v>16450</v>
      </c>
      <c r="J150" s="26">
        <f t="shared" si="19"/>
        <v>15792</v>
      </c>
      <c r="K150" s="26">
        <f t="shared" si="20"/>
        <v>15318.24</v>
      </c>
      <c r="L150" s="26">
        <f t="shared" si="20"/>
        <v>14858.692799999999</v>
      </c>
    </row>
    <row r="151" spans="1:12" ht="19.5" customHeight="1" x14ac:dyDescent="0.35">
      <c r="A151" s="43">
        <v>20</v>
      </c>
      <c r="B151" s="43" t="s">
        <v>278</v>
      </c>
      <c r="C151" s="68" t="s">
        <v>279</v>
      </c>
      <c r="D151" s="43">
        <v>3</v>
      </c>
      <c r="E151" s="43"/>
      <c r="F151" s="279">
        <v>32</v>
      </c>
      <c r="G151" s="279"/>
      <c r="H151" s="43">
        <v>24000</v>
      </c>
      <c r="I151" s="26">
        <f t="shared" si="18"/>
        <v>16800</v>
      </c>
      <c r="J151" s="26">
        <f t="shared" si="19"/>
        <v>16128</v>
      </c>
      <c r="K151" s="26">
        <f t="shared" si="20"/>
        <v>15644.16</v>
      </c>
      <c r="L151" s="26">
        <f t="shared" si="20"/>
        <v>15174.8352</v>
      </c>
    </row>
    <row r="152" spans="1:12" ht="19.5" customHeight="1" x14ac:dyDescent="0.35">
      <c r="A152" s="43">
        <v>21</v>
      </c>
      <c r="B152" s="43" t="s">
        <v>280</v>
      </c>
      <c r="C152" s="68" t="s">
        <v>281</v>
      </c>
      <c r="D152" s="43">
        <v>3</v>
      </c>
      <c r="E152" s="43"/>
      <c r="F152" s="279">
        <v>32</v>
      </c>
      <c r="G152" s="279"/>
      <c r="H152" s="43">
        <v>24500</v>
      </c>
      <c r="I152" s="26">
        <f t="shared" si="18"/>
        <v>17150</v>
      </c>
      <c r="J152" s="26">
        <f t="shared" si="19"/>
        <v>16464</v>
      </c>
      <c r="K152" s="26">
        <f t="shared" si="20"/>
        <v>15970.08</v>
      </c>
      <c r="L152" s="26">
        <f t="shared" si="20"/>
        <v>15490.9776</v>
      </c>
    </row>
    <row r="153" spans="1:12" ht="19.5" customHeight="1" x14ac:dyDescent="0.35">
      <c r="A153" s="43">
        <v>22</v>
      </c>
      <c r="B153" s="43" t="s">
        <v>282</v>
      </c>
      <c r="C153" s="68" t="s">
        <v>283</v>
      </c>
      <c r="D153" s="43">
        <v>3</v>
      </c>
      <c r="E153" s="43"/>
      <c r="F153" s="279">
        <v>65</v>
      </c>
      <c r="G153" s="279"/>
      <c r="H153" s="43">
        <v>23690</v>
      </c>
      <c r="I153" s="26">
        <f t="shared" si="18"/>
        <v>16583</v>
      </c>
      <c r="J153" s="26">
        <f t="shared" si="19"/>
        <v>15919.68</v>
      </c>
      <c r="K153" s="26">
        <f t="shared" si="20"/>
        <v>15442.089599999999</v>
      </c>
      <c r="L153" s="26">
        <f t="shared" si="20"/>
        <v>14978.826911999999</v>
      </c>
    </row>
    <row r="154" spans="1:12" ht="19.5" customHeight="1" x14ac:dyDescent="0.35">
      <c r="A154" s="43">
        <v>23</v>
      </c>
      <c r="B154" s="43" t="s">
        <v>284</v>
      </c>
      <c r="C154" s="68" t="s">
        <v>283</v>
      </c>
      <c r="D154" s="43">
        <v>3</v>
      </c>
      <c r="E154" s="43"/>
      <c r="F154" s="279">
        <v>65</v>
      </c>
      <c r="G154" s="279"/>
      <c r="H154" s="43">
        <v>15450</v>
      </c>
      <c r="I154" s="26">
        <f t="shared" si="18"/>
        <v>10815</v>
      </c>
      <c r="J154" s="26">
        <f t="shared" si="19"/>
        <v>10382.4</v>
      </c>
      <c r="K154" s="26">
        <f t="shared" si="20"/>
        <v>10070.928</v>
      </c>
      <c r="L154" s="26">
        <f t="shared" si="20"/>
        <v>9768.8001599999989</v>
      </c>
    </row>
    <row r="155" spans="1:12" ht="19.5" customHeight="1" x14ac:dyDescent="0.35">
      <c r="A155" s="284" t="s">
        <v>285</v>
      </c>
      <c r="B155" s="284"/>
      <c r="C155" s="284"/>
      <c r="D155" s="284"/>
      <c r="E155" s="284"/>
      <c r="F155" s="284"/>
      <c r="G155" s="284"/>
      <c r="H155" s="281" t="s">
        <v>109</v>
      </c>
      <c r="I155" s="315" t="s">
        <v>504</v>
      </c>
      <c r="J155" s="315"/>
      <c r="K155" s="315"/>
      <c r="L155" s="315"/>
    </row>
    <row r="156" spans="1:12" ht="19.5" customHeight="1" x14ac:dyDescent="0.35">
      <c r="A156" s="281" t="s">
        <v>2</v>
      </c>
      <c r="B156" s="281" t="s">
        <v>3</v>
      </c>
      <c r="C156" s="283" t="s">
        <v>4</v>
      </c>
      <c r="D156" s="281" t="s">
        <v>5</v>
      </c>
      <c r="E156" s="281"/>
      <c r="F156" s="281" t="s">
        <v>6</v>
      </c>
      <c r="G156" s="281"/>
      <c r="H156" s="281"/>
      <c r="I156" s="323">
        <v>0.3</v>
      </c>
      <c r="J156" s="323">
        <v>0.04</v>
      </c>
      <c r="K156" s="323">
        <v>0.03</v>
      </c>
      <c r="L156" s="323">
        <v>0.01</v>
      </c>
    </row>
    <row r="157" spans="1:12" ht="19.5" customHeight="1" x14ac:dyDescent="0.35">
      <c r="A157" s="281"/>
      <c r="B157" s="281"/>
      <c r="C157" s="283"/>
      <c r="D157" s="58" t="s">
        <v>9</v>
      </c>
      <c r="E157" s="58" t="s">
        <v>10</v>
      </c>
      <c r="F157" s="58" t="s">
        <v>11</v>
      </c>
      <c r="G157" s="58" t="s">
        <v>12</v>
      </c>
      <c r="H157" s="281"/>
      <c r="I157" s="324"/>
      <c r="J157" s="324">
        <v>0.04</v>
      </c>
      <c r="K157" s="324">
        <v>0.03</v>
      </c>
      <c r="L157" s="324">
        <v>0.03</v>
      </c>
    </row>
    <row r="158" spans="1:12" ht="19.5" customHeight="1" x14ac:dyDescent="0.35">
      <c r="A158" s="43">
        <v>1</v>
      </c>
      <c r="B158" s="43" t="s">
        <v>286</v>
      </c>
      <c r="C158" s="68" t="s">
        <v>287</v>
      </c>
      <c r="D158" s="43">
        <v>0.5</v>
      </c>
      <c r="E158" s="43"/>
      <c r="F158" s="279">
        <v>32</v>
      </c>
      <c r="G158" s="279"/>
      <c r="H158" s="43">
        <v>6800</v>
      </c>
      <c r="I158" s="26">
        <f t="shared" ref="I158:I172" si="21">H158*0.7</f>
        <v>4760</v>
      </c>
      <c r="J158" s="26">
        <f t="shared" ref="J158:J172" si="22">+I158*0.96</f>
        <v>4569.5999999999995</v>
      </c>
      <c r="K158" s="26">
        <f t="shared" ref="K158:L172" si="23">+J158*0.97</f>
        <v>4432.5119999999997</v>
      </c>
      <c r="L158" s="26">
        <f t="shared" si="23"/>
        <v>4299.5366399999994</v>
      </c>
    </row>
    <row r="159" spans="1:12" ht="19.5" customHeight="1" x14ac:dyDescent="0.35">
      <c r="A159" s="43">
        <v>2</v>
      </c>
      <c r="B159" s="43" t="s">
        <v>288</v>
      </c>
      <c r="C159" s="68" t="s">
        <v>289</v>
      </c>
      <c r="D159" s="43">
        <v>0.5</v>
      </c>
      <c r="E159" s="43"/>
      <c r="F159" s="279">
        <v>32</v>
      </c>
      <c r="G159" s="279"/>
      <c r="H159" s="43">
        <v>7600</v>
      </c>
      <c r="I159" s="26">
        <f t="shared" si="21"/>
        <v>5320</v>
      </c>
      <c r="J159" s="26">
        <f t="shared" si="22"/>
        <v>5107.2</v>
      </c>
      <c r="K159" s="26">
        <f t="shared" si="23"/>
        <v>4953.9839999999995</v>
      </c>
      <c r="L159" s="26">
        <f t="shared" si="23"/>
        <v>4805.3644799999993</v>
      </c>
    </row>
    <row r="160" spans="1:12" ht="19.5" customHeight="1" x14ac:dyDescent="0.35">
      <c r="A160" s="43">
        <v>3</v>
      </c>
      <c r="B160" s="43" t="s">
        <v>290</v>
      </c>
      <c r="C160" s="68" t="s">
        <v>291</v>
      </c>
      <c r="D160" s="43">
        <v>0.75</v>
      </c>
      <c r="E160" s="43"/>
      <c r="F160" s="279">
        <v>32</v>
      </c>
      <c r="G160" s="279"/>
      <c r="H160" s="43">
        <v>7800</v>
      </c>
      <c r="I160" s="26">
        <f t="shared" si="21"/>
        <v>5460</v>
      </c>
      <c r="J160" s="26">
        <f t="shared" si="22"/>
        <v>5241.5999999999995</v>
      </c>
      <c r="K160" s="26">
        <f t="shared" si="23"/>
        <v>5084.351999999999</v>
      </c>
      <c r="L160" s="26">
        <f t="shared" si="23"/>
        <v>4931.8214399999988</v>
      </c>
    </row>
    <row r="161" spans="1:12" ht="19.5" customHeight="1" x14ac:dyDescent="0.35">
      <c r="A161" s="43">
        <v>4</v>
      </c>
      <c r="B161" s="43" t="s">
        <v>292</v>
      </c>
      <c r="C161" s="68" t="s">
        <v>293</v>
      </c>
      <c r="D161" s="43">
        <v>0.75</v>
      </c>
      <c r="E161" s="43"/>
      <c r="F161" s="279">
        <v>32</v>
      </c>
      <c r="G161" s="279"/>
      <c r="H161" s="43">
        <v>8000</v>
      </c>
      <c r="I161" s="26">
        <f t="shared" si="21"/>
        <v>5600</v>
      </c>
      <c r="J161" s="26">
        <f t="shared" si="22"/>
        <v>5376</v>
      </c>
      <c r="K161" s="26">
        <f t="shared" si="23"/>
        <v>5214.72</v>
      </c>
      <c r="L161" s="26">
        <f t="shared" si="23"/>
        <v>5058.2784000000001</v>
      </c>
    </row>
    <row r="162" spans="1:12" ht="19.5" customHeight="1" x14ac:dyDescent="0.35">
      <c r="A162" s="43">
        <v>5</v>
      </c>
      <c r="B162" s="43" t="s">
        <v>294</v>
      </c>
      <c r="C162" s="68" t="s">
        <v>295</v>
      </c>
      <c r="D162" s="43">
        <v>1</v>
      </c>
      <c r="E162" s="43"/>
      <c r="F162" s="279">
        <v>32</v>
      </c>
      <c r="G162" s="279"/>
      <c r="H162" s="43">
        <v>8200</v>
      </c>
      <c r="I162" s="26">
        <f t="shared" si="21"/>
        <v>5740</v>
      </c>
      <c r="J162" s="26">
        <f t="shared" si="22"/>
        <v>5510.4</v>
      </c>
      <c r="K162" s="26">
        <f t="shared" si="23"/>
        <v>5345.0879999999997</v>
      </c>
      <c r="L162" s="26">
        <f t="shared" si="23"/>
        <v>5184.7353599999997</v>
      </c>
    </row>
    <row r="163" spans="1:12" ht="19.5" customHeight="1" x14ac:dyDescent="0.35">
      <c r="A163" s="43">
        <v>6</v>
      </c>
      <c r="B163" s="43" t="s">
        <v>296</v>
      </c>
      <c r="C163" s="68" t="s">
        <v>297</v>
      </c>
      <c r="D163" s="43">
        <v>1</v>
      </c>
      <c r="E163" s="43"/>
      <c r="F163" s="279">
        <v>32</v>
      </c>
      <c r="G163" s="279"/>
      <c r="H163" s="43">
        <v>8400</v>
      </c>
      <c r="I163" s="26">
        <f t="shared" si="21"/>
        <v>5880</v>
      </c>
      <c r="J163" s="26">
        <f t="shared" si="22"/>
        <v>5644.8</v>
      </c>
      <c r="K163" s="26">
        <f t="shared" si="23"/>
        <v>5475.4560000000001</v>
      </c>
      <c r="L163" s="26">
        <f t="shared" si="23"/>
        <v>5311.1923200000001</v>
      </c>
    </row>
    <row r="164" spans="1:12" ht="19.5" customHeight="1" x14ac:dyDescent="0.35">
      <c r="A164" s="43">
        <v>7</v>
      </c>
      <c r="B164" s="43" t="s">
        <v>298</v>
      </c>
      <c r="C164" s="68" t="s">
        <v>299</v>
      </c>
      <c r="D164" s="43">
        <v>1</v>
      </c>
      <c r="E164" s="43"/>
      <c r="F164" s="279">
        <v>32</v>
      </c>
      <c r="G164" s="279"/>
      <c r="H164" s="43">
        <v>8600</v>
      </c>
      <c r="I164" s="26">
        <f t="shared" si="21"/>
        <v>6020</v>
      </c>
      <c r="J164" s="26">
        <f t="shared" si="22"/>
        <v>5779.2</v>
      </c>
      <c r="K164" s="26">
        <f t="shared" si="23"/>
        <v>5605.8239999999996</v>
      </c>
      <c r="L164" s="26">
        <f t="shared" si="23"/>
        <v>5437.6492799999996</v>
      </c>
    </row>
    <row r="165" spans="1:12" ht="19.5" customHeight="1" x14ac:dyDescent="0.35">
      <c r="A165" s="43">
        <v>8</v>
      </c>
      <c r="B165" s="43" t="s">
        <v>300</v>
      </c>
      <c r="C165" s="68" t="s">
        <v>301</v>
      </c>
      <c r="D165" s="43">
        <v>1.5</v>
      </c>
      <c r="E165" s="43"/>
      <c r="F165" s="279">
        <v>32</v>
      </c>
      <c r="G165" s="279"/>
      <c r="H165" s="43">
        <v>9000</v>
      </c>
      <c r="I165" s="26">
        <f t="shared" si="21"/>
        <v>6300</v>
      </c>
      <c r="J165" s="26">
        <f t="shared" si="22"/>
        <v>6048</v>
      </c>
      <c r="K165" s="26">
        <f t="shared" si="23"/>
        <v>5866.5599999999995</v>
      </c>
      <c r="L165" s="26">
        <f t="shared" si="23"/>
        <v>5690.5631999999996</v>
      </c>
    </row>
    <row r="166" spans="1:12" ht="19.5" customHeight="1" x14ac:dyDescent="0.35">
      <c r="A166" s="43">
        <v>9</v>
      </c>
      <c r="B166" s="43" t="s">
        <v>302</v>
      </c>
      <c r="C166" s="68" t="s">
        <v>303</v>
      </c>
      <c r="D166" s="43">
        <v>1.5</v>
      </c>
      <c r="E166" s="43"/>
      <c r="F166" s="279">
        <v>32</v>
      </c>
      <c r="G166" s="279"/>
      <c r="H166" s="43">
        <v>10600</v>
      </c>
      <c r="I166" s="26">
        <f t="shared" si="21"/>
        <v>7419.9999999999991</v>
      </c>
      <c r="J166" s="26">
        <f t="shared" si="22"/>
        <v>7123.1999999999989</v>
      </c>
      <c r="K166" s="26">
        <f t="shared" si="23"/>
        <v>6909.503999999999</v>
      </c>
      <c r="L166" s="26">
        <f t="shared" si="23"/>
        <v>6702.2188799999985</v>
      </c>
    </row>
    <row r="167" spans="1:12" ht="19.5" customHeight="1" x14ac:dyDescent="0.35">
      <c r="A167" s="43">
        <v>10</v>
      </c>
      <c r="B167" s="43" t="s">
        <v>304</v>
      </c>
      <c r="C167" s="68" t="s">
        <v>305</v>
      </c>
      <c r="D167" s="43">
        <v>1.5</v>
      </c>
      <c r="E167" s="43"/>
      <c r="F167" s="279">
        <v>32</v>
      </c>
      <c r="G167" s="279"/>
      <c r="H167" s="43">
        <v>11000</v>
      </c>
      <c r="I167" s="26">
        <f t="shared" si="21"/>
        <v>7699.9999999999991</v>
      </c>
      <c r="J167" s="26">
        <f t="shared" si="22"/>
        <v>7391.9999999999991</v>
      </c>
      <c r="K167" s="26">
        <f t="shared" si="23"/>
        <v>7170.2399999999989</v>
      </c>
      <c r="L167" s="26">
        <f t="shared" si="23"/>
        <v>6955.1327999999985</v>
      </c>
    </row>
    <row r="168" spans="1:12" ht="19.5" customHeight="1" x14ac:dyDescent="0.35">
      <c r="A168" s="43">
        <v>11</v>
      </c>
      <c r="B168" s="43" t="s">
        <v>306</v>
      </c>
      <c r="C168" s="68" t="s">
        <v>307</v>
      </c>
      <c r="D168" s="43">
        <v>2</v>
      </c>
      <c r="E168" s="43"/>
      <c r="F168" s="279">
        <v>32</v>
      </c>
      <c r="G168" s="279"/>
      <c r="H168" s="43">
        <v>13000</v>
      </c>
      <c r="I168" s="26">
        <f t="shared" si="21"/>
        <v>9100</v>
      </c>
      <c r="J168" s="26">
        <f t="shared" si="22"/>
        <v>8736</v>
      </c>
      <c r="K168" s="26">
        <f t="shared" si="23"/>
        <v>8473.92</v>
      </c>
      <c r="L168" s="26">
        <f t="shared" si="23"/>
        <v>8219.7024000000001</v>
      </c>
    </row>
    <row r="169" spans="1:12" ht="19.5" customHeight="1" x14ac:dyDescent="0.35">
      <c r="A169" s="43">
        <v>12</v>
      </c>
      <c r="B169" s="43" t="s">
        <v>308</v>
      </c>
      <c r="C169" s="68" t="s">
        <v>309</v>
      </c>
      <c r="D169" s="43">
        <v>2</v>
      </c>
      <c r="E169" s="43"/>
      <c r="F169" s="279">
        <v>32</v>
      </c>
      <c r="G169" s="279"/>
      <c r="H169" s="43">
        <v>15500</v>
      </c>
      <c r="I169" s="26">
        <f t="shared" si="21"/>
        <v>10850</v>
      </c>
      <c r="J169" s="26">
        <f t="shared" si="22"/>
        <v>10416</v>
      </c>
      <c r="K169" s="26">
        <f t="shared" si="23"/>
        <v>10103.52</v>
      </c>
      <c r="L169" s="26">
        <f t="shared" si="23"/>
        <v>9800.4143999999997</v>
      </c>
    </row>
    <row r="170" spans="1:12" ht="19.5" customHeight="1" x14ac:dyDescent="0.35">
      <c r="A170" s="43">
        <v>13</v>
      </c>
      <c r="B170" s="43" t="s">
        <v>310</v>
      </c>
      <c r="C170" s="68" t="s">
        <v>311</v>
      </c>
      <c r="D170" s="43">
        <v>3</v>
      </c>
      <c r="E170" s="43"/>
      <c r="F170" s="279">
        <v>32</v>
      </c>
      <c r="G170" s="279"/>
      <c r="H170" s="43">
        <v>19000</v>
      </c>
      <c r="I170" s="26">
        <f t="shared" si="21"/>
        <v>13300</v>
      </c>
      <c r="J170" s="26">
        <f t="shared" si="22"/>
        <v>12768</v>
      </c>
      <c r="K170" s="26">
        <f t="shared" si="23"/>
        <v>12384.96</v>
      </c>
      <c r="L170" s="26">
        <f t="shared" si="23"/>
        <v>12013.411199999999</v>
      </c>
    </row>
    <row r="171" spans="1:12" ht="19.5" customHeight="1" x14ac:dyDescent="0.35">
      <c r="A171" s="43">
        <v>14</v>
      </c>
      <c r="B171" s="43" t="s">
        <v>312</v>
      </c>
      <c r="C171" s="68" t="s">
        <v>313</v>
      </c>
      <c r="D171" s="43">
        <v>3</v>
      </c>
      <c r="E171" s="43"/>
      <c r="F171" s="279">
        <v>32</v>
      </c>
      <c r="G171" s="279"/>
      <c r="H171" s="43">
        <v>20000</v>
      </c>
      <c r="I171" s="26">
        <f t="shared" si="21"/>
        <v>14000</v>
      </c>
      <c r="J171" s="26">
        <f t="shared" si="22"/>
        <v>13440</v>
      </c>
      <c r="K171" s="26">
        <f t="shared" si="23"/>
        <v>13036.8</v>
      </c>
      <c r="L171" s="26">
        <f t="shared" si="23"/>
        <v>12645.695999999998</v>
      </c>
    </row>
    <row r="172" spans="1:12" ht="19.5" customHeight="1" x14ac:dyDescent="0.35">
      <c r="A172" s="43">
        <v>15</v>
      </c>
      <c r="B172" s="43" t="s">
        <v>314</v>
      </c>
      <c r="C172" s="68" t="s">
        <v>315</v>
      </c>
      <c r="D172" s="43">
        <v>3</v>
      </c>
      <c r="E172" s="43"/>
      <c r="F172" s="279">
        <v>32</v>
      </c>
      <c r="G172" s="279"/>
      <c r="H172" s="43">
        <v>20500</v>
      </c>
      <c r="I172" s="26">
        <f t="shared" si="21"/>
        <v>14349.999999999998</v>
      </c>
      <c r="J172" s="26">
        <f t="shared" si="22"/>
        <v>13775.999999999998</v>
      </c>
      <c r="K172" s="26">
        <f t="shared" si="23"/>
        <v>13362.719999999998</v>
      </c>
      <c r="L172" s="26">
        <f t="shared" si="23"/>
        <v>12961.838399999997</v>
      </c>
    </row>
  </sheetData>
  <mergeCells count="122">
    <mergeCell ref="I7:L7"/>
    <mergeCell ref="I8:L8"/>
    <mergeCell ref="I9:L9"/>
    <mergeCell ref="I10:L10"/>
    <mergeCell ref="I26:L26"/>
    <mergeCell ref="I27:L27"/>
    <mergeCell ref="A1:L3"/>
    <mergeCell ref="A4:L4"/>
    <mergeCell ref="A5:A6"/>
    <mergeCell ref="B5:B6"/>
    <mergeCell ref="C5:C6"/>
    <mergeCell ref="D5:E5"/>
    <mergeCell ref="F5:G5"/>
    <mergeCell ref="H5:H6"/>
    <mergeCell ref="I5:L5"/>
    <mergeCell ref="F56:G56"/>
    <mergeCell ref="I56:I57"/>
    <mergeCell ref="J56:J57"/>
    <mergeCell ref="K56:K57"/>
    <mergeCell ref="L56:L57"/>
    <mergeCell ref="D58:D59"/>
    <mergeCell ref="E58:E59"/>
    <mergeCell ref="I31:L31"/>
    <mergeCell ref="I32:L32"/>
    <mergeCell ref="I47:L47"/>
    <mergeCell ref="A55:G55"/>
    <mergeCell ref="H55:H57"/>
    <mergeCell ref="I55:L55"/>
    <mergeCell ref="A56:A57"/>
    <mergeCell ref="B56:B57"/>
    <mergeCell ref="C56:C57"/>
    <mergeCell ref="D56:E56"/>
    <mergeCell ref="D92:D103"/>
    <mergeCell ref="E92:E103"/>
    <mergeCell ref="D104:D106"/>
    <mergeCell ref="E104:E106"/>
    <mergeCell ref="D108:D109"/>
    <mergeCell ref="E108:E109"/>
    <mergeCell ref="D61:D66"/>
    <mergeCell ref="E61:E66"/>
    <mergeCell ref="D67:D73"/>
    <mergeCell ref="E67:E73"/>
    <mergeCell ref="D74:D91"/>
    <mergeCell ref="E74:E91"/>
    <mergeCell ref="I115:I116"/>
    <mergeCell ref="J115:J116"/>
    <mergeCell ref="K115:K116"/>
    <mergeCell ref="L115:L116"/>
    <mergeCell ref="I117:L117"/>
    <mergeCell ref="I118:L118"/>
    <mergeCell ref="D110:D113"/>
    <mergeCell ref="E110:E113"/>
    <mergeCell ref="A114:G114"/>
    <mergeCell ref="H114:H116"/>
    <mergeCell ref="I114:L114"/>
    <mergeCell ref="A115:A116"/>
    <mergeCell ref="B115:B116"/>
    <mergeCell ref="C115:C116"/>
    <mergeCell ref="D115:E115"/>
    <mergeCell ref="F115:G115"/>
    <mergeCell ref="A129:G129"/>
    <mergeCell ref="H129:H131"/>
    <mergeCell ref="I129:L129"/>
    <mergeCell ref="A130:A131"/>
    <mergeCell ref="B130:B131"/>
    <mergeCell ref="C130:C131"/>
    <mergeCell ref="D130:E130"/>
    <mergeCell ref="F130:G131"/>
    <mergeCell ref="I130:I131"/>
    <mergeCell ref="J130:J131"/>
    <mergeCell ref="F136:G136"/>
    <mergeCell ref="F137:G137"/>
    <mergeCell ref="F138:G138"/>
    <mergeCell ref="F139:G139"/>
    <mergeCell ref="F140:G140"/>
    <mergeCell ref="F141:G141"/>
    <mergeCell ref="K130:K131"/>
    <mergeCell ref="L130:L131"/>
    <mergeCell ref="F132:G132"/>
    <mergeCell ref="F133:G133"/>
    <mergeCell ref="F134:G134"/>
    <mergeCell ref="F135:G135"/>
    <mergeCell ref="F148:G148"/>
    <mergeCell ref="F149:G149"/>
    <mergeCell ref="F150:G150"/>
    <mergeCell ref="F151:G151"/>
    <mergeCell ref="F152:G152"/>
    <mergeCell ref="F153:G153"/>
    <mergeCell ref="F142:G142"/>
    <mergeCell ref="F143:G143"/>
    <mergeCell ref="F144:G144"/>
    <mergeCell ref="F145:G145"/>
    <mergeCell ref="F146:G146"/>
    <mergeCell ref="F147:G147"/>
    <mergeCell ref="J156:J157"/>
    <mergeCell ref="K156:K157"/>
    <mergeCell ref="L156:L157"/>
    <mergeCell ref="F158:G158"/>
    <mergeCell ref="F159:G159"/>
    <mergeCell ref="F160:G160"/>
    <mergeCell ref="F154:G154"/>
    <mergeCell ref="A155:G155"/>
    <mergeCell ref="H155:H157"/>
    <mergeCell ref="I155:L155"/>
    <mergeCell ref="A156:A157"/>
    <mergeCell ref="B156:B157"/>
    <mergeCell ref="C156:C157"/>
    <mergeCell ref="D156:E156"/>
    <mergeCell ref="F156:G156"/>
    <mergeCell ref="I156:I157"/>
    <mergeCell ref="F167:G167"/>
    <mergeCell ref="F168:G168"/>
    <mergeCell ref="F169:G169"/>
    <mergeCell ref="F170:G170"/>
    <mergeCell ref="F171:G171"/>
    <mergeCell ref="F172:G172"/>
    <mergeCell ref="F161:G161"/>
    <mergeCell ref="F162:G162"/>
    <mergeCell ref="F163:G163"/>
    <mergeCell ref="F164:G164"/>
    <mergeCell ref="F165:G165"/>
    <mergeCell ref="F166:G166"/>
  </mergeCells>
  <conditionalFormatting sqref="B5:B172">
    <cfRule type="duplicateValues" dxfId="22" priority="1"/>
    <cfRule type="duplicateValues" dxfId="21" priority="2"/>
  </conditionalFormatting>
  <pageMargins left="0.7" right="0.7" top="0.75" bottom="0.75" header="0.3" footer="0.3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L172"/>
  <sheetViews>
    <sheetView topLeftCell="A40" workbookViewId="0">
      <selection activeCell="O43" sqref="O43"/>
    </sheetView>
  </sheetViews>
  <sheetFormatPr defaultRowHeight="20.25" customHeight="1" x14ac:dyDescent="0.35"/>
  <cols>
    <col min="2" max="2" width="14.453125" customWidth="1"/>
    <col min="3" max="3" width="21.7265625" customWidth="1"/>
  </cols>
  <sheetData>
    <row r="1" spans="1:12" ht="20.25" customHeight="1" x14ac:dyDescent="0.35">
      <c r="A1" s="203" t="s">
        <v>0</v>
      </c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</row>
    <row r="2" spans="1:12" ht="20.25" customHeight="1" x14ac:dyDescent="0.35">
      <c r="A2" s="203"/>
      <c r="B2" s="204"/>
      <c r="C2" s="204"/>
      <c r="D2" s="204"/>
      <c r="E2" s="204"/>
      <c r="F2" s="204"/>
      <c r="G2" s="204"/>
      <c r="H2" s="204"/>
      <c r="I2" s="204"/>
      <c r="J2" s="204"/>
      <c r="K2" s="204"/>
      <c r="L2" s="204"/>
    </row>
    <row r="3" spans="1:12" ht="20.25" customHeight="1" x14ac:dyDescent="0.35">
      <c r="A3" s="326"/>
      <c r="B3" s="327"/>
      <c r="C3" s="327"/>
      <c r="D3" s="327"/>
      <c r="E3" s="327"/>
      <c r="F3" s="327"/>
      <c r="G3" s="327"/>
      <c r="H3" s="327"/>
      <c r="I3" s="327"/>
      <c r="J3" s="327"/>
      <c r="K3" s="327"/>
      <c r="L3" s="327"/>
    </row>
    <row r="4" spans="1:12" ht="24" customHeight="1" x14ac:dyDescent="0.35">
      <c r="A4" s="319" t="s">
        <v>531</v>
      </c>
      <c r="B4" s="319"/>
      <c r="C4" s="319"/>
      <c r="D4" s="319"/>
      <c r="E4" s="319"/>
      <c r="F4" s="319"/>
      <c r="G4" s="319"/>
      <c r="H4" s="319"/>
      <c r="I4" s="319"/>
      <c r="J4" s="319"/>
      <c r="K4" s="319"/>
      <c r="L4" s="319"/>
    </row>
    <row r="5" spans="1:12" ht="20.25" customHeight="1" x14ac:dyDescent="0.35">
      <c r="A5" s="287" t="s">
        <v>2</v>
      </c>
      <c r="B5" s="287" t="s">
        <v>3</v>
      </c>
      <c r="C5" s="287" t="s">
        <v>4</v>
      </c>
      <c r="D5" s="287" t="s">
        <v>5</v>
      </c>
      <c r="E5" s="287"/>
      <c r="F5" s="287" t="s">
        <v>6</v>
      </c>
      <c r="G5" s="287"/>
      <c r="H5" s="305" t="s">
        <v>7</v>
      </c>
      <c r="I5" s="315" t="s">
        <v>504</v>
      </c>
      <c r="J5" s="315"/>
      <c r="K5" s="315"/>
      <c r="L5" s="315"/>
    </row>
    <row r="6" spans="1:12" ht="20.25" customHeight="1" x14ac:dyDescent="0.35">
      <c r="A6" s="287"/>
      <c r="B6" s="287"/>
      <c r="C6" s="287"/>
      <c r="D6" s="11" t="s">
        <v>9</v>
      </c>
      <c r="E6" s="11" t="s">
        <v>10</v>
      </c>
      <c r="F6" s="11" t="s">
        <v>11</v>
      </c>
      <c r="G6" s="11" t="s">
        <v>12</v>
      </c>
      <c r="H6" s="305"/>
      <c r="I6" s="41">
        <v>0.3</v>
      </c>
      <c r="J6" s="41">
        <v>0.04</v>
      </c>
      <c r="K6" s="41">
        <v>0.03</v>
      </c>
      <c r="L6" s="41">
        <v>0.01</v>
      </c>
    </row>
    <row r="7" spans="1:12" ht="20.25" customHeight="1" x14ac:dyDescent="0.35">
      <c r="A7" s="42">
        <v>1</v>
      </c>
      <c r="B7" s="43" t="s">
        <v>13</v>
      </c>
      <c r="C7" s="44" t="s">
        <v>14</v>
      </c>
      <c r="D7" s="45">
        <v>0.5</v>
      </c>
      <c r="E7" s="45">
        <v>0.37</v>
      </c>
      <c r="F7" s="45">
        <v>25</v>
      </c>
      <c r="G7" s="45">
        <v>25</v>
      </c>
      <c r="H7" s="46">
        <v>2640</v>
      </c>
      <c r="I7" s="297">
        <v>1748</v>
      </c>
      <c r="J7" s="297"/>
      <c r="K7" s="297"/>
      <c r="L7" s="297"/>
    </row>
    <row r="8" spans="1:12" ht="20.25" customHeight="1" x14ac:dyDescent="0.35">
      <c r="A8" s="42">
        <v>2</v>
      </c>
      <c r="B8" s="43" t="s">
        <v>15</v>
      </c>
      <c r="C8" s="44" t="s">
        <v>16</v>
      </c>
      <c r="D8" s="45">
        <v>1</v>
      </c>
      <c r="E8" s="45">
        <v>0.75</v>
      </c>
      <c r="F8" s="45">
        <v>25</v>
      </c>
      <c r="G8" s="45">
        <v>25</v>
      </c>
      <c r="H8" s="46">
        <v>3420</v>
      </c>
      <c r="I8" s="297">
        <v>2263</v>
      </c>
      <c r="J8" s="297"/>
      <c r="K8" s="297"/>
      <c r="L8" s="297"/>
    </row>
    <row r="9" spans="1:12" ht="20.25" customHeight="1" x14ac:dyDescent="0.35">
      <c r="A9" s="43">
        <v>3</v>
      </c>
      <c r="B9" s="43" t="s">
        <v>17</v>
      </c>
      <c r="C9" s="44" t="s">
        <v>18</v>
      </c>
      <c r="D9" s="45">
        <v>0.5</v>
      </c>
      <c r="E9" s="45">
        <v>0.37</v>
      </c>
      <c r="F9" s="45">
        <v>25</v>
      </c>
      <c r="G9" s="45">
        <v>25</v>
      </c>
      <c r="H9" s="46">
        <v>2840</v>
      </c>
      <c r="I9" s="297">
        <v>1878</v>
      </c>
      <c r="J9" s="297"/>
      <c r="K9" s="297"/>
      <c r="L9" s="297"/>
    </row>
    <row r="10" spans="1:12" ht="20.25" customHeight="1" x14ac:dyDescent="0.35">
      <c r="A10" s="42">
        <v>4</v>
      </c>
      <c r="B10" s="43" t="s">
        <v>19</v>
      </c>
      <c r="C10" s="44" t="s">
        <v>20</v>
      </c>
      <c r="D10" s="45">
        <v>1</v>
      </c>
      <c r="E10" s="45">
        <v>0.75</v>
      </c>
      <c r="F10" s="45">
        <v>25</v>
      </c>
      <c r="G10" s="45">
        <v>25</v>
      </c>
      <c r="H10" s="46">
        <v>3660</v>
      </c>
      <c r="I10" s="297">
        <v>2421</v>
      </c>
      <c r="J10" s="297"/>
      <c r="K10" s="297"/>
      <c r="L10" s="297"/>
    </row>
    <row r="11" spans="1:12" ht="20.25" customHeight="1" x14ac:dyDescent="0.35">
      <c r="A11" s="42">
        <v>5</v>
      </c>
      <c r="B11" s="42" t="s">
        <v>21</v>
      </c>
      <c r="C11" s="48" t="s">
        <v>22</v>
      </c>
      <c r="D11" s="45">
        <v>0.5</v>
      </c>
      <c r="E11" s="45">
        <v>0.37</v>
      </c>
      <c r="F11" s="45">
        <v>25</v>
      </c>
      <c r="G11" s="45">
        <v>25</v>
      </c>
      <c r="H11" s="49">
        <v>3160</v>
      </c>
      <c r="I11" s="26">
        <f>H11*0.7</f>
        <v>2212</v>
      </c>
      <c r="J11" s="26">
        <f>+I11*0.96</f>
        <v>2123.52</v>
      </c>
      <c r="K11" s="26">
        <f>+J11*0.97</f>
        <v>2059.8143999999998</v>
      </c>
      <c r="L11" s="26">
        <f>+K11*0.99</f>
        <v>2039.2162559999997</v>
      </c>
    </row>
    <row r="12" spans="1:12" ht="20.25" customHeight="1" x14ac:dyDescent="0.35">
      <c r="A12" s="42">
        <v>6</v>
      </c>
      <c r="B12" s="42" t="s">
        <v>23</v>
      </c>
      <c r="C12" s="48" t="s">
        <v>24</v>
      </c>
      <c r="D12" s="45">
        <v>1</v>
      </c>
      <c r="E12" s="45">
        <v>0.75</v>
      </c>
      <c r="F12" s="45">
        <v>25</v>
      </c>
      <c r="G12" s="45">
        <v>25</v>
      </c>
      <c r="H12" s="49">
        <v>4120</v>
      </c>
      <c r="I12" s="26">
        <f t="shared" ref="I12:I25" si="0">H12*0.7</f>
        <v>2884</v>
      </c>
      <c r="J12" s="26">
        <f t="shared" ref="J12:J25" si="1">+I12*0.96</f>
        <v>2768.64</v>
      </c>
      <c r="K12" s="26">
        <f t="shared" ref="K12:K25" si="2">+J12*0.97</f>
        <v>2685.5807999999997</v>
      </c>
      <c r="L12" s="26">
        <f t="shared" ref="L12:L25" si="3">+K12*0.99</f>
        <v>2658.7249919999999</v>
      </c>
    </row>
    <row r="13" spans="1:12" ht="20.25" customHeight="1" x14ac:dyDescent="0.35">
      <c r="A13" s="43">
        <v>7</v>
      </c>
      <c r="B13" s="43" t="s">
        <v>25</v>
      </c>
      <c r="C13" s="44" t="s">
        <v>26</v>
      </c>
      <c r="D13" s="45">
        <v>1.5</v>
      </c>
      <c r="E13" s="45">
        <v>1</v>
      </c>
      <c r="F13" s="45">
        <v>25</v>
      </c>
      <c r="G13" s="45">
        <v>25</v>
      </c>
      <c r="H13" s="49">
        <v>5750</v>
      </c>
      <c r="I13" s="26">
        <f t="shared" si="0"/>
        <v>4024.9999999999995</v>
      </c>
      <c r="J13" s="26">
        <f t="shared" si="1"/>
        <v>3863.9999999999995</v>
      </c>
      <c r="K13" s="26">
        <f t="shared" si="2"/>
        <v>3748.0799999999995</v>
      </c>
      <c r="L13" s="26">
        <f t="shared" si="3"/>
        <v>3710.5991999999997</v>
      </c>
    </row>
    <row r="14" spans="1:12" ht="20.25" customHeight="1" x14ac:dyDescent="0.35">
      <c r="A14" s="42">
        <v>8</v>
      </c>
      <c r="B14" s="42" t="s">
        <v>27</v>
      </c>
      <c r="C14" s="48" t="s">
        <v>28</v>
      </c>
      <c r="D14" s="45">
        <v>0.5</v>
      </c>
      <c r="E14" s="45">
        <v>0.37</v>
      </c>
      <c r="F14" s="45">
        <v>25</v>
      </c>
      <c r="G14" s="45">
        <v>25</v>
      </c>
      <c r="H14" s="49">
        <v>3520</v>
      </c>
      <c r="I14" s="26">
        <f t="shared" si="0"/>
        <v>2464</v>
      </c>
      <c r="J14" s="26">
        <f t="shared" si="1"/>
        <v>2365.44</v>
      </c>
      <c r="K14" s="26">
        <f t="shared" si="2"/>
        <v>2294.4767999999999</v>
      </c>
      <c r="L14" s="26">
        <f t="shared" si="3"/>
        <v>2271.5320320000001</v>
      </c>
    </row>
    <row r="15" spans="1:12" ht="20.25" customHeight="1" x14ac:dyDescent="0.35">
      <c r="A15" s="42">
        <v>9</v>
      </c>
      <c r="B15" s="43" t="s">
        <v>29</v>
      </c>
      <c r="C15" s="50" t="s">
        <v>30</v>
      </c>
      <c r="D15" s="45">
        <v>1</v>
      </c>
      <c r="E15" s="45">
        <v>0.75</v>
      </c>
      <c r="F15" s="45">
        <v>25</v>
      </c>
      <c r="G15" s="45">
        <v>25</v>
      </c>
      <c r="H15" s="49">
        <v>3660</v>
      </c>
      <c r="I15" s="26">
        <f t="shared" si="0"/>
        <v>2562</v>
      </c>
      <c r="J15" s="26">
        <f t="shared" si="1"/>
        <v>2459.52</v>
      </c>
      <c r="K15" s="26">
        <f t="shared" si="2"/>
        <v>2385.7343999999998</v>
      </c>
      <c r="L15" s="26">
        <f t="shared" si="3"/>
        <v>2361.8770559999998</v>
      </c>
    </row>
    <row r="16" spans="1:12" ht="20.25" customHeight="1" x14ac:dyDescent="0.35">
      <c r="A16" s="42">
        <v>10</v>
      </c>
      <c r="B16" s="43" t="s">
        <v>31</v>
      </c>
      <c r="C16" s="44" t="s">
        <v>32</v>
      </c>
      <c r="D16" s="45">
        <v>1</v>
      </c>
      <c r="E16" s="45">
        <v>0.75</v>
      </c>
      <c r="F16" s="45">
        <v>25</v>
      </c>
      <c r="G16" s="45">
        <v>25</v>
      </c>
      <c r="H16" s="49">
        <v>4220</v>
      </c>
      <c r="I16" s="26">
        <f t="shared" si="0"/>
        <v>2954</v>
      </c>
      <c r="J16" s="26">
        <f t="shared" si="1"/>
        <v>2835.8399999999997</v>
      </c>
      <c r="K16" s="26">
        <f t="shared" si="2"/>
        <v>2750.7647999999995</v>
      </c>
      <c r="L16" s="26">
        <f t="shared" si="3"/>
        <v>2723.2571519999992</v>
      </c>
    </row>
    <row r="17" spans="1:12" ht="20.25" customHeight="1" x14ac:dyDescent="0.35">
      <c r="A17" s="43">
        <v>11</v>
      </c>
      <c r="B17" s="42" t="s">
        <v>33</v>
      </c>
      <c r="C17" s="48" t="s">
        <v>34</v>
      </c>
      <c r="D17" s="45">
        <v>0.75</v>
      </c>
      <c r="E17" s="45">
        <v>0.56000000000000005</v>
      </c>
      <c r="F17" s="45">
        <v>25</v>
      </c>
      <c r="G17" s="45">
        <v>25</v>
      </c>
      <c r="H17" s="49">
        <v>4080</v>
      </c>
      <c r="I17" s="26">
        <f t="shared" si="0"/>
        <v>2856</v>
      </c>
      <c r="J17" s="26">
        <f t="shared" si="1"/>
        <v>2741.7599999999998</v>
      </c>
      <c r="K17" s="26">
        <f t="shared" si="2"/>
        <v>2659.5071999999996</v>
      </c>
      <c r="L17" s="26">
        <f t="shared" si="3"/>
        <v>2632.9121279999995</v>
      </c>
    </row>
    <row r="18" spans="1:12" ht="20.25" customHeight="1" x14ac:dyDescent="0.35">
      <c r="A18" s="42">
        <v>12</v>
      </c>
      <c r="B18" s="43" t="s">
        <v>35</v>
      </c>
      <c r="C18" s="51" t="s">
        <v>36</v>
      </c>
      <c r="D18" s="45">
        <v>1</v>
      </c>
      <c r="E18" s="45">
        <v>0.75</v>
      </c>
      <c r="F18" s="45">
        <v>25</v>
      </c>
      <c r="G18" s="45">
        <v>25</v>
      </c>
      <c r="H18" s="49">
        <v>4730</v>
      </c>
      <c r="I18" s="26">
        <f t="shared" si="0"/>
        <v>3311</v>
      </c>
      <c r="J18" s="26">
        <f t="shared" si="1"/>
        <v>3178.56</v>
      </c>
      <c r="K18" s="26">
        <f t="shared" si="2"/>
        <v>3083.2031999999999</v>
      </c>
      <c r="L18" s="26">
        <f t="shared" si="3"/>
        <v>3052.3711679999997</v>
      </c>
    </row>
    <row r="19" spans="1:12" ht="20.25" customHeight="1" x14ac:dyDescent="0.35">
      <c r="A19" s="42">
        <v>13</v>
      </c>
      <c r="B19" s="43" t="s">
        <v>37</v>
      </c>
      <c r="C19" s="51" t="s">
        <v>38</v>
      </c>
      <c r="D19" s="45">
        <v>1</v>
      </c>
      <c r="E19" s="45">
        <v>0.75</v>
      </c>
      <c r="F19" s="45">
        <v>25</v>
      </c>
      <c r="G19" s="45">
        <v>25</v>
      </c>
      <c r="H19" s="49">
        <v>4730</v>
      </c>
      <c r="I19" s="26">
        <f t="shared" si="0"/>
        <v>3311</v>
      </c>
      <c r="J19" s="26">
        <f t="shared" si="1"/>
        <v>3178.56</v>
      </c>
      <c r="K19" s="26">
        <f t="shared" si="2"/>
        <v>3083.2031999999999</v>
      </c>
      <c r="L19" s="26">
        <f t="shared" si="3"/>
        <v>3052.3711679999997</v>
      </c>
    </row>
    <row r="20" spans="1:12" ht="20.25" customHeight="1" x14ac:dyDescent="0.35">
      <c r="A20" s="42">
        <v>14</v>
      </c>
      <c r="B20" s="42" t="s">
        <v>39</v>
      </c>
      <c r="C20" s="48" t="s">
        <v>40</v>
      </c>
      <c r="D20" s="45">
        <v>1</v>
      </c>
      <c r="E20" s="45">
        <v>0.75</v>
      </c>
      <c r="F20" s="45">
        <v>25</v>
      </c>
      <c r="G20" s="45">
        <v>25</v>
      </c>
      <c r="H20" s="49">
        <v>5170</v>
      </c>
      <c r="I20" s="26">
        <f t="shared" si="0"/>
        <v>3618.9999999999995</v>
      </c>
      <c r="J20" s="26">
        <f t="shared" si="1"/>
        <v>3474.2399999999993</v>
      </c>
      <c r="K20" s="26">
        <f t="shared" si="2"/>
        <v>3370.0127999999991</v>
      </c>
      <c r="L20" s="26">
        <f t="shared" si="3"/>
        <v>3336.3126719999991</v>
      </c>
    </row>
    <row r="21" spans="1:12" ht="20.25" customHeight="1" x14ac:dyDescent="0.35">
      <c r="A21" s="43">
        <v>15</v>
      </c>
      <c r="B21" s="42" t="s">
        <v>41</v>
      </c>
      <c r="C21" s="48" t="s">
        <v>42</v>
      </c>
      <c r="D21" s="45">
        <v>1</v>
      </c>
      <c r="E21" s="45">
        <v>0.75</v>
      </c>
      <c r="F21" s="45">
        <v>25</v>
      </c>
      <c r="G21" s="45">
        <v>25</v>
      </c>
      <c r="H21" s="49">
        <v>4670</v>
      </c>
      <c r="I21" s="26">
        <f t="shared" si="0"/>
        <v>3269</v>
      </c>
      <c r="J21" s="26">
        <f t="shared" si="1"/>
        <v>3138.24</v>
      </c>
      <c r="K21" s="26">
        <f t="shared" si="2"/>
        <v>3044.0927999999999</v>
      </c>
      <c r="L21" s="26">
        <f t="shared" si="3"/>
        <v>3013.6518719999999</v>
      </c>
    </row>
    <row r="22" spans="1:12" ht="20.25" customHeight="1" x14ac:dyDescent="0.35">
      <c r="A22" s="42">
        <v>16</v>
      </c>
      <c r="B22" s="43" t="s">
        <v>43</v>
      </c>
      <c r="C22" s="44" t="s">
        <v>44</v>
      </c>
      <c r="D22" s="45">
        <v>1.2</v>
      </c>
      <c r="E22" s="45">
        <v>0.9</v>
      </c>
      <c r="F22" s="45">
        <v>25</v>
      </c>
      <c r="G22" s="45">
        <v>25</v>
      </c>
      <c r="H22" s="49">
        <v>6650</v>
      </c>
      <c r="I22" s="26">
        <f t="shared" si="0"/>
        <v>4655</v>
      </c>
      <c r="J22" s="26">
        <f t="shared" si="1"/>
        <v>4468.8</v>
      </c>
      <c r="K22" s="26">
        <f t="shared" si="2"/>
        <v>4334.7359999999999</v>
      </c>
      <c r="L22" s="26">
        <f t="shared" si="3"/>
        <v>4291.3886400000001</v>
      </c>
    </row>
    <row r="23" spans="1:12" ht="20.25" customHeight="1" x14ac:dyDescent="0.35">
      <c r="A23" s="42">
        <v>17</v>
      </c>
      <c r="B23" s="42" t="s">
        <v>45</v>
      </c>
      <c r="C23" s="48" t="s">
        <v>46</v>
      </c>
      <c r="D23" s="45">
        <v>1.5</v>
      </c>
      <c r="E23" s="45">
        <v>1.1000000000000001</v>
      </c>
      <c r="F23" s="45">
        <v>25</v>
      </c>
      <c r="G23" s="45">
        <v>25</v>
      </c>
      <c r="H23" s="49">
        <v>8150</v>
      </c>
      <c r="I23" s="26">
        <f t="shared" si="0"/>
        <v>5705</v>
      </c>
      <c r="J23" s="26">
        <f t="shared" si="1"/>
        <v>5476.8</v>
      </c>
      <c r="K23" s="26">
        <f t="shared" si="2"/>
        <v>5312.4960000000001</v>
      </c>
      <c r="L23" s="26">
        <f t="shared" si="3"/>
        <v>5259.37104</v>
      </c>
    </row>
    <row r="24" spans="1:12" ht="20.25" customHeight="1" x14ac:dyDescent="0.35">
      <c r="A24" s="42">
        <v>18</v>
      </c>
      <c r="B24" s="42" t="s">
        <v>47</v>
      </c>
      <c r="C24" s="48" t="s">
        <v>48</v>
      </c>
      <c r="D24" s="45">
        <v>2</v>
      </c>
      <c r="E24" s="45">
        <v>1.5</v>
      </c>
      <c r="F24" s="45">
        <v>25</v>
      </c>
      <c r="G24" s="45">
        <v>25</v>
      </c>
      <c r="H24" s="49">
        <v>9190</v>
      </c>
      <c r="I24" s="26">
        <f t="shared" si="0"/>
        <v>6433</v>
      </c>
      <c r="J24" s="26">
        <f t="shared" si="1"/>
        <v>6175.6799999999994</v>
      </c>
      <c r="K24" s="26">
        <f t="shared" si="2"/>
        <v>5990.409599999999</v>
      </c>
      <c r="L24" s="26">
        <f t="shared" si="3"/>
        <v>5930.5055039999988</v>
      </c>
    </row>
    <row r="25" spans="1:12" ht="20.25" customHeight="1" x14ac:dyDescent="0.35">
      <c r="A25" s="43">
        <v>19</v>
      </c>
      <c r="B25" s="42" t="s">
        <v>49</v>
      </c>
      <c r="C25" s="48" t="s">
        <v>50</v>
      </c>
      <c r="D25" s="45">
        <v>0.5</v>
      </c>
      <c r="E25" s="45">
        <v>0.37</v>
      </c>
      <c r="F25" s="45">
        <v>25</v>
      </c>
      <c r="G25" s="45">
        <v>25</v>
      </c>
      <c r="H25" s="49">
        <v>3310</v>
      </c>
      <c r="I25" s="26">
        <f t="shared" si="0"/>
        <v>2317</v>
      </c>
      <c r="J25" s="26">
        <f t="shared" si="1"/>
        <v>2224.3199999999997</v>
      </c>
      <c r="K25" s="26">
        <f t="shared" si="2"/>
        <v>2157.5903999999996</v>
      </c>
      <c r="L25" s="26">
        <f t="shared" si="3"/>
        <v>2136.0144959999998</v>
      </c>
    </row>
    <row r="26" spans="1:12" ht="20.25" customHeight="1" x14ac:dyDescent="0.35">
      <c r="A26" s="42">
        <v>20</v>
      </c>
      <c r="B26" s="43" t="s">
        <v>51</v>
      </c>
      <c r="C26" s="44" t="s">
        <v>52</v>
      </c>
      <c r="D26" s="45">
        <v>0.5</v>
      </c>
      <c r="E26" s="45">
        <v>0.37</v>
      </c>
      <c r="F26" s="45">
        <v>25</v>
      </c>
      <c r="G26" s="45">
        <v>25</v>
      </c>
      <c r="H26" s="52">
        <v>4380</v>
      </c>
      <c r="I26" s="295">
        <v>2897</v>
      </c>
      <c r="J26" s="325"/>
      <c r="K26" s="325"/>
      <c r="L26" s="296"/>
    </row>
    <row r="27" spans="1:12" ht="20.25" customHeight="1" x14ac:dyDescent="0.35">
      <c r="A27" s="42">
        <v>21</v>
      </c>
      <c r="B27" s="43" t="s">
        <v>53</v>
      </c>
      <c r="C27" s="44" t="s">
        <v>54</v>
      </c>
      <c r="D27" s="45">
        <v>1</v>
      </c>
      <c r="E27" s="45">
        <v>0.75</v>
      </c>
      <c r="F27" s="45">
        <v>25</v>
      </c>
      <c r="G27" s="45">
        <v>25</v>
      </c>
      <c r="H27" s="52">
        <v>5300</v>
      </c>
      <c r="I27" s="295">
        <v>3506</v>
      </c>
      <c r="J27" s="325"/>
      <c r="K27" s="325"/>
      <c r="L27" s="296"/>
    </row>
    <row r="28" spans="1:12" ht="20.25" customHeight="1" x14ac:dyDescent="0.35">
      <c r="A28" s="42">
        <v>22</v>
      </c>
      <c r="B28" s="42" t="s">
        <v>55</v>
      </c>
      <c r="C28" s="48" t="s">
        <v>56</v>
      </c>
      <c r="D28" s="45">
        <v>1.1000000000000001</v>
      </c>
      <c r="E28" s="45">
        <v>0.8</v>
      </c>
      <c r="F28" s="45">
        <v>25</v>
      </c>
      <c r="G28" s="45">
        <v>25</v>
      </c>
      <c r="H28" s="49">
        <v>5040</v>
      </c>
      <c r="I28" s="26">
        <f>H28*0.7</f>
        <v>3528</v>
      </c>
      <c r="J28" s="26">
        <f>+I28*0.96</f>
        <v>3386.8799999999997</v>
      </c>
      <c r="K28" s="26">
        <f>+J28*0.97</f>
        <v>3285.2735999999995</v>
      </c>
      <c r="L28" s="26">
        <f>+K28*0.99</f>
        <v>3252.4208639999997</v>
      </c>
    </row>
    <row r="29" spans="1:12" ht="20.25" customHeight="1" x14ac:dyDescent="0.35">
      <c r="A29" s="43">
        <v>23</v>
      </c>
      <c r="B29" s="42" t="s">
        <v>57</v>
      </c>
      <c r="C29" s="48" t="s">
        <v>58</v>
      </c>
      <c r="D29" s="45">
        <v>1.1000000000000001</v>
      </c>
      <c r="E29" s="45">
        <v>0.8</v>
      </c>
      <c r="F29" s="45">
        <v>25</v>
      </c>
      <c r="G29" s="45">
        <v>25</v>
      </c>
      <c r="H29" s="49">
        <v>5150</v>
      </c>
      <c r="I29" s="26">
        <f>H29*0.7</f>
        <v>3604.9999999999995</v>
      </c>
      <c r="J29" s="26">
        <f>+I29*0.96</f>
        <v>3460.7999999999993</v>
      </c>
      <c r="K29" s="26">
        <f>+J29*0.97</f>
        <v>3356.9759999999992</v>
      </c>
      <c r="L29" s="26">
        <f>+K29*0.99</f>
        <v>3323.4062399999993</v>
      </c>
    </row>
    <row r="30" spans="1:12" ht="20.25" customHeight="1" x14ac:dyDescent="0.35">
      <c r="A30" s="42">
        <v>24</v>
      </c>
      <c r="B30" s="43" t="s">
        <v>59</v>
      </c>
      <c r="C30" s="51" t="s">
        <v>60</v>
      </c>
      <c r="D30" s="45">
        <v>1.25</v>
      </c>
      <c r="E30" s="45">
        <v>0.94</v>
      </c>
      <c r="F30" s="45">
        <v>25</v>
      </c>
      <c r="G30" s="45">
        <v>25</v>
      </c>
      <c r="H30" s="49">
        <v>6630</v>
      </c>
      <c r="I30" s="26">
        <f>H30*0.7</f>
        <v>4641</v>
      </c>
      <c r="J30" s="26">
        <f>+I30*0.96</f>
        <v>4455.3599999999997</v>
      </c>
      <c r="K30" s="26">
        <f>+J30*0.97</f>
        <v>4321.6991999999991</v>
      </c>
      <c r="L30" s="26">
        <f>+K30*0.99</f>
        <v>4278.4822079999994</v>
      </c>
    </row>
    <row r="31" spans="1:12" ht="20.25" customHeight="1" x14ac:dyDescent="0.35">
      <c r="A31" s="42">
        <v>25</v>
      </c>
      <c r="B31" s="42" t="s">
        <v>61</v>
      </c>
      <c r="C31" s="48" t="s">
        <v>62</v>
      </c>
      <c r="D31" s="53">
        <v>0.5</v>
      </c>
      <c r="E31" s="53">
        <v>0.37</v>
      </c>
      <c r="F31" s="53">
        <v>25</v>
      </c>
      <c r="G31" s="53">
        <v>25</v>
      </c>
      <c r="H31" s="54">
        <v>4950</v>
      </c>
      <c r="I31" s="295">
        <v>3275</v>
      </c>
      <c r="J31" s="325"/>
      <c r="K31" s="325"/>
      <c r="L31" s="296"/>
    </row>
    <row r="32" spans="1:12" ht="20.25" customHeight="1" x14ac:dyDescent="0.35">
      <c r="A32" s="42">
        <v>26</v>
      </c>
      <c r="B32" s="42" t="s">
        <v>63</v>
      </c>
      <c r="C32" s="48" t="s">
        <v>64</v>
      </c>
      <c r="D32" s="53">
        <v>0.5</v>
      </c>
      <c r="E32" s="53">
        <v>0.37</v>
      </c>
      <c r="F32" s="53">
        <v>25</v>
      </c>
      <c r="G32" s="53">
        <v>25</v>
      </c>
      <c r="H32" s="54">
        <v>5000</v>
      </c>
      <c r="I32" s="295">
        <v>3308</v>
      </c>
      <c r="J32" s="325"/>
      <c r="K32" s="325"/>
      <c r="L32" s="296"/>
    </row>
    <row r="33" spans="1:12" ht="20.25" customHeight="1" x14ac:dyDescent="0.35">
      <c r="A33" s="43">
        <v>27</v>
      </c>
      <c r="B33" s="42" t="s">
        <v>65</v>
      </c>
      <c r="C33" s="48" t="s">
        <v>66</v>
      </c>
      <c r="D33" s="45">
        <v>1</v>
      </c>
      <c r="E33" s="45">
        <v>0.75</v>
      </c>
      <c r="F33" s="45">
        <v>25</v>
      </c>
      <c r="G33" s="45">
        <v>25</v>
      </c>
      <c r="H33" s="49">
        <v>5560</v>
      </c>
      <c r="I33" s="26">
        <f t="shared" ref="I33:I46" si="4">H33*0.7</f>
        <v>3891.9999999999995</v>
      </c>
      <c r="J33" s="26">
        <f t="shared" ref="J33:J46" si="5">+I33*0.96</f>
        <v>3736.3199999999993</v>
      </c>
      <c r="K33" s="26">
        <f t="shared" ref="K33:K46" si="6">+J33*0.97</f>
        <v>3624.230399999999</v>
      </c>
      <c r="L33" s="26">
        <f t="shared" ref="L33:L54" si="7">+K33*0.99</f>
        <v>3587.9880959999991</v>
      </c>
    </row>
    <row r="34" spans="1:12" ht="20.25" customHeight="1" x14ac:dyDescent="0.35">
      <c r="A34" s="42">
        <v>28</v>
      </c>
      <c r="B34" s="42" t="s">
        <v>67</v>
      </c>
      <c r="C34" s="48" t="s">
        <v>68</v>
      </c>
      <c r="D34" s="45">
        <v>1</v>
      </c>
      <c r="E34" s="45">
        <v>0.75</v>
      </c>
      <c r="F34" s="45">
        <v>25</v>
      </c>
      <c r="G34" s="45">
        <v>25</v>
      </c>
      <c r="H34" s="49">
        <v>5650</v>
      </c>
      <c r="I34" s="26">
        <f t="shared" si="4"/>
        <v>3954.9999999999995</v>
      </c>
      <c r="J34" s="26">
        <f t="shared" si="5"/>
        <v>3796.7999999999993</v>
      </c>
      <c r="K34" s="26">
        <f t="shared" si="6"/>
        <v>3682.8959999999993</v>
      </c>
      <c r="L34" s="26">
        <f t="shared" si="7"/>
        <v>3646.0670399999995</v>
      </c>
    </row>
    <row r="35" spans="1:12" ht="20.25" customHeight="1" x14ac:dyDescent="0.35">
      <c r="A35" s="42">
        <v>29</v>
      </c>
      <c r="B35" s="42" t="s">
        <v>69</v>
      </c>
      <c r="C35" s="48" t="s">
        <v>70</v>
      </c>
      <c r="D35" s="45">
        <v>1.5</v>
      </c>
      <c r="E35" s="45">
        <v>1.1000000000000001</v>
      </c>
      <c r="F35" s="45">
        <v>25</v>
      </c>
      <c r="G35" s="45">
        <v>25</v>
      </c>
      <c r="H35" s="49">
        <v>7840</v>
      </c>
      <c r="I35" s="26">
        <f t="shared" si="4"/>
        <v>5488</v>
      </c>
      <c r="J35" s="26">
        <f t="shared" si="5"/>
        <v>5268.48</v>
      </c>
      <c r="K35" s="26">
        <f t="shared" si="6"/>
        <v>5110.4255999999996</v>
      </c>
      <c r="L35" s="26">
        <f t="shared" si="7"/>
        <v>5059.321344</v>
      </c>
    </row>
    <row r="36" spans="1:12" ht="20.25" customHeight="1" x14ac:dyDescent="0.35">
      <c r="A36" s="42">
        <v>30</v>
      </c>
      <c r="B36" s="42" t="s">
        <v>71</v>
      </c>
      <c r="C36" s="48" t="s">
        <v>72</v>
      </c>
      <c r="D36" s="45">
        <v>1.5</v>
      </c>
      <c r="E36" s="45">
        <v>1.1000000000000001</v>
      </c>
      <c r="F36" s="45">
        <v>25</v>
      </c>
      <c r="G36" s="45">
        <v>25</v>
      </c>
      <c r="H36" s="49">
        <v>8170</v>
      </c>
      <c r="I36" s="26">
        <f t="shared" si="4"/>
        <v>5719</v>
      </c>
      <c r="J36" s="26">
        <f t="shared" si="5"/>
        <v>5490.24</v>
      </c>
      <c r="K36" s="26">
        <f t="shared" si="6"/>
        <v>5325.5328</v>
      </c>
      <c r="L36" s="26">
        <f t="shared" si="7"/>
        <v>5272.2774719999998</v>
      </c>
    </row>
    <row r="37" spans="1:12" ht="20.25" customHeight="1" x14ac:dyDescent="0.35">
      <c r="A37" s="43">
        <v>31</v>
      </c>
      <c r="B37" s="43" t="s">
        <v>73</v>
      </c>
      <c r="C37" s="44" t="s">
        <v>74</v>
      </c>
      <c r="D37" s="45">
        <v>0.5</v>
      </c>
      <c r="E37" s="45">
        <v>0.37</v>
      </c>
      <c r="F37" s="45">
        <v>25</v>
      </c>
      <c r="G37" s="45">
        <v>25</v>
      </c>
      <c r="H37" s="49">
        <v>6450</v>
      </c>
      <c r="I37" s="26">
        <f t="shared" si="4"/>
        <v>4515</v>
      </c>
      <c r="J37" s="26">
        <f t="shared" si="5"/>
        <v>4334.3999999999996</v>
      </c>
      <c r="K37" s="26">
        <f t="shared" si="6"/>
        <v>4204.3679999999995</v>
      </c>
      <c r="L37" s="26">
        <f t="shared" si="7"/>
        <v>4162.3243199999997</v>
      </c>
    </row>
    <row r="38" spans="1:12" ht="20.25" customHeight="1" x14ac:dyDescent="0.35">
      <c r="A38" s="42">
        <v>32</v>
      </c>
      <c r="B38" s="42" t="s">
        <v>75</v>
      </c>
      <c r="C38" s="48" t="s">
        <v>76</v>
      </c>
      <c r="D38" s="55">
        <v>0.9</v>
      </c>
      <c r="E38" s="55">
        <v>0.7</v>
      </c>
      <c r="F38" s="55">
        <v>25</v>
      </c>
      <c r="G38" s="55">
        <v>25</v>
      </c>
      <c r="H38" s="49">
        <v>6640</v>
      </c>
      <c r="I38" s="26">
        <f t="shared" si="4"/>
        <v>4648</v>
      </c>
      <c r="J38" s="26">
        <f t="shared" si="5"/>
        <v>4462.08</v>
      </c>
      <c r="K38" s="26">
        <f t="shared" si="6"/>
        <v>4328.2175999999999</v>
      </c>
      <c r="L38" s="26">
        <f t="shared" si="7"/>
        <v>4284.9354240000002</v>
      </c>
    </row>
    <row r="39" spans="1:12" ht="20.25" customHeight="1" x14ac:dyDescent="0.35">
      <c r="A39" s="42">
        <v>33</v>
      </c>
      <c r="B39" s="42" t="s">
        <v>77</v>
      </c>
      <c r="C39" s="48" t="s">
        <v>78</v>
      </c>
      <c r="D39" s="55">
        <v>1</v>
      </c>
      <c r="E39" s="55">
        <v>0.75</v>
      </c>
      <c r="F39" s="55">
        <v>25</v>
      </c>
      <c r="G39" s="55">
        <v>25</v>
      </c>
      <c r="H39" s="49">
        <v>7100</v>
      </c>
      <c r="I39" s="26">
        <f t="shared" si="4"/>
        <v>4970</v>
      </c>
      <c r="J39" s="26">
        <f t="shared" si="5"/>
        <v>4771.2</v>
      </c>
      <c r="K39" s="26">
        <f t="shared" si="6"/>
        <v>4628.0639999999994</v>
      </c>
      <c r="L39" s="26">
        <f t="shared" si="7"/>
        <v>4581.7833599999994</v>
      </c>
    </row>
    <row r="40" spans="1:12" ht="20.25" customHeight="1" x14ac:dyDescent="0.35">
      <c r="A40" s="42">
        <v>34</v>
      </c>
      <c r="B40" s="43" t="s">
        <v>79</v>
      </c>
      <c r="C40" s="50" t="s">
        <v>80</v>
      </c>
      <c r="D40" s="55">
        <v>0.5</v>
      </c>
      <c r="E40" s="55">
        <v>0.37</v>
      </c>
      <c r="F40" s="55">
        <v>25</v>
      </c>
      <c r="G40" s="55">
        <v>25</v>
      </c>
      <c r="H40" s="49">
        <v>5500</v>
      </c>
      <c r="I40" s="26">
        <f t="shared" si="4"/>
        <v>3849.9999999999995</v>
      </c>
      <c r="J40" s="26">
        <f t="shared" si="5"/>
        <v>3695.9999999999995</v>
      </c>
      <c r="K40" s="26">
        <f t="shared" si="6"/>
        <v>3585.1199999999994</v>
      </c>
      <c r="L40" s="26">
        <f t="shared" si="7"/>
        <v>3549.2687999999994</v>
      </c>
    </row>
    <row r="41" spans="1:12" ht="20.25" customHeight="1" x14ac:dyDescent="0.35">
      <c r="A41" s="43">
        <v>35</v>
      </c>
      <c r="B41" s="43"/>
      <c r="C41" s="50" t="s">
        <v>81</v>
      </c>
      <c r="D41" s="55">
        <v>1</v>
      </c>
      <c r="E41" s="55">
        <v>0.75</v>
      </c>
      <c r="F41" s="55">
        <v>25</v>
      </c>
      <c r="G41" s="55">
        <v>25</v>
      </c>
      <c r="H41" s="49">
        <v>6200</v>
      </c>
      <c r="I41" s="26">
        <f t="shared" si="4"/>
        <v>4340</v>
      </c>
      <c r="J41" s="26">
        <f t="shared" si="5"/>
        <v>4166.3999999999996</v>
      </c>
      <c r="K41" s="26">
        <f t="shared" si="6"/>
        <v>4041.4079999999994</v>
      </c>
      <c r="L41" s="26">
        <f t="shared" si="7"/>
        <v>4000.9939199999994</v>
      </c>
    </row>
    <row r="42" spans="1:12" ht="20.25" customHeight="1" x14ac:dyDescent="0.35">
      <c r="A42" s="42">
        <v>36</v>
      </c>
      <c r="B42" s="43" t="s">
        <v>82</v>
      </c>
      <c r="C42" s="44" t="s">
        <v>83</v>
      </c>
      <c r="D42" s="56">
        <v>0.5</v>
      </c>
      <c r="E42" s="56">
        <v>0.37</v>
      </c>
      <c r="F42" s="56">
        <v>25</v>
      </c>
      <c r="G42" s="56">
        <v>25</v>
      </c>
      <c r="H42" s="49">
        <v>7140</v>
      </c>
      <c r="I42" s="26">
        <f t="shared" si="4"/>
        <v>4998</v>
      </c>
      <c r="J42" s="26">
        <f t="shared" si="5"/>
        <v>4798.08</v>
      </c>
      <c r="K42" s="26">
        <f t="shared" si="6"/>
        <v>4654.1376</v>
      </c>
      <c r="L42" s="26">
        <f t="shared" si="7"/>
        <v>4607.5962239999999</v>
      </c>
    </row>
    <row r="43" spans="1:12" ht="20.25" customHeight="1" x14ac:dyDescent="0.35">
      <c r="A43" s="42">
        <v>37</v>
      </c>
      <c r="B43" s="42" t="s">
        <v>84</v>
      </c>
      <c r="C43" s="48" t="s">
        <v>85</v>
      </c>
      <c r="D43" s="56">
        <v>1.1000000000000001</v>
      </c>
      <c r="E43" s="56">
        <v>0.8</v>
      </c>
      <c r="F43" s="56">
        <v>25</v>
      </c>
      <c r="G43" s="56">
        <v>25</v>
      </c>
      <c r="H43" s="49">
        <v>7700</v>
      </c>
      <c r="I43" s="26">
        <f t="shared" si="4"/>
        <v>5390</v>
      </c>
      <c r="J43" s="26">
        <f t="shared" si="5"/>
        <v>5174.3999999999996</v>
      </c>
      <c r="K43" s="26">
        <f t="shared" si="6"/>
        <v>5019.1679999999997</v>
      </c>
      <c r="L43" s="26">
        <f t="shared" si="7"/>
        <v>4968.9763199999998</v>
      </c>
    </row>
    <row r="44" spans="1:12" ht="20.25" customHeight="1" x14ac:dyDescent="0.35">
      <c r="A44" s="42">
        <v>38</v>
      </c>
      <c r="B44" s="42" t="s">
        <v>86</v>
      </c>
      <c r="C44" s="48" t="s">
        <v>87</v>
      </c>
      <c r="D44" s="56">
        <v>1.5</v>
      </c>
      <c r="E44" s="56">
        <v>1.1000000000000001</v>
      </c>
      <c r="F44" s="56">
        <v>25</v>
      </c>
      <c r="G44" s="56">
        <v>25</v>
      </c>
      <c r="H44" s="49">
        <v>8690</v>
      </c>
      <c r="I44" s="26">
        <f t="shared" si="4"/>
        <v>6083</v>
      </c>
      <c r="J44" s="26">
        <f t="shared" si="5"/>
        <v>5839.6799999999994</v>
      </c>
      <c r="K44" s="26">
        <f t="shared" si="6"/>
        <v>5664.489599999999</v>
      </c>
      <c r="L44" s="26">
        <f t="shared" si="7"/>
        <v>5607.8447039999992</v>
      </c>
    </row>
    <row r="45" spans="1:12" ht="20.25" customHeight="1" x14ac:dyDescent="0.35">
      <c r="A45" s="43">
        <v>39</v>
      </c>
      <c r="B45" s="43" t="s">
        <v>88</v>
      </c>
      <c r="C45" s="44" t="s">
        <v>89</v>
      </c>
      <c r="D45" s="45">
        <v>0.5</v>
      </c>
      <c r="E45" s="45">
        <v>0.37</v>
      </c>
      <c r="F45" s="45">
        <v>25</v>
      </c>
      <c r="G45" s="45">
        <v>12</v>
      </c>
      <c r="H45" s="49">
        <v>4860</v>
      </c>
      <c r="I45" s="26">
        <f t="shared" si="4"/>
        <v>3402</v>
      </c>
      <c r="J45" s="26">
        <f t="shared" si="5"/>
        <v>3265.92</v>
      </c>
      <c r="K45" s="26">
        <f t="shared" si="6"/>
        <v>3167.9423999999999</v>
      </c>
      <c r="L45" s="26">
        <f t="shared" si="7"/>
        <v>3136.262976</v>
      </c>
    </row>
    <row r="46" spans="1:12" ht="20.25" customHeight="1" x14ac:dyDescent="0.35">
      <c r="A46" s="42">
        <v>40</v>
      </c>
      <c r="B46" s="43" t="s">
        <v>90</v>
      </c>
      <c r="C46" s="44" t="s">
        <v>91</v>
      </c>
      <c r="D46" s="45">
        <v>1</v>
      </c>
      <c r="E46" s="45">
        <v>0.75</v>
      </c>
      <c r="F46" s="45">
        <v>25</v>
      </c>
      <c r="G46" s="45">
        <v>25</v>
      </c>
      <c r="H46" s="49">
        <v>5600</v>
      </c>
      <c r="I46" s="26">
        <f t="shared" si="4"/>
        <v>3919.9999999999995</v>
      </c>
      <c r="J46" s="26">
        <f t="shared" si="5"/>
        <v>3763.1999999999994</v>
      </c>
      <c r="K46" s="26">
        <f t="shared" si="6"/>
        <v>3650.3039999999992</v>
      </c>
      <c r="L46" s="26">
        <f t="shared" si="7"/>
        <v>3613.8009599999991</v>
      </c>
    </row>
    <row r="47" spans="1:12" ht="20.25" customHeight="1" x14ac:dyDescent="0.35">
      <c r="A47" s="42">
        <v>41</v>
      </c>
      <c r="B47" s="42" t="s">
        <v>92</v>
      </c>
      <c r="C47" s="48" t="s">
        <v>93</v>
      </c>
      <c r="D47" s="53">
        <v>1</v>
      </c>
      <c r="E47" s="53">
        <v>0.75</v>
      </c>
      <c r="F47" s="53">
        <v>25</v>
      </c>
      <c r="G47" s="53">
        <v>25</v>
      </c>
      <c r="H47" s="54">
        <v>8420</v>
      </c>
      <c r="I47" s="295">
        <v>5570</v>
      </c>
      <c r="J47" s="325"/>
      <c r="K47" s="325"/>
      <c r="L47" s="296"/>
    </row>
    <row r="48" spans="1:12" ht="20.25" customHeight="1" x14ac:dyDescent="0.35">
      <c r="A48" s="42">
        <v>42</v>
      </c>
      <c r="B48" s="42" t="s">
        <v>94</v>
      </c>
      <c r="C48" s="48" t="s">
        <v>95</v>
      </c>
      <c r="D48" s="45">
        <v>1.1000000000000001</v>
      </c>
      <c r="E48" s="45">
        <v>0.8</v>
      </c>
      <c r="F48" s="45">
        <v>25</v>
      </c>
      <c r="G48" s="45">
        <v>25</v>
      </c>
      <c r="H48" s="49">
        <v>12020</v>
      </c>
      <c r="I48" s="26">
        <f t="shared" ref="I48:I54" si="8">H48*0.7</f>
        <v>8414</v>
      </c>
      <c r="J48" s="26">
        <f t="shared" ref="J48:J54" si="9">+I48*0.96</f>
        <v>8077.44</v>
      </c>
      <c r="K48" s="26">
        <f t="shared" ref="K48:K54" si="10">+J48*0.97</f>
        <v>7835.1167999999998</v>
      </c>
      <c r="L48" s="26">
        <f t="shared" si="7"/>
        <v>7756.7656319999996</v>
      </c>
    </row>
    <row r="49" spans="1:12" ht="20.25" customHeight="1" x14ac:dyDescent="0.35">
      <c r="A49" s="43">
        <v>43</v>
      </c>
      <c r="B49" s="43" t="s">
        <v>96</v>
      </c>
      <c r="C49" s="44" t="s">
        <v>97</v>
      </c>
      <c r="D49" s="45">
        <v>0.5</v>
      </c>
      <c r="E49" s="45">
        <v>0.37</v>
      </c>
      <c r="F49" s="45">
        <v>25</v>
      </c>
      <c r="G49" s="45">
        <v>25</v>
      </c>
      <c r="H49" s="49">
        <v>7530</v>
      </c>
      <c r="I49" s="26">
        <f t="shared" si="8"/>
        <v>5271</v>
      </c>
      <c r="J49" s="26">
        <f t="shared" si="9"/>
        <v>5060.16</v>
      </c>
      <c r="K49" s="26">
        <f t="shared" si="10"/>
        <v>4908.3552</v>
      </c>
      <c r="L49" s="26">
        <f t="shared" si="7"/>
        <v>4859.2716479999999</v>
      </c>
    </row>
    <row r="50" spans="1:12" ht="20.25" customHeight="1" x14ac:dyDescent="0.35">
      <c r="A50" s="42">
        <v>44</v>
      </c>
      <c r="B50" s="43" t="s">
        <v>98</v>
      </c>
      <c r="C50" s="44" t="s">
        <v>99</v>
      </c>
      <c r="D50" s="45">
        <v>1</v>
      </c>
      <c r="E50" s="45">
        <v>0.75</v>
      </c>
      <c r="F50" s="45">
        <v>25</v>
      </c>
      <c r="G50" s="45">
        <v>25</v>
      </c>
      <c r="H50" s="49">
        <v>9150</v>
      </c>
      <c r="I50" s="26">
        <f t="shared" si="8"/>
        <v>6405</v>
      </c>
      <c r="J50" s="26">
        <f t="shared" si="9"/>
        <v>6148.8</v>
      </c>
      <c r="K50" s="26">
        <f t="shared" si="10"/>
        <v>5964.3360000000002</v>
      </c>
      <c r="L50" s="26">
        <f t="shared" si="7"/>
        <v>5904.6926400000002</v>
      </c>
    </row>
    <row r="51" spans="1:12" ht="20.25" customHeight="1" x14ac:dyDescent="0.35">
      <c r="A51" s="42">
        <v>45</v>
      </c>
      <c r="B51" s="43" t="s">
        <v>100</v>
      </c>
      <c r="C51" s="44" t="s">
        <v>101</v>
      </c>
      <c r="D51" s="45">
        <v>1</v>
      </c>
      <c r="E51" s="45">
        <v>0.75</v>
      </c>
      <c r="F51" s="45">
        <v>25</v>
      </c>
      <c r="G51" s="45">
        <v>25</v>
      </c>
      <c r="H51" s="57">
        <v>16800</v>
      </c>
      <c r="I51" s="26">
        <f t="shared" si="8"/>
        <v>11760</v>
      </c>
      <c r="J51" s="26">
        <f t="shared" si="9"/>
        <v>11289.6</v>
      </c>
      <c r="K51" s="26">
        <f t="shared" si="10"/>
        <v>10950.912</v>
      </c>
      <c r="L51" s="26">
        <f t="shared" si="7"/>
        <v>10841.40288</v>
      </c>
    </row>
    <row r="52" spans="1:12" ht="20.25" customHeight="1" x14ac:dyDescent="0.35">
      <c r="A52" s="42">
        <v>46</v>
      </c>
      <c r="B52" s="42" t="s">
        <v>102</v>
      </c>
      <c r="C52" s="48" t="s">
        <v>103</v>
      </c>
      <c r="D52" s="45">
        <v>0.5</v>
      </c>
      <c r="E52" s="45">
        <v>0.37</v>
      </c>
      <c r="F52" s="45">
        <v>25</v>
      </c>
      <c r="G52" s="45">
        <v>25</v>
      </c>
      <c r="H52" s="49">
        <v>17760</v>
      </c>
      <c r="I52" s="26">
        <f t="shared" si="8"/>
        <v>12432</v>
      </c>
      <c r="J52" s="26">
        <f t="shared" si="9"/>
        <v>11934.72</v>
      </c>
      <c r="K52" s="26">
        <f t="shared" si="10"/>
        <v>11576.678399999999</v>
      </c>
      <c r="L52" s="26">
        <f t="shared" si="7"/>
        <v>11460.911615999999</v>
      </c>
    </row>
    <row r="53" spans="1:12" ht="20.25" customHeight="1" x14ac:dyDescent="0.35">
      <c r="A53" s="43">
        <v>47</v>
      </c>
      <c r="B53" s="42" t="s">
        <v>104</v>
      </c>
      <c r="C53" s="48" t="s">
        <v>105</v>
      </c>
      <c r="D53" s="45">
        <v>1</v>
      </c>
      <c r="E53" s="45">
        <v>0.75</v>
      </c>
      <c r="F53" s="45">
        <v>25</v>
      </c>
      <c r="G53" s="45">
        <v>25</v>
      </c>
      <c r="H53" s="49">
        <v>19120</v>
      </c>
      <c r="I53" s="26">
        <f t="shared" si="8"/>
        <v>13384</v>
      </c>
      <c r="J53" s="26">
        <f t="shared" si="9"/>
        <v>12848.64</v>
      </c>
      <c r="K53" s="26">
        <f t="shared" si="10"/>
        <v>12463.180799999998</v>
      </c>
      <c r="L53" s="26">
        <f t="shared" si="7"/>
        <v>12338.548991999998</v>
      </c>
    </row>
    <row r="54" spans="1:12" ht="20.25" customHeight="1" x14ac:dyDescent="0.35">
      <c r="A54" s="42">
        <v>48</v>
      </c>
      <c r="B54" s="42" t="s">
        <v>106</v>
      </c>
      <c r="C54" s="48" t="s">
        <v>107</v>
      </c>
      <c r="D54" s="45">
        <v>1.1000000000000001</v>
      </c>
      <c r="E54" s="45">
        <v>0.8</v>
      </c>
      <c r="F54" s="45">
        <v>25</v>
      </c>
      <c r="G54" s="45">
        <v>25</v>
      </c>
      <c r="H54" s="49">
        <v>20900</v>
      </c>
      <c r="I54" s="26">
        <f t="shared" si="8"/>
        <v>14629.999999999998</v>
      </c>
      <c r="J54" s="26">
        <f t="shared" si="9"/>
        <v>14044.799999999997</v>
      </c>
      <c r="K54" s="26">
        <f t="shared" si="10"/>
        <v>13623.455999999996</v>
      </c>
      <c r="L54" s="26">
        <f t="shared" si="7"/>
        <v>13487.221439999996</v>
      </c>
    </row>
    <row r="55" spans="1:12" ht="20.25" customHeight="1" x14ac:dyDescent="0.35">
      <c r="A55" s="284" t="s">
        <v>108</v>
      </c>
      <c r="B55" s="284"/>
      <c r="C55" s="284"/>
      <c r="D55" s="284"/>
      <c r="E55" s="284"/>
      <c r="F55" s="284"/>
      <c r="G55" s="284"/>
      <c r="H55" s="281" t="s">
        <v>109</v>
      </c>
      <c r="I55" s="315" t="s">
        <v>504</v>
      </c>
      <c r="J55" s="315"/>
      <c r="K55" s="315"/>
      <c r="L55" s="315"/>
    </row>
    <row r="56" spans="1:12" ht="20.25" customHeight="1" x14ac:dyDescent="0.35">
      <c r="A56" s="281" t="s">
        <v>2</v>
      </c>
      <c r="B56" s="281" t="s">
        <v>3</v>
      </c>
      <c r="C56" s="283" t="s">
        <v>4</v>
      </c>
      <c r="D56" s="281" t="s">
        <v>5</v>
      </c>
      <c r="E56" s="281"/>
      <c r="F56" s="281" t="s">
        <v>6</v>
      </c>
      <c r="G56" s="281"/>
      <c r="H56" s="281"/>
      <c r="I56" s="323">
        <v>0.3</v>
      </c>
      <c r="J56" s="323">
        <v>0.04</v>
      </c>
      <c r="K56" s="323">
        <v>0.03</v>
      </c>
      <c r="L56" s="323">
        <v>0.01</v>
      </c>
    </row>
    <row r="57" spans="1:12" ht="20.25" customHeight="1" x14ac:dyDescent="0.35">
      <c r="A57" s="281"/>
      <c r="B57" s="281"/>
      <c r="C57" s="283"/>
      <c r="D57" s="58" t="s">
        <v>9</v>
      </c>
      <c r="E57" s="58" t="s">
        <v>10</v>
      </c>
      <c r="F57" s="58" t="s">
        <v>11</v>
      </c>
      <c r="G57" s="58" t="s">
        <v>12</v>
      </c>
      <c r="H57" s="281"/>
      <c r="I57" s="324"/>
      <c r="J57" s="324">
        <v>0.04</v>
      </c>
      <c r="K57" s="324">
        <v>0.03</v>
      </c>
      <c r="L57" s="324">
        <v>0.03</v>
      </c>
    </row>
    <row r="58" spans="1:12" ht="20.25" customHeight="1" x14ac:dyDescent="0.35">
      <c r="A58" s="42">
        <v>1</v>
      </c>
      <c r="B58" s="42" t="s">
        <v>110</v>
      </c>
      <c r="C58" s="48" t="s">
        <v>111</v>
      </c>
      <c r="D58" s="286">
        <v>0.5</v>
      </c>
      <c r="E58" s="286">
        <v>0.37</v>
      </c>
      <c r="F58" s="45">
        <v>25</v>
      </c>
      <c r="G58" s="45">
        <v>25</v>
      </c>
      <c r="H58" s="49">
        <v>4680</v>
      </c>
      <c r="I58" s="26">
        <f t="shared" ref="I58:I113" si="11">H58*0.7</f>
        <v>3276</v>
      </c>
      <c r="J58" s="26">
        <f t="shared" ref="J58:J113" si="12">+I58*0.96</f>
        <v>3144.96</v>
      </c>
      <c r="K58" s="26">
        <f t="shared" ref="K58:K113" si="13">+J58*0.97</f>
        <v>3050.6111999999998</v>
      </c>
      <c r="L58" s="26">
        <f t="shared" ref="L58:L113" si="14">+K58*0.99</f>
        <v>3020.1050879999998</v>
      </c>
    </row>
    <row r="59" spans="1:12" ht="20.25" customHeight="1" x14ac:dyDescent="0.35">
      <c r="A59" s="42">
        <v>2</v>
      </c>
      <c r="B59" s="42" t="s">
        <v>112</v>
      </c>
      <c r="C59" s="48" t="s">
        <v>113</v>
      </c>
      <c r="D59" s="286"/>
      <c r="E59" s="286"/>
      <c r="F59" s="45">
        <v>40</v>
      </c>
      <c r="G59" s="45">
        <v>40</v>
      </c>
      <c r="H59" s="49">
        <v>6430</v>
      </c>
      <c r="I59" s="26">
        <f t="shared" si="11"/>
        <v>4501</v>
      </c>
      <c r="J59" s="26">
        <f t="shared" si="12"/>
        <v>4320.96</v>
      </c>
      <c r="K59" s="26">
        <f t="shared" si="13"/>
        <v>4191.3311999999996</v>
      </c>
      <c r="L59" s="26">
        <f t="shared" si="14"/>
        <v>4149.4178879999999</v>
      </c>
    </row>
    <row r="60" spans="1:12" ht="20.25" customHeight="1" x14ac:dyDescent="0.35">
      <c r="A60" s="43">
        <v>3</v>
      </c>
      <c r="B60" s="43" t="s">
        <v>114</v>
      </c>
      <c r="C60" s="60" t="s">
        <v>115</v>
      </c>
      <c r="D60" s="45">
        <v>0.75</v>
      </c>
      <c r="E60" s="45">
        <v>0.56000000000000005</v>
      </c>
      <c r="F60" s="45">
        <v>40</v>
      </c>
      <c r="G60" s="45">
        <v>40</v>
      </c>
      <c r="H60" s="57">
        <v>6240</v>
      </c>
      <c r="I60" s="26">
        <f t="shared" si="11"/>
        <v>4368</v>
      </c>
      <c r="J60" s="26">
        <f t="shared" si="12"/>
        <v>4193.28</v>
      </c>
      <c r="K60" s="26">
        <f t="shared" si="13"/>
        <v>4067.4815999999996</v>
      </c>
      <c r="L60" s="26">
        <f t="shared" si="14"/>
        <v>4026.8067839999994</v>
      </c>
    </row>
    <row r="61" spans="1:12" ht="20.25" customHeight="1" x14ac:dyDescent="0.35">
      <c r="A61" s="42">
        <v>4</v>
      </c>
      <c r="B61" s="42" t="s">
        <v>116</v>
      </c>
      <c r="C61" s="48" t="s">
        <v>117</v>
      </c>
      <c r="D61" s="285">
        <v>1</v>
      </c>
      <c r="E61" s="285">
        <v>0.75</v>
      </c>
      <c r="F61" s="56">
        <v>25</v>
      </c>
      <c r="G61" s="56">
        <v>25</v>
      </c>
      <c r="H61" s="49">
        <v>7572</v>
      </c>
      <c r="I61" s="26">
        <f t="shared" si="11"/>
        <v>5300.4</v>
      </c>
      <c r="J61" s="26">
        <f t="shared" si="12"/>
        <v>5088.3839999999991</v>
      </c>
      <c r="K61" s="26">
        <f t="shared" si="13"/>
        <v>4935.7324799999988</v>
      </c>
      <c r="L61" s="26">
        <f t="shared" si="14"/>
        <v>4886.3751551999985</v>
      </c>
    </row>
    <row r="62" spans="1:12" ht="20.25" customHeight="1" x14ac:dyDescent="0.35">
      <c r="A62" s="42">
        <v>5</v>
      </c>
      <c r="B62" s="42" t="s">
        <v>118</v>
      </c>
      <c r="C62" s="48" t="s">
        <v>119</v>
      </c>
      <c r="D62" s="285"/>
      <c r="E62" s="285"/>
      <c r="F62" s="56">
        <v>50</v>
      </c>
      <c r="G62" s="56">
        <v>50</v>
      </c>
      <c r="H62" s="49">
        <v>8900</v>
      </c>
      <c r="I62" s="26">
        <f t="shared" si="11"/>
        <v>6230</v>
      </c>
      <c r="J62" s="26">
        <f t="shared" si="12"/>
        <v>5980.8</v>
      </c>
      <c r="K62" s="26">
        <f t="shared" si="13"/>
        <v>5801.3760000000002</v>
      </c>
      <c r="L62" s="26">
        <f t="shared" si="14"/>
        <v>5743.3622400000004</v>
      </c>
    </row>
    <row r="63" spans="1:12" ht="20.25" customHeight="1" x14ac:dyDescent="0.35">
      <c r="A63" s="43">
        <v>6</v>
      </c>
      <c r="B63" s="42" t="s">
        <v>120</v>
      </c>
      <c r="C63" s="48" t="s">
        <v>121</v>
      </c>
      <c r="D63" s="285"/>
      <c r="E63" s="285"/>
      <c r="F63" s="56">
        <v>50</v>
      </c>
      <c r="G63" s="56">
        <v>50</v>
      </c>
      <c r="H63" s="57">
        <v>9100</v>
      </c>
      <c r="I63" s="26">
        <f t="shared" si="11"/>
        <v>6370</v>
      </c>
      <c r="J63" s="26">
        <f t="shared" si="12"/>
        <v>6115.2</v>
      </c>
      <c r="K63" s="26">
        <f t="shared" si="13"/>
        <v>5931.7439999999997</v>
      </c>
      <c r="L63" s="26">
        <f t="shared" si="14"/>
        <v>5872.4265599999999</v>
      </c>
    </row>
    <row r="64" spans="1:12" ht="20.25" customHeight="1" x14ac:dyDescent="0.35">
      <c r="A64" s="42">
        <v>7</v>
      </c>
      <c r="B64" s="43" t="s">
        <v>122</v>
      </c>
      <c r="C64" s="60" t="s">
        <v>123</v>
      </c>
      <c r="D64" s="285"/>
      <c r="E64" s="285"/>
      <c r="F64" s="56">
        <v>50</v>
      </c>
      <c r="G64" s="56">
        <v>50</v>
      </c>
      <c r="H64" s="57">
        <v>9000</v>
      </c>
      <c r="I64" s="26">
        <f t="shared" si="11"/>
        <v>6300</v>
      </c>
      <c r="J64" s="26">
        <f t="shared" si="12"/>
        <v>6048</v>
      </c>
      <c r="K64" s="26">
        <f t="shared" si="13"/>
        <v>5866.5599999999995</v>
      </c>
      <c r="L64" s="26">
        <f t="shared" si="14"/>
        <v>5807.8943999999992</v>
      </c>
    </row>
    <row r="65" spans="1:12" ht="20.25" customHeight="1" x14ac:dyDescent="0.35">
      <c r="A65" s="42">
        <v>8</v>
      </c>
      <c r="B65" s="43" t="s">
        <v>124</v>
      </c>
      <c r="C65" s="61" t="s">
        <v>125</v>
      </c>
      <c r="D65" s="285"/>
      <c r="E65" s="285"/>
      <c r="F65" s="56">
        <v>75</v>
      </c>
      <c r="G65" s="56">
        <v>75</v>
      </c>
      <c r="H65" s="49">
        <v>10000</v>
      </c>
      <c r="I65" s="26">
        <f t="shared" si="11"/>
        <v>7000</v>
      </c>
      <c r="J65" s="26">
        <f t="shared" si="12"/>
        <v>6720</v>
      </c>
      <c r="K65" s="26">
        <f t="shared" si="13"/>
        <v>6518.4</v>
      </c>
      <c r="L65" s="26">
        <f t="shared" si="14"/>
        <v>6453.2159999999994</v>
      </c>
    </row>
    <row r="66" spans="1:12" ht="20.25" customHeight="1" x14ac:dyDescent="0.35">
      <c r="A66" s="43">
        <v>9</v>
      </c>
      <c r="B66" s="43"/>
      <c r="C66" s="60" t="s">
        <v>126</v>
      </c>
      <c r="D66" s="285"/>
      <c r="E66" s="285"/>
      <c r="F66" s="56">
        <v>75</v>
      </c>
      <c r="G66" s="56">
        <v>75</v>
      </c>
      <c r="H66" s="57">
        <v>10200</v>
      </c>
      <c r="I66" s="26">
        <f t="shared" si="11"/>
        <v>7140</v>
      </c>
      <c r="J66" s="26">
        <f t="shared" si="12"/>
        <v>6854.4</v>
      </c>
      <c r="K66" s="26">
        <f t="shared" si="13"/>
        <v>6648.7679999999991</v>
      </c>
      <c r="L66" s="26">
        <f t="shared" si="14"/>
        <v>6582.2803199999989</v>
      </c>
    </row>
    <row r="67" spans="1:12" ht="20.25" customHeight="1" x14ac:dyDescent="0.35">
      <c r="A67" s="42">
        <v>10</v>
      </c>
      <c r="B67" s="43" t="s">
        <v>127</v>
      </c>
      <c r="C67" s="61" t="s">
        <v>128</v>
      </c>
      <c r="D67" s="285">
        <v>1.5</v>
      </c>
      <c r="E67" s="285">
        <v>1.1000000000000001</v>
      </c>
      <c r="F67" s="56">
        <v>50</v>
      </c>
      <c r="G67" s="56">
        <v>50</v>
      </c>
      <c r="H67" s="57">
        <v>10420</v>
      </c>
      <c r="I67" s="26">
        <f t="shared" si="11"/>
        <v>7293.9999999999991</v>
      </c>
      <c r="J67" s="26">
        <f t="shared" si="12"/>
        <v>7002.2399999999989</v>
      </c>
      <c r="K67" s="26">
        <f t="shared" si="13"/>
        <v>6792.1727999999985</v>
      </c>
      <c r="L67" s="26">
        <f t="shared" si="14"/>
        <v>6724.2510719999982</v>
      </c>
    </row>
    <row r="68" spans="1:12" ht="20.25" customHeight="1" x14ac:dyDescent="0.35">
      <c r="A68" s="42">
        <v>11</v>
      </c>
      <c r="B68" s="43" t="s">
        <v>129</v>
      </c>
      <c r="C68" s="60" t="s">
        <v>130</v>
      </c>
      <c r="D68" s="285"/>
      <c r="E68" s="285"/>
      <c r="F68" s="56">
        <v>50</v>
      </c>
      <c r="G68" s="56">
        <v>50</v>
      </c>
      <c r="H68" s="57">
        <v>10600</v>
      </c>
      <c r="I68" s="26">
        <f t="shared" si="11"/>
        <v>7419.9999999999991</v>
      </c>
      <c r="J68" s="26">
        <f t="shared" si="12"/>
        <v>7123.1999999999989</v>
      </c>
      <c r="K68" s="26">
        <f t="shared" si="13"/>
        <v>6909.503999999999</v>
      </c>
      <c r="L68" s="26">
        <f t="shared" si="14"/>
        <v>6840.4089599999988</v>
      </c>
    </row>
    <row r="69" spans="1:12" ht="20.25" customHeight="1" x14ac:dyDescent="0.35">
      <c r="A69" s="43">
        <v>12</v>
      </c>
      <c r="B69" s="43" t="s">
        <v>131</v>
      </c>
      <c r="C69" s="61" t="s">
        <v>132</v>
      </c>
      <c r="D69" s="285"/>
      <c r="E69" s="285"/>
      <c r="F69" s="56">
        <v>65</v>
      </c>
      <c r="G69" s="56">
        <v>50</v>
      </c>
      <c r="H69" s="57">
        <v>10600</v>
      </c>
      <c r="I69" s="26">
        <f t="shared" si="11"/>
        <v>7419.9999999999991</v>
      </c>
      <c r="J69" s="26">
        <f t="shared" si="12"/>
        <v>7123.1999999999989</v>
      </c>
      <c r="K69" s="26">
        <f t="shared" si="13"/>
        <v>6909.503999999999</v>
      </c>
      <c r="L69" s="26">
        <f t="shared" si="14"/>
        <v>6840.4089599999988</v>
      </c>
    </row>
    <row r="70" spans="1:12" ht="20.25" customHeight="1" x14ac:dyDescent="0.35">
      <c r="A70" s="42">
        <v>13</v>
      </c>
      <c r="B70" s="43" t="s">
        <v>133</v>
      </c>
      <c r="C70" s="60" t="s">
        <v>134</v>
      </c>
      <c r="D70" s="285"/>
      <c r="E70" s="285"/>
      <c r="F70" s="56">
        <v>65</v>
      </c>
      <c r="G70" s="56">
        <v>50</v>
      </c>
      <c r="H70" s="57">
        <v>10800</v>
      </c>
      <c r="I70" s="26">
        <f t="shared" si="11"/>
        <v>7559.9999999999991</v>
      </c>
      <c r="J70" s="26">
        <f t="shared" si="12"/>
        <v>7257.5999999999985</v>
      </c>
      <c r="K70" s="26">
        <f t="shared" si="13"/>
        <v>7039.8719999999985</v>
      </c>
      <c r="L70" s="26">
        <f t="shared" si="14"/>
        <v>6969.4732799999983</v>
      </c>
    </row>
    <row r="71" spans="1:12" ht="20.25" customHeight="1" x14ac:dyDescent="0.35">
      <c r="A71" s="42">
        <v>14</v>
      </c>
      <c r="B71" s="43" t="s">
        <v>135</v>
      </c>
      <c r="C71" s="61" t="s">
        <v>136</v>
      </c>
      <c r="D71" s="285"/>
      <c r="E71" s="285"/>
      <c r="F71" s="56">
        <v>75</v>
      </c>
      <c r="G71" s="56">
        <v>75</v>
      </c>
      <c r="H71" s="49">
        <v>11000</v>
      </c>
      <c r="I71" s="26">
        <f t="shared" si="11"/>
        <v>7699.9999999999991</v>
      </c>
      <c r="J71" s="26">
        <f t="shared" si="12"/>
        <v>7391.9999999999991</v>
      </c>
      <c r="K71" s="26">
        <f t="shared" si="13"/>
        <v>7170.2399999999989</v>
      </c>
      <c r="L71" s="26">
        <f t="shared" si="14"/>
        <v>7098.5375999999987</v>
      </c>
    </row>
    <row r="72" spans="1:12" ht="20.25" customHeight="1" x14ac:dyDescent="0.35">
      <c r="A72" s="43">
        <v>15</v>
      </c>
      <c r="B72" s="43" t="s">
        <v>137</v>
      </c>
      <c r="C72" s="60" t="s">
        <v>138</v>
      </c>
      <c r="D72" s="285"/>
      <c r="E72" s="285"/>
      <c r="F72" s="56">
        <v>75</v>
      </c>
      <c r="G72" s="56">
        <v>75</v>
      </c>
      <c r="H72" s="57">
        <v>11200</v>
      </c>
      <c r="I72" s="26">
        <f t="shared" si="11"/>
        <v>7839.9999999999991</v>
      </c>
      <c r="J72" s="26">
        <f t="shared" si="12"/>
        <v>7526.3999999999987</v>
      </c>
      <c r="K72" s="26">
        <f t="shared" si="13"/>
        <v>7300.6079999999984</v>
      </c>
      <c r="L72" s="26">
        <f t="shared" si="14"/>
        <v>7227.6019199999982</v>
      </c>
    </row>
    <row r="73" spans="1:12" ht="20.25" customHeight="1" x14ac:dyDescent="0.35">
      <c r="A73" s="42">
        <v>16</v>
      </c>
      <c r="B73" s="43" t="s">
        <v>139</v>
      </c>
      <c r="C73" s="60" t="s">
        <v>140</v>
      </c>
      <c r="D73" s="285"/>
      <c r="E73" s="285"/>
      <c r="F73" s="56">
        <v>75</v>
      </c>
      <c r="G73" s="56">
        <v>75</v>
      </c>
      <c r="H73" s="57">
        <v>11200</v>
      </c>
      <c r="I73" s="26">
        <f t="shared" si="11"/>
        <v>7839.9999999999991</v>
      </c>
      <c r="J73" s="26">
        <f t="shared" si="12"/>
        <v>7526.3999999999987</v>
      </c>
      <c r="K73" s="26">
        <f t="shared" si="13"/>
        <v>7300.6079999999984</v>
      </c>
      <c r="L73" s="26">
        <f t="shared" si="14"/>
        <v>7227.6019199999982</v>
      </c>
    </row>
    <row r="74" spans="1:12" ht="20.25" customHeight="1" x14ac:dyDescent="0.35">
      <c r="A74" s="42">
        <v>17</v>
      </c>
      <c r="B74" s="43" t="s">
        <v>141</v>
      </c>
      <c r="C74" s="61" t="s">
        <v>142</v>
      </c>
      <c r="D74" s="285">
        <v>2</v>
      </c>
      <c r="E74" s="285">
        <v>1.5</v>
      </c>
      <c r="F74" s="56">
        <v>50</v>
      </c>
      <c r="G74" s="56">
        <v>40</v>
      </c>
      <c r="H74" s="49">
        <v>15000</v>
      </c>
      <c r="I74" s="26">
        <f t="shared" si="11"/>
        <v>10500</v>
      </c>
      <c r="J74" s="26">
        <f t="shared" si="12"/>
        <v>10080</v>
      </c>
      <c r="K74" s="26">
        <f t="shared" si="13"/>
        <v>9777.6</v>
      </c>
      <c r="L74" s="26">
        <f t="shared" si="14"/>
        <v>9679.8240000000005</v>
      </c>
    </row>
    <row r="75" spans="1:12" ht="20.25" customHeight="1" x14ac:dyDescent="0.35">
      <c r="A75" s="43">
        <v>18</v>
      </c>
      <c r="B75" s="43" t="s">
        <v>143</v>
      </c>
      <c r="C75" s="60" t="s">
        <v>144</v>
      </c>
      <c r="D75" s="285"/>
      <c r="E75" s="285"/>
      <c r="F75" s="56">
        <v>50</v>
      </c>
      <c r="G75" s="56">
        <v>40</v>
      </c>
      <c r="H75" s="57">
        <v>15200</v>
      </c>
      <c r="I75" s="26">
        <f t="shared" si="11"/>
        <v>10640</v>
      </c>
      <c r="J75" s="26">
        <f t="shared" si="12"/>
        <v>10214.4</v>
      </c>
      <c r="K75" s="26">
        <f t="shared" si="13"/>
        <v>9907.9679999999989</v>
      </c>
      <c r="L75" s="26">
        <f t="shared" si="14"/>
        <v>9808.8883199999982</v>
      </c>
    </row>
    <row r="76" spans="1:12" ht="20.25" customHeight="1" x14ac:dyDescent="0.35">
      <c r="A76" s="42">
        <v>19</v>
      </c>
      <c r="B76" s="42" t="s">
        <v>145</v>
      </c>
      <c r="C76" s="48" t="s">
        <v>146</v>
      </c>
      <c r="D76" s="285"/>
      <c r="E76" s="285"/>
      <c r="F76" s="56">
        <v>50</v>
      </c>
      <c r="G76" s="56">
        <v>50</v>
      </c>
      <c r="H76" s="49">
        <v>13000</v>
      </c>
      <c r="I76" s="26">
        <f t="shared" si="11"/>
        <v>9100</v>
      </c>
      <c r="J76" s="26">
        <f t="shared" si="12"/>
        <v>8736</v>
      </c>
      <c r="K76" s="26">
        <f t="shared" si="13"/>
        <v>8473.92</v>
      </c>
      <c r="L76" s="26">
        <f t="shared" si="14"/>
        <v>8389.1808000000001</v>
      </c>
    </row>
    <row r="77" spans="1:12" ht="20.25" customHeight="1" x14ac:dyDescent="0.35">
      <c r="A77" s="42">
        <v>20</v>
      </c>
      <c r="B77" s="43" t="s">
        <v>147</v>
      </c>
      <c r="C77" s="60" t="s">
        <v>148</v>
      </c>
      <c r="D77" s="285"/>
      <c r="E77" s="285"/>
      <c r="F77" s="56">
        <v>50</v>
      </c>
      <c r="G77" s="56">
        <v>50</v>
      </c>
      <c r="H77" s="57">
        <v>13200</v>
      </c>
      <c r="I77" s="26">
        <f t="shared" si="11"/>
        <v>9240</v>
      </c>
      <c r="J77" s="26">
        <f t="shared" si="12"/>
        <v>8870.4</v>
      </c>
      <c r="K77" s="26">
        <f t="shared" si="13"/>
        <v>8604.2879999999986</v>
      </c>
      <c r="L77" s="26">
        <f t="shared" si="14"/>
        <v>8518.2451199999978</v>
      </c>
    </row>
    <row r="78" spans="1:12" ht="20.25" customHeight="1" x14ac:dyDescent="0.35">
      <c r="A78" s="43">
        <v>21</v>
      </c>
      <c r="B78" s="42" t="s">
        <v>149</v>
      </c>
      <c r="C78" s="48" t="s">
        <v>150</v>
      </c>
      <c r="D78" s="285"/>
      <c r="E78" s="285"/>
      <c r="F78" s="56">
        <v>65</v>
      </c>
      <c r="G78" s="56">
        <v>50</v>
      </c>
      <c r="H78" s="49">
        <v>13300</v>
      </c>
      <c r="I78" s="26">
        <f t="shared" si="11"/>
        <v>9310</v>
      </c>
      <c r="J78" s="26">
        <f t="shared" si="12"/>
        <v>8937.6</v>
      </c>
      <c r="K78" s="26">
        <f t="shared" si="13"/>
        <v>8669.4719999999998</v>
      </c>
      <c r="L78" s="26">
        <f t="shared" si="14"/>
        <v>8582.7772800000002</v>
      </c>
    </row>
    <row r="79" spans="1:12" ht="20.25" customHeight="1" x14ac:dyDescent="0.35">
      <c r="A79" s="42">
        <v>22</v>
      </c>
      <c r="B79" s="42" t="s">
        <v>151</v>
      </c>
      <c r="C79" s="48" t="s">
        <v>152</v>
      </c>
      <c r="D79" s="285"/>
      <c r="E79" s="285"/>
      <c r="F79" s="56">
        <v>65</v>
      </c>
      <c r="G79" s="56">
        <v>50</v>
      </c>
      <c r="H79" s="57">
        <v>13500</v>
      </c>
      <c r="I79" s="26">
        <f t="shared" si="11"/>
        <v>9450</v>
      </c>
      <c r="J79" s="26">
        <f t="shared" si="12"/>
        <v>9072</v>
      </c>
      <c r="K79" s="26">
        <f t="shared" si="13"/>
        <v>8799.84</v>
      </c>
      <c r="L79" s="26">
        <f t="shared" si="14"/>
        <v>8711.8415999999997</v>
      </c>
    </row>
    <row r="80" spans="1:12" ht="20.25" customHeight="1" x14ac:dyDescent="0.35">
      <c r="A80" s="42">
        <v>23</v>
      </c>
      <c r="B80" s="43" t="s">
        <v>153</v>
      </c>
      <c r="C80" s="60" t="s">
        <v>154</v>
      </c>
      <c r="D80" s="285"/>
      <c r="E80" s="285"/>
      <c r="F80" s="56">
        <v>65</v>
      </c>
      <c r="G80" s="56">
        <v>50</v>
      </c>
      <c r="H80" s="57">
        <v>13340</v>
      </c>
      <c r="I80" s="26">
        <f t="shared" si="11"/>
        <v>9338</v>
      </c>
      <c r="J80" s="26">
        <f t="shared" si="12"/>
        <v>8964.48</v>
      </c>
      <c r="K80" s="26">
        <f t="shared" si="13"/>
        <v>8695.5455999999995</v>
      </c>
      <c r="L80" s="26">
        <f t="shared" si="14"/>
        <v>8608.5901439999998</v>
      </c>
    </row>
    <row r="81" spans="1:12" ht="20.25" customHeight="1" x14ac:dyDescent="0.35">
      <c r="A81" s="43">
        <v>24</v>
      </c>
      <c r="B81" s="42"/>
      <c r="C81" s="48" t="s">
        <v>155</v>
      </c>
      <c r="D81" s="285"/>
      <c r="E81" s="285"/>
      <c r="F81" s="56">
        <v>65</v>
      </c>
      <c r="G81" s="56">
        <v>50</v>
      </c>
      <c r="H81" s="49">
        <v>13300</v>
      </c>
      <c r="I81" s="26">
        <f t="shared" si="11"/>
        <v>9310</v>
      </c>
      <c r="J81" s="26">
        <f t="shared" si="12"/>
        <v>8937.6</v>
      </c>
      <c r="K81" s="26">
        <f t="shared" si="13"/>
        <v>8669.4719999999998</v>
      </c>
      <c r="L81" s="26">
        <f t="shared" si="14"/>
        <v>8582.7772800000002</v>
      </c>
    </row>
    <row r="82" spans="1:12" ht="20.25" customHeight="1" x14ac:dyDescent="0.35">
      <c r="A82" s="42">
        <v>25</v>
      </c>
      <c r="B82" s="43" t="s">
        <v>156</v>
      </c>
      <c r="C82" s="60" t="s">
        <v>157</v>
      </c>
      <c r="D82" s="285"/>
      <c r="E82" s="285"/>
      <c r="F82" s="56">
        <v>75</v>
      </c>
      <c r="G82" s="56">
        <v>75</v>
      </c>
      <c r="H82" s="57">
        <v>13600</v>
      </c>
      <c r="I82" s="26">
        <f t="shared" si="11"/>
        <v>9520</v>
      </c>
      <c r="J82" s="26">
        <f t="shared" si="12"/>
        <v>9139.1999999999989</v>
      </c>
      <c r="K82" s="26">
        <f t="shared" si="13"/>
        <v>8865.0239999999994</v>
      </c>
      <c r="L82" s="26">
        <f t="shared" si="14"/>
        <v>8776.3737599999986</v>
      </c>
    </row>
    <row r="83" spans="1:12" ht="20.25" customHeight="1" x14ac:dyDescent="0.35">
      <c r="A83" s="42">
        <v>26</v>
      </c>
      <c r="B83" s="42" t="s">
        <v>158</v>
      </c>
      <c r="C83" s="48" t="s">
        <v>159</v>
      </c>
      <c r="D83" s="285"/>
      <c r="E83" s="285"/>
      <c r="F83" s="56">
        <v>75</v>
      </c>
      <c r="G83" s="56">
        <v>75</v>
      </c>
      <c r="H83" s="49">
        <v>13450</v>
      </c>
      <c r="I83" s="26">
        <f t="shared" si="11"/>
        <v>9415</v>
      </c>
      <c r="J83" s="26">
        <f t="shared" si="12"/>
        <v>9038.4</v>
      </c>
      <c r="K83" s="26">
        <f t="shared" si="13"/>
        <v>8767.2479999999996</v>
      </c>
      <c r="L83" s="26">
        <f t="shared" si="14"/>
        <v>8679.5755200000003</v>
      </c>
    </row>
    <row r="84" spans="1:12" ht="20.25" customHeight="1" x14ac:dyDescent="0.35">
      <c r="A84" s="43">
        <v>27</v>
      </c>
      <c r="B84" s="42" t="s">
        <v>160</v>
      </c>
      <c r="C84" s="48" t="s">
        <v>161</v>
      </c>
      <c r="D84" s="285"/>
      <c r="E84" s="285"/>
      <c r="F84" s="56">
        <v>75</v>
      </c>
      <c r="G84" s="56">
        <v>75</v>
      </c>
      <c r="H84" s="57">
        <v>13800</v>
      </c>
      <c r="I84" s="26">
        <f t="shared" si="11"/>
        <v>9660</v>
      </c>
      <c r="J84" s="26">
        <f t="shared" si="12"/>
        <v>9273.6</v>
      </c>
      <c r="K84" s="26">
        <f t="shared" si="13"/>
        <v>8995.3919999999998</v>
      </c>
      <c r="L84" s="26">
        <f t="shared" si="14"/>
        <v>8905.4380799999999</v>
      </c>
    </row>
    <row r="85" spans="1:12" ht="20.25" customHeight="1" x14ac:dyDescent="0.35">
      <c r="A85" s="42">
        <v>28</v>
      </c>
      <c r="B85" s="42" t="s">
        <v>162</v>
      </c>
      <c r="C85" s="48" t="s">
        <v>163</v>
      </c>
      <c r="D85" s="285"/>
      <c r="E85" s="285"/>
      <c r="F85" s="56">
        <v>75</v>
      </c>
      <c r="G85" s="56">
        <v>75</v>
      </c>
      <c r="H85" s="57">
        <v>14000</v>
      </c>
      <c r="I85" s="26">
        <f t="shared" si="11"/>
        <v>9800</v>
      </c>
      <c r="J85" s="26">
        <f t="shared" si="12"/>
        <v>9408</v>
      </c>
      <c r="K85" s="26">
        <f t="shared" si="13"/>
        <v>9125.76</v>
      </c>
      <c r="L85" s="26">
        <f t="shared" si="14"/>
        <v>9034.5023999999994</v>
      </c>
    </row>
    <row r="86" spans="1:12" ht="20.25" customHeight="1" x14ac:dyDescent="0.35">
      <c r="A86" s="42">
        <v>29</v>
      </c>
      <c r="B86" s="42" t="s">
        <v>164</v>
      </c>
      <c r="C86" s="48" t="s">
        <v>165</v>
      </c>
      <c r="D86" s="285"/>
      <c r="E86" s="285"/>
      <c r="F86" s="56">
        <v>75</v>
      </c>
      <c r="G86" s="56">
        <v>75</v>
      </c>
      <c r="H86" s="57">
        <v>14500</v>
      </c>
      <c r="I86" s="26">
        <f t="shared" si="11"/>
        <v>10150</v>
      </c>
      <c r="J86" s="26">
        <f t="shared" si="12"/>
        <v>9744</v>
      </c>
      <c r="K86" s="26">
        <f t="shared" si="13"/>
        <v>9451.68</v>
      </c>
      <c r="L86" s="26">
        <f t="shared" si="14"/>
        <v>9357.1632000000009</v>
      </c>
    </row>
    <row r="87" spans="1:12" ht="20.25" customHeight="1" x14ac:dyDescent="0.35">
      <c r="A87" s="43">
        <v>30</v>
      </c>
      <c r="B87" s="43" t="s">
        <v>166</v>
      </c>
      <c r="C87" s="60" t="s">
        <v>167</v>
      </c>
      <c r="D87" s="285"/>
      <c r="E87" s="285"/>
      <c r="F87" s="56">
        <v>75</v>
      </c>
      <c r="G87" s="56">
        <v>75</v>
      </c>
      <c r="H87" s="57">
        <v>13550</v>
      </c>
      <c r="I87" s="26">
        <f t="shared" si="11"/>
        <v>9485</v>
      </c>
      <c r="J87" s="26">
        <f t="shared" si="12"/>
        <v>9105.6</v>
      </c>
      <c r="K87" s="26">
        <f t="shared" si="13"/>
        <v>8832.4320000000007</v>
      </c>
      <c r="L87" s="26">
        <f t="shared" si="14"/>
        <v>8744.107680000001</v>
      </c>
    </row>
    <row r="88" spans="1:12" ht="20.25" customHeight="1" x14ac:dyDescent="0.35">
      <c r="A88" s="42">
        <v>31</v>
      </c>
      <c r="B88" s="42" t="s">
        <v>168</v>
      </c>
      <c r="C88" s="48" t="s">
        <v>169</v>
      </c>
      <c r="D88" s="285"/>
      <c r="E88" s="285"/>
      <c r="F88" s="56">
        <v>75</v>
      </c>
      <c r="G88" s="56">
        <v>65</v>
      </c>
      <c r="H88" s="49">
        <v>13450</v>
      </c>
      <c r="I88" s="26">
        <f t="shared" si="11"/>
        <v>9415</v>
      </c>
      <c r="J88" s="26">
        <f t="shared" si="12"/>
        <v>9038.4</v>
      </c>
      <c r="K88" s="26">
        <f t="shared" si="13"/>
        <v>8767.2479999999996</v>
      </c>
      <c r="L88" s="26">
        <f t="shared" si="14"/>
        <v>8679.5755200000003</v>
      </c>
    </row>
    <row r="89" spans="1:12" ht="20.25" customHeight="1" x14ac:dyDescent="0.35">
      <c r="A89" s="42">
        <v>32</v>
      </c>
      <c r="B89" s="42" t="s">
        <v>170</v>
      </c>
      <c r="C89" s="48" t="s">
        <v>171</v>
      </c>
      <c r="D89" s="285"/>
      <c r="E89" s="285"/>
      <c r="F89" s="56">
        <v>75</v>
      </c>
      <c r="G89" s="56">
        <v>65</v>
      </c>
      <c r="H89" s="57">
        <v>13740</v>
      </c>
      <c r="I89" s="26">
        <f t="shared" si="11"/>
        <v>9618</v>
      </c>
      <c r="J89" s="26">
        <f t="shared" si="12"/>
        <v>9233.2799999999988</v>
      </c>
      <c r="K89" s="26">
        <f t="shared" si="13"/>
        <v>8956.2815999999984</v>
      </c>
      <c r="L89" s="26">
        <f t="shared" si="14"/>
        <v>8866.7187839999988</v>
      </c>
    </row>
    <row r="90" spans="1:12" ht="20.25" customHeight="1" x14ac:dyDescent="0.35">
      <c r="A90" s="43">
        <v>33</v>
      </c>
      <c r="B90" s="43"/>
      <c r="C90" s="61" t="s">
        <v>172</v>
      </c>
      <c r="D90" s="285"/>
      <c r="E90" s="285"/>
      <c r="F90" s="56">
        <v>100</v>
      </c>
      <c r="G90" s="56">
        <v>100</v>
      </c>
      <c r="H90" s="49">
        <v>15000</v>
      </c>
      <c r="I90" s="26">
        <f t="shared" si="11"/>
        <v>10500</v>
      </c>
      <c r="J90" s="26">
        <f t="shared" si="12"/>
        <v>10080</v>
      </c>
      <c r="K90" s="26">
        <f t="shared" si="13"/>
        <v>9777.6</v>
      </c>
      <c r="L90" s="26">
        <f t="shared" si="14"/>
        <v>9679.8240000000005</v>
      </c>
    </row>
    <row r="91" spans="1:12" ht="20.25" customHeight="1" x14ac:dyDescent="0.35">
      <c r="A91" s="42">
        <v>34</v>
      </c>
      <c r="B91" s="43"/>
      <c r="C91" s="60" t="s">
        <v>173</v>
      </c>
      <c r="D91" s="285"/>
      <c r="E91" s="285"/>
      <c r="F91" s="56">
        <v>100</v>
      </c>
      <c r="G91" s="56">
        <v>100</v>
      </c>
      <c r="H91" s="57">
        <v>15200</v>
      </c>
      <c r="I91" s="26">
        <f t="shared" si="11"/>
        <v>10640</v>
      </c>
      <c r="J91" s="26">
        <f t="shared" si="12"/>
        <v>10214.4</v>
      </c>
      <c r="K91" s="26">
        <f t="shared" si="13"/>
        <v>9907.9679999999989</v>
      </c>
      <c r="L91" s="26">
        <f t="shared" si="14"/>
        <v>9808.8883199999982</v>
      </c>
    </row>
    <row r="92" spans="1:12" ht="20.25" customHeight="1" x14ac:dyDescent="0.35">
      <c r="A92" s="42">
        <v>35</v>
      </c>
      <c r="B92" s="43"/>
      <c r="C92" s="61" t="s">
        <v>174</v>
      </c>
      <c r="D92" s="285">
        <v>3</v>
      </c>
      <c r="E92" s="285">
        <v>2.25</v>
      </c>
      <c r="F92" s="56">
        <v>50</v>
      </c>
      <c r="G92" s="56">
        <v>40</v>
      </c>
      <c r="H92" s="49">
        <v>18000</v>
      </c>
      <c r="I92" s="26">
        <f t="shared" si="11"/>
        <v>12600</v>
      </c>
      <c r="J92" s="26">
        <f t="shared" si="12"/>
        <v>12096</v>
      </c>
      <c r="K92" s="26">
        <f t="shared" si="13"/>
        <v>11733.119999999999</v>
      </c>
      <c r="L92" s="26">
        <f t="shared" si="14"/>
        <v>11615.788799999998</v>
      </c>
    </row>
    <row r="93" spans="1:12" ht="20.25" customHeight="1" x14ac:dyDescent="0.35">
      <c r="A93" s="43">
        <v>36</v>
      </c>
      <c r="B93" s="43" t="s">
        <v>175</v>
      </c>
      <c r="C93" s="60" t="s">
        <v>176</v>
      </c>
      <c r="D93" s="285"/>
      <c r="E93" s="285"/>
      <c r="F93" s="56">
        <v>50</v>
      </c>
      <c r="G93" s="56">
        <v>40</v>
      </c>
      <c r="H93" s="57">
        <v>18560</v>
      </c>
      <c r="I93" s="26">
        <f t="shared" si="11"/>
        <v>12992</v>
      </c>
      <c r="J93" s="26">
        <f t="shared" si="12"/>
        <v>12472.32</v>
      </c>
      <c r="K93" s="26">
        <f t="shared" si="13"/>
        <v>12098.150399999999</v>
      </c>
      <c r="L93" s="26">
        <f t="shared" si="14"/>
        <v>11977.168895999999</v>
      </c>
    </row>
    <row r="94" spans="1:12" ht="20.25" customHeight="1" x14ac:dyDescent="0.35">
      <c r="A94" s="42">
        <v>37</v>
      </c>
      <c r="B94" s="43" t="s">
        <v>177</v>
      </c>
      <c r="C94" s="61" t="s">
        <v>178</v>
      </c>
      <c r="D94" s="285"/>
      <c r="E94" s="285"/>
      <c r="F94" s="56">
        <v>50</v>
      </c>
      <c r="G94" s="56">
        <v>50</v>
      </c>
      <c r="H94" s="49">
        <v>18250</v>
      </c>
      <c r="I94" s="26">
        <f t="shared" si="11"/>
        <v>12775</v>
      </c>
      <c r="J94" s="26">
        <f t="shared" si="12"/>
        <v>12264</v>
      </c>
      <c r="K94" s="26">
        <f t="shared" si="13"/>
        <v>11896.08</v>
      </c>
      <c r="L94" s="26">
        <f t="shared" si="14"/>
        <v>11777.119199999999</v>
      </c>
    </row>
    <row r="95" spans="1:12" ht="20.25" customHeight="1" x14ac:dyDescent="0.35">
      <c r="A95" s="42">
        <v>38</v>
      </c>
      <c r="B95" s="43" t="s">
        <v>179</v>
      </c>
      <c r="C95" s="60" t="s">
        <v>180</v>
      </c>
      <c r="D95" s="285"/>
      <c r="E95" s="285"/>
      <c r="F95" s="56">
        <v>50</v>
      </c>
      <c r="G95" s="56">
        <v>50</v>
      </c>
      <c r="H95" s="57">
        <v>18670</v>
      </c>
      <c r="I95" s="26">
        <f t="shared" si="11"/>
        <v>13069</v>
      </c>
      <c r="J95" s="26">
        <f t="shared" si="12"/>
        <v>12546.24</v>
      </c>
      <c r="K95" s="26">
        <f t="shared" si="13"/>
        <v>12169.852799999999</v>
      </c>
      <c r="L95" s="26">
        <f t="shared" si="14"/>
        <v>12048.154271999998</v>
      </c>
    </row>
    <row r="96" spans="1:12" ht="20.25" customHeight="1" x14ac:dyDescent="0.35">
      <c r="A96" s="43">
        <v>39</v>
      </c>
      <c r="B96" s="42" t="s">
        <v>181</v>
      </c>
      <c r="C96" s="48" t="s">
        <v>182</v>
      </c>
      <c r="D96" s="285"/>
      <c r="E96" s="285"/>
      <c r="F96" s="56">
        <v>65</v>
      </c>
      <c r="G96" s="56">
        <v>50</v>
      </c>
      <c r="H96" s="49">
        <v>18100</v>
      </c>
      <c r="I96" s="26">
        <f t="shared" si="11"/>
        <v>12670</v>
      </c>
      <c r="J96" s="26">
        <f t="shared" si="12"/>
        <v>12163.199999999999</v>
      </c>
      <c r="K96" s="26">
        <f t="shared" si="13"/>
        <v>11798.303999999998</v>
      </c>
      <c r="L96" s="26">
        <f t="shared" si="14"/>
        <v>11680.320959999997</v>
      </c>
    </row>
    <row r="97" spans="1:12" ht="20.25" customHeight="1" x14ac:dyDescent="0.35">
      <c r="A97" s="42">
        <v>40</v>
      </c>
      <c r="B97" s="42" t="s">
        <v>183</v>
      </c>
      <c r="C97" s="48" t="s">
        <v>184</v>
      </c>
      <c r="D97" s="285"/>
      <c r="E97" s="285"/>
      <c r="F97" s="56">
        <v>65</v>
      </c>
      <c r="G97" s="56">
        <v>50</v>
      </c>
      <c r="H97" s="57">
        <v>18770</v>
      </c>
      <c r="I97" s="26">
        <f t="shared" si="11"/>
        <v>13139</v>
      </c>
      <c r="J97" s="26">
        <f t="shared" si="12"/>
        <v>12613.439999999999</v>
      </c>
      <c r="K97" s="26">
        <f t="shared" si="13"/>
        <v>12235.036799999998</v>
      </c>
      <c r="L97" s="26">
        <f t="shared" si="14"/>
        <v>12112.686431999999</v>
      </c>
    </row>
    <row r="98" spans="1:12" ht="20.25" customHeight="1" x14ac:dyDescent="0.35">
      <c r="A98" s="42">
        <v>41</v>
      </c>
      <c r="B98" s="42" t="s">
        <v>185</v>
      </c>
      <c r="C98" s="48" t="s">
        <v>186</v>
      </c>
      <c r="D98" s="285"/>
      <c r="E98" s="285"/>
      <c r="F98" s="56">
        <v>75</v>
      </c>
      <c r="G98" s="56">
        <v>75</v>
      </c>
      <c r="H98" s="49">
        <v>18020</v>
      </c>
      <c r="I98" s="26">
        <f t="shared" si="11"/>
        <v>12614</v>
      </c>
      <c r="J98" s="26">
        <f t="shared" si="12"/>
        <v>12109.439999999999</v>
      </c>
      <c r="K98" s="26">
        <f t="shared" si="13"/>
        <v>11746.156799999999</v>
      </c>
      <c r="L98" s="26">
        <f t="shared" si="14"/>
        <v>11628.695231999998</v>
      </c>
    </row>
    <row r="99" spans="1:12" ht="20.25" customHeight="1" x14ac:dyDescent="0.35">
      <c r="A99" s="43">
        <v>42</v>
      </c>
      <c r="B99" s="42" t="s">
        <v>187</v>
      </c>
      <c r="C99" s="48" t="s">
        <v>188</v>
      </c>
      <c r="D99" s="285"/>
      <c r="E99" s="285"/>
      <c r="F99" s="56">
        <v>75</v>
      </c>
      <c r="G99" s="56">
        <v>75</v>
      </c>
      <c r="H99" s="57">
        <v>18680</v>
      </c>
      <c r="I99" s="26">
        <f t="shared" si="11"/>
        <v>13076</v>
      </c>
      <c r="J99" s="26">
        <f t="shared" si="12"/>
        <v>12552.96</v>
      </c>
      <c r="K99" s="26">
        <f t="shared" si="13"/>
        <v>12176.3712</v>
      </c>
      <c r="L99" s="26">
        <f t="shared" si="14"/>
        <v>12054.607488</v>
      </c>
    </row>
    <row r="100" spans="1:12" ht="20.25" customHeight="1" x14ac:dyDescent="0.35">
      <c r="A100" s="42">
        <v>43</v>
      </c>
      <c r="B100" s="42" t="s">
        <v>189</v>
      </c>
      <c r="C100" s="48" t="s">
        <v>190</v>
      </c>
      <c r="D100" s="285"/>
      <c r="E100" s="285"/>
      <c r="F100" s="56">
        <v>100</v>
      </c>
      <c r="G100" s="56">
        <v>100</v>
      </c>
      <c r="H100" s="49">
        <v>19100</v>
      </c>
      <c r="I100" s="26">
        <f t="shared" si="11"/>
        <v>13370</v>
      </c>
      <c r="J100" s="26">
        <f t="shared" si="12"/>
        <v>12835.199999999999</v>
      </c>
      <c r="K100" s="26">
        <f t="shared" si="13"/>
        <v>12450.143999999998</v>
      </c>
      <c r="L100" s="26">
        <f t="shared" si="14"/>
        <v>12325.642559999998</v>
      </c>
    </row>
    <row r="101" spans="1:12" ht="20.25" customHeight="1" x14ac:dyDescent="0.35">
      <c r="A101" s="42">
        <v>44</v>
      </c>
      <c r="B101" s="42" t="s">
        <v>191</v>
      </c>
      <c r="C101" s="48" t="s">
        <v>192</v>
      </c>
      <c r="D101" s="285"/>
      <c r="E101" s="285"/>
      <c r="F101" s="56">
        <v>100</v>
      </c>
      <c r="G101" s="56">
        <v>100</v>
      </c>
      <c r="H101" s="57">
        <v>19500</v>
      </c>
      <c r="I101" s="26">
        <f t="shared" si="11"/>
        <v>13650</v>
      </c>
      <c r="J101" s="26">
        <f t="shared" si="12"/>
        <v>13104</v>
      </c>
      <c r="K101" s="26">
        <f t="shared" si="13"/>
        <v>12710.88</v>
      </c>
      <c r="L101" s="26">
        <f t="shared" si="14"/>
        <v>12583.771199999999</v>
      </c>
    </row>
    <row r="102" spans="1:12" ht="20.25" customHeight="1" x14ac:dyDescent="0.35">
      <c r="A102" s="43">
        <v>45</v>
      </c>
      <c r="B102" s="42" t="s">
        <v>193</v>
      </c>
      <c r="C102" s="48" t="s">
        <v>194</v>
      </c>
      <c r="D102" s="285"/>
      <c r="E102" s="285"/>
      <c r="F102" s="56">
        <v>100</v>
      </c>
      <c r="G102" s="56">
        <v>100</v>
      </c>
      <c r="H102" s="57">
        <v>14800</v>
      </c>
      <c r="I102" s="26">
        <f t="shared" si="11"/>
        <v>10360</v>
      </c>
      <c r="J102" s="26">
        <f t="shared" si="12"/>
        <v>9945.6</v>
      </c>
      <c r="K102" s="26">
        <f t="shared" si="13"/>
        <v>9647.232</v>
      </c>
      <c r="L102" s="26">
        <f t="shared" si="14"/>
        <v>9550.7596799999992</v>
      </c>
    </row>
    <row r="103" spans="1:12" ht="20.25" customHeight="1" x14ac:dyDescent="0.35">
      <c r="A103" s="42">
        <v>46</v>
      </c>
      <c r="B103" s="43" t="s">
        <v>195</v>
      </c>
      <c r="C103" s="60" t="s">
        <v>196</v>
      </c>
      <c r="D103" s="285"/>
      <c r="E103" s="285"/>
      <c r="F103" s="56">
        <v>100</v>
      </c>
      <c r="G103" s="56">
        <v>100</v>
      </c>
      <c r="H103" s="57">
        <v>15000</v>
      </c>
      <c r="I103" s="26">
        <f t="shared" si="11"/>
        <v>10500</v>
      </c>
      <c r="J103" s="26">
        <f t="shared" si="12"/>
        <v>10080</v>
      </c>
      <c r="K103" s="26">
        <f t="shared" si="13"/>
        <v>9777.6</v>
      </c>
      <c r="L103" s="26">
        <f t="shared" si="14"/>
        <v>9679.8240000000005</v>
      </c>
    </row>
    <row r="104" spans="1:12" ht="20.25" customHeight="1" x14ac:dyDescent="0.35">
      <c r="A104" s="42">
        <v>47</v>
      </c>
      <c r="B104" s="42" t="s">
        <v>197</v>
      </c>
      <c r="C104" s="48" t="s">
        <v>198</v>
      </c>
      <c r="D104" s="285">
        <v>5</v>
      </c>
      <c r="E104" s="285">
        <v>3.75</v>
      </c>
      <c r="F104" s="56">
        <v>80</v>
      </c>
      <c r="G104" s="56">
        <v>65</v>
      </c>
      <c r="H104" s="57">
        <v>24600</v>
      </c>
      <c r="I104" s="26">
        <f t="shared" si="11"/>
        <v>17220</v>
      </c>
      <c r="J104" s="26">
        <f t="shared" si="12"/>
        <v>16531.2</v>
      </c>
      <c r="K104" s="26">
        <f t="shared" si="13"/>
        <v>16035.264000000001</v>
      </c>
      <c r="L104" s="26">
        <f t="shared" si="14"/>
        <v>15874.91136</v>
      </c>
    </row>
    <row r="105" spans="1:12" ht="20.25" customHeight="1" x14ac:dyDescent="0.35">
      <c r="A105" s="43">
        <v>48</v>
      </c>
      <c r="B105" s="43"/>
      <c r="C105" s="62" t="s">
        <v>199</v>
      </c>
      <c r="D105" s="285"/>
      <c r="E105" s="285"/>
      <c r="F105" s="56">
        <v>80</v>
      </c>
      <c r="G105" s="56">
        <v>65</v>
      </c>
      <c r="H105" s="57">
        <v>26000</v>
      </c>
      <c r="I105" s="26">
        <f t="shared" si="11"/>
        <v>18200</v>
      </c>
      <c r="J105" s="26">
        <f t="shared" si="12"/>
        <v>17472</v>
      </c>
      <c r="K105" s="26">
        <f t="shared" si="13"/>
        <v>16947.84</v>
      </c>
      <c r="L105" s="26">
        <f t="shared" si="14"/>
        <v>16778.3616</v>
      </c>
    </row>
    <row r="106" spans="1:12" ht="20.25" customHeight="1" x14ac:dyDescent="0.35">
      <c r="A106" s="42">
        <v>49</v>
      </c>
      <c r="B106" s="42" t="s">
        <v>200</v>
      </c>
      <c r="C106" s="62" t="s">
        <v>201</v>
      </c>
      <c r="D106" s="285"/>
      <c r="E106" s="285"/>
      <c r="F106" s="56">
        <v>80</v>
      </c>
      <c r="G106" s="56">
        <v>65</v>
      </c>
      <c r="H106" s="57">
        <v>23600</v>
      </c>
      <c r="I106" s="26">
        <f t="shared" si="11"/>
        <v>16520</v>
      </c>
      <c r="J106" s="26">
        <f t="shared" si="12"/>
        <v>15859.199999999999</v>
      </c>
      <c r="K106" s="26">
        <f t="shared" si="13"/>
        <v>15383.423999999999</v>
      </c>
      <c r="L106" s="26">
        <f t="shared" si="14"/>
        <v>15229.589759999999</v>
      </c>
    </row>
    <row r="107" spans="1:12" ht="20.25" customHeight="1" x14ac:dyDescent="0.35">
      <c r="A107" s="42">
        <v>50</v>
      </c>
      <c r="B107" s="43" t="s">
        <v>202</v>
      </c>
      <c r="C107" s="60" t="s">
        <v>203</v>
      </c>
      <c r="D107" s="63">
        <v>0.75</v>
      </c>
      <c r="E107" s="63">
        <v>0.56000000000000005</v>
      </c>
      <c r="F107" s="45">
        <v>25</v>
      </c>
      <c r="G107" s="45">
        <v>25</v>
      </c>
      <c r="H107" s="57">
        <v>5170</v>
      </c>
      <c r="I107" s="26">
        <f t="shared" si="11"/>
        <v>3618.9999999999995</v>
      </c>
      <c r="J107" s="26">
        <f t="shared" si="12"/>
        <v>3474.2399999999993</v>
      </c>
      <c r="K107" s="26">
        <f t="shared" si="13"/>
        <v>3370.0127999999991</v>
      </c>
      <c r="L107" s="26">
        <f t="shared" si="14"/>
        <v>3336.3126719999991</v>
      </c>
    </row>
    <row r="108" spans="1:12" ht="20.25" customHeight="1" x14ac:dyDescent="0.35">
      <c r="A108" s="43">
        <v>51</v>
      </c>
      <c r="B108" s="43" t="s">
        <v>204</v>
      </c>
      <c r="C108" s="60" t="s">
        <v>205</v>
      </c>
      <c r="D108" s="285">
        <v>1</v>
      </c>
      <c r="E108" s="285">
        <v>0.75</v>
      </c>
      <c r="F108" s="56">
        <v>40</v>
      </c>
      <c r="G108" s="56">
        <v>40</v>
      </c>
      <c r="H108" s="57">
        <v>9000</v>
      </c>
      <c r="I108" s="26">
        <f t="shared" si="11"/>
        <v>6300</v>
      </c>
      <c r="J108" s="26">
        <f t="shared" si="12"/>
        <v>6048</v>
      </c>
      <c r="K108" s="26">
        <f t="shared" si="13"/>
        <v>5866.5599999999995</v>
      </c>
      <c r="L108" s="26">
        <f t="shared" si="14"/>
        <v>5807.8943999999992</v>
      </c>
    </row>
    <row r="109" spans="1:12" ht="20.25" customHeight="1" x14ac:dyDescent="0.35">
      <c r="A109" s="42">
        <v>52</v>
      </c>
      <c r="B109" s="43"/>
      <c r="C109" s="60" t="s">
        <v>206</v>
      </c>
      <c r="D109" s="285"/>
      <c r="E109" s="285"/>
      <c r="F109" s="56">
        <v>40</v>
      </c>
      <c r="G109" s="56">
        <v>40</v>
      </c>
      <c r="H109" s="57">
        <v>9000</v>
      </c>
      <c r="I109" s="26">
        <f t="shared" si="11"/>
        <v>6300</v>
      </c>
      <c r="J109" s="26">
        <f t="shared" si="12"/>
        <v>6048</v>
      </c>
      <c r="K109" s="26">
        <f t="shared" si="13"/>
        <v>5866.5599999999995</v>
      </c>
      <c r="L109" s="26">
        <f t="shared" si="14"/>
        <v>5807.8943999999992</v>
      </c>
    </row>
    <row r="110" spans="1:12" ht="20.25" customHeight="1" x14ac:dyDescent="0.35">
      <c r="A110" s="42">
        <v>53</v>
      </c>
      <c r="B110" s="43"/>
      <c r="C110" s="62" t="s">
        <v>207</v>
      </c>
      <c r="D110" s="285">
        <v>2</v>
      </c>
      <c r="E110" s="285">
        <v>1.5</v>
      </c>
      <c r="F110" s="56">
        <v>75</v>
      </c>
      <c r="G110" s="56">
        <v>75</v>
      </c>
      <c r="H110" s="57">
        <v>12500</v>
      </c>
      <c r="I110" s="26">
        <f t="shared" si="11"/>
        <v>8750</v>
      </c>
      <c r="J110" s="26">
        <f t="shared" si="12"/>
        <v>8400</v>
      </c>
      <c r="K110" s="26">
        <f t="shared" si="13"/>
        <v>8148</v>
      </c>
      <c r="L110" s="26">
        <f t="shared" si="14"/>
        <v>8066.5199999999995</v>
      </c>
    </row>
    <row r="111" spans="1:12" ht="20.25" customHeight="1" x14ac:dyDescent="0.35">
      <c r="A111" s="43">
        <v>54</v>
      </c>
      <c r="B111" s="43" t="s">
        <v>208</v>
      </c>
      <c r="C111" s="62" t="s">
        <v>209</v>
      </c>
      <c r="D111" s="285"/>
      <c r="E111" s="285"/>
      <c r="F111" s="56">
        <v>75</v>
      </c>
      <c r="G111" s="56">
        <v>75</v>
      </c>
      <c r="H111" s="57">
        <v>12500</v>
      </c>
      <c r="I111" s="26">
        <f t="shared" si="11"/>
        <v>8750</v>
      </c>
      <c r="J111" s="26">
        <f t="shared" si="12"/>
        <v>8400</v>
      </c>
      <c r="K111" s="26">
        <f t="shared" si="13"/>
        <v>8148</v>
      </c>
      <c r="L111" s="26">
        <f t="shared" si="14"/>
        <v>8066.5199999999995</v>
      </c>
    </row>
    <row r="112" spans="1:12" ht="20.25" customHeight="1" x14ac:dyDescent="0.35">
      <c r="A112" s="42">
        <v>55</v>
      </c>
      <c r="B112" s="43" t="s">
        <v>210</v>
      </c>
      <c r="C112" s="62" t="s">
        <v>211</v>
      </c>
      <c r="D112" s="285"/>
      <c r="E112" s="285"/>
      <c r="F112" s="56">
        <v>65</v>
      </c>
      <c r="G112" s="56">
        <v>50</v>
      </c>
      <c r="H112" s="57">
        <v>12200</v>
      </c>
      <c r="I112" s="26">
        <f t="shared" si="11"/>
        <v>8540</v>
      </c>
      <c r="J112" s="26">
        <f t="shared" si="12"/>
        <v>8198.4</v>
      </c>
      <c r="K112" s="26">
        <f t="shared" si="13"/>
        <v>7952.4479999999994</v>
      </c>
      <c r="L112" s="26">
        <f t="shared" si="14"/>
        <v>7872.9235199999994</v>
      </c>
    </row>
    <row r="113" spans="1:12" ht="20.25" customHeight="1" x14ac:dyDescent="0.35">
      <c r="A113" s="42">
        <v>56</v>
      </c>
      <c r="B113" s="43" t="s">
        <v>212</v>
      </c>
      <c r="C113" s="62" t="s">
        <v>213</v>
      </c>
      <c r="D113" s="285"/>
      <c r="E113" s="285"/>
      <c r="F113" s="56">
        <v>50</v>
      </c>
      <c r="G113" s="56">
        <v>50</v>
      </c>
      <c r="H113" s="57">
        <v>12200</v>
      </c>
      <c r="I113" s="26">
        <f t="shared" si="11"/>
        <v>8540</v>
      </c>
      <c r="J113" s="26">
        <f t="shared" si="12"/>
        <v>8198.4</v>
      </c>
      <c r="K113" s="26">
        <f t="shared" si="13"/>
        <v>7952.4479999999994</v>
      </c>
      <c r="L113" s="26">
        <f t="shared" si="14"/>
        <v>7872.9235199999994</v>
      </c>
    </row>
    <row r="114" spans="1:12" ht="20.25" customHeight="1" x14ac:dyDescent="0.35">
      <c r="A114" s="284" t="s">
        <v>214</v>
      </c>
      <c r="B114" s="284"/>
      <c r="C114" s="284"/>
      <c r="D114" s="284"/>
      <c r="E114" s="284"/>
      <c r="F114" s="284"/>
      <c r="G114" s="284"/>
      <c r="H114" s="281" t="s">
        <v>109</v>
      </c>
      <c r="I114" s="315" t="s">
        <v>504</v>
      </c>
      <c r="J114" s="315"/>
      <c r="K114" s="315"/>
      <c r="L114" s="315"/>
    </row>
    <row r="115" spans="1:12" ht="20.25" customHeight="1" x14ac:dyDescent="0.35">
      <c r="A115" s="281" t="s">
        <v>2</v>
      </c>
      <c r="B115" s="281" t="s">
        <v>3</v>
      </c>
      <c r="C115" s="283" t="s">
        <v>4</v>
      </c>
      <c r="D115" s="281" t="s">
        <v>5</v>
      </c>
      <c r="E115" s="281"/>
      <c r="F115" s="281" t="s">
        <v>6</v>
      </c>
      <c r="G115" s="281"/>
      <c r="H115" s="281"/>
      <c r="I115" s="323">
        <v>0.3</v>
      </c>
      <c r="J115" s="323">
        <v>0.04</v>
      </c>
      <c r="K115" s="323">
        <v>0.03</v>
      </c>
      <c r="L115" s="323">
        <v>0.01</v>
      </c>
    </row>
    <row r="116" spans="1:12" ht="20.25" customHeight="1" x14ac:dyDescent="0.35">
      <c r="A116" s="281"/>
      <c r="B116" s="281"/>
      <c r="C116" s="283"/>
      <c r="D116" s="58" t="s">
        <v>9</v>
      </c>
      <c r="E116" s="58" t="s">
        <v>10</v>
      </c>
      <c r="F116" s="58" t="s">
        <v>11</v>
      </c>
      <c r="G116" s="58" t="s">
        <v>12</v>
      </c>
      <c r="H116" s="281"/>
      <c r="I116" s="324"/>
      <c r="J116" s="324">
        <v>0.04</v>
      </c>
      <c r="K116" s="324">
        <v>0.03</v>
      </c>
      <c r="L116" s="324">
        <v>0.03</v>
      </c>
    </row>
    <row r="117" spans="1:12" ht="20.25" customHeight="1" x14ac:dyDescent="0.35">
      <c r="A117" s="43">
        <v>1</v>
      </c>
      <c r="B117" s="43" t="s">
        <v>215</v>
      </c>
      <c r="C117" s="44" t="s">
        <v>216</v>
      </c>
      <c r="D117" s="45">
        <v>0.5</v>
      </c>
      <c r="E117" s="45">
        <v>0.37</v>
      </c>
      <c r="F117" s="45">
        <v>25</v>
      </c>
      <c r="G117" s="45">
        <v>25</v>
      </c>
      <c r="H117" s="46">
        <v>5370</v>
      </c>
      <c r="I117" s="295">
        <v>3552</v>
      </c>
      <c r="J117" s="325"/>
      <c r="K117" s="325"/>
      <c r="L117" s="296"/>
    </row>
    <row r="118" spans="1:12" ht="20.25" customHeight="1" x14ac:dyDescent="0.35">
      <c r="A118" s="43">
        <v>2</v>
      </c>
      <c r="B118" s="43" t="s">
        <v>217</v>
      </c>
      <c r="C118" s="44" t="s">
        <v>218</v>
      </c>
      <c r="D118" s="45">
        <v>1</v>
      </c>
      <c r="E118" s="45">
        <v>0.75</v>
      </c>
      <c r="F118" s="45">
        <v>25</v>
      </c>
      <c r="G118" s="45">
        <v>25</v>
      </c>
      <c r="H118" s="46">
        <v>7070</v>
      </c>
      <c r="I118" s="295">
        <v>4677</v>
      </c>
      <c r="J118" s="325"/>
      <c r="K118" s="325"/>
      <c r="L118" s="296"/>
    </row>
    <row r="119" spans="1:12" ht="20.25" customHeight="1" x14ac:dyDescent="0.35">
      <c r="A119" s="43">
        <v>3</v>
      </c>
      <c r="B119" s="64" t="s">
        <v>219</v>
      </c>
      <c r="C119" s="65" t="s">
        <v>220</v>
      </c>
      <c r="D119" s="66">
        <v>2</v>
      </c>
      <c r="E119" s="43">
        <v>1.5</v>
      </c>
      <c r="F119" s="43">
        <v>50</v>
      </c>
      <c r="G119" s="43">
        <v>50</v>
      </c>
      <c r="H119" s="43">
        <v>12200</v>
      </c>
      <c r="I119" s="26">
        <f t="shared" ref="I119:I128" si="15">H119*0.7</f>
        <v>8540</v>
      </c>
      <c r="J119" s="26">
        <f t="shared" ref="J119:J128" si="16">+I119*0.96</f>
        <v>8198.4</v>
      </c>
      <c r="K119" s="26">
        <f t="shared" ref="K119:L128" si="17">+J119*0.97</f>
        <v>7952.4479999999994</v>
      </c>
      <c r="L119" s="26">
        <f t="shared" si="17"/>
        <v>7713.8745599999993</v>
      </c>
    </row>
    <row r="120" spans="1:12" ht="20.25" customHeight="1" x14ac:dyDescent="0.35">
      <c r="A120" s="43">
        <v>4</v>
      </c>
      <c r="B120" s="64" t="s">
        <v>221</v>
      </c>
      <c r="C120" s="65" t="s">
        <v>222</v>
      </c>
      <c r="D120" s="66">
        <v>2</v>
      </c>
      <c r="E120" s="43">
        <v>1.5</v>
      </c>
      <c r="F120" s="43">
        <v>50</v>
      </c>
      <c r="G120" s="43">
        <v>50</v>
      </c>
      <c r="H120" s="43">
        <v>12200</v>
      </c>
      <c r="I120" s="26">
        <f t="shared" si="15"/>
        <v>8540</v>
      </c>
      <c r="J120" s="26">
        <f t="shared" si="16"/>
        <v>8198.4</v>
      </c>
      <c r="K120" s="26">
        <f t="shared" si="17"/>
        <v>7952.4479999999994</v>
      </c>
      <c r="L120" s="26">
        <f t="shared" si="17"/>
        <v>7713.8745599999993</v>
      </c>
    </row>
    <row r="121" spans="1:12" ht="20.25" customHeight="1" x14ac:dyDescent="0.35">
      <c r="A121" s="43">
        <v>5</v>
      </c>
      <c r="B121" s="64" t="s">
        <v>223</v>
      </c>
      <c r="C121" s="65" t="s">
        <v>224</v>
      </c>
      <c r="D121" s="66">
        <v>2</v>
      </c>
      <c r="E121" s="43">
        <v>1.5</v>
      </c>
      <c r="F121" s="43">
        <v>65</v>
      </c>
      <c r="G121" s="43">
        <v>50</v>
      </c>
      <c r="H121" s="43">
        <v>12300</v>
      </c>
      <c r="I121" s="26">
        <f t="shared" si="15"/>
        <v>8610</v>
      </c>
      <c r="J121" s="26">
        <f t="shared" si="16"/>
        <v>8265.6</v>
      </c>
      <c r="K121" s="26">
        <f t="shared" si="17"/>
        <v>8017.6320000000005</v>
      </c>
      <c r="L121" s="26">
        <f t="shared" si="17"/>
        <v>7777.10304</v>
      </c>
    </row>
    <row r="122" spans="1:12" ht="20.25" customHeight="1" x14ac:dyDescent="0.35">
      <c r="A122" s="43">
        <v>6</v>
      </c>
      <c r="B122" s="64" t="s">
        <v>225</v>
      </c>
      <c r="C122" s="65" t="s">
        <v>226</v>
      </c>
      <c r="D122" s="66">
        <v>2</v>
      </c>
      <c r="E122" s="43">
        <v>1.5</v>
      </c>
      <c r="F122" s="43">
        <v>65</v>
      </c>
      <c r="G122" s="43">
        <v>50</v>
      </c>
      <c r="H122" s="43">
        <v>12300</v>
      </c>
      <c r="I122" s="26">
        <f t="shared" si="15"/>
        <v>8610</v>
      </c>
      <c r="J122" s="26">
        <f t="shared" si="16"/>
        <v>8265.6</v>
      </c>
      <c r="K122" s="26">
        <f t="shared" si="17"/>
        <v>8017.6320000000005</v>
      </c>
      <c r="L122" s="26">
        <f t="shared" si="17"/>
        <v>7777.10304</v>
      </c>
    </row>
    <row r="123" spans="1:12" ht="20.25" customHeight="1" x14ac:dyDescent="0.35">
      <c r="A123" s="43">
        <v>7</v>
      </c>
      <c r="B123" s="64" t="s">
        <v>227</v>
      </c>
      <c r="C123" s="65" t="s">
        <v>228</v>
      </c>
      <c r="D123" s="64">
        <v>3</v>
      </c>
      <c r="E123" s="43">
        <v>2.25</v>
      </c>
      <c r="F123" s="43">
        <v>65</v>
      </c>
      <c r="G123" s="43">
        <v>50</v>
      </c>
      <c r="H123" s="43">
        <v>12900</v>
      </c>
      <c r="I123" s="26">
        <f t="shared" si="15"/>
        <v>9030</v>
      </c>
      <c r="J123" s="26">
        <f t="shared" si="16"/>
        <v>8668.7999999999993</v>
      </c>
      <c r="K123" s="26">
        <f t="shared" si="17"/>
        <v>8408.735999999999</v>
      </c>
      <c r="L123" s="26">
        <f t="shared" si="17"/>
        <v>8156.4739199999985</v>
      </c>
    </row>
    <row r="124" spans="1:12" ht="20.25" customHeight="1" x14ac:dyDescent="0.35">
      <c r="A124" s="43">
        <v>8</v>
      </c>
      <c r="B124" s="64" t="s">
        <v>229</v>
      </c>
      <c r="C124" s="67" t="s">
        <v>230</v>
      </c>
      <c r="D124" s="64">
        <v>3</v>
      </c>
      <c r="E124" s="43">
        <v>2.25</v>
      </c>
      <c r="F124" s="43">
        <v>65</v>
      </c>
      <c r="G124" s="43">
        <v>50</v>
      </c>
      <c r="H124" s="43">
        <v>13000</v>
      </c>
      <c r="I124" s="26">
        <f t="shared" si="15"/>
        <v>9100</v>
      </c>
      <c r="J124" s="26">
        <f t="shared" si="16"/>
        <v>8736</v>
      </c>
      <c r="K124" s="26">
        <f t="shared" si="17"/>
        <v>8473.92</v>
      </c>
      <c r="L124" s="26">
        <f t="shared" si="17"/>
        <v>8219.7024000000001</v>
      </c>
    </row>
    <row r="125" spans="1:12" ht="20.25" customHeight="1" x14ac:dyDescent="0.35">
      <c r="A125" s="43">
        <v>9</v>
      </c>
      <c r="B125" s="64" t="s">
        <v>231</v>
      </c>
      <c r="C125" s="67" t="s">
        <v>232</v>
      </c>
      <c r="D125" s="64">
        <v>3</v>
      </c>
      <c r="E125" s="43">
        <v>2.25</v>
      </c>
      <c r="F125" s="43">
        <v>65</v>
      </c>
      <c r="G125" s="43">
        <v>50</v>
      </c>
      <c r="H125" s="43">
        <v>12900</v>
      </c>
      <c r="I125" s="26">
        <f t="shared" si="15"/>
        <v>9030</v>
      </c>
      <c r="J125" s="26">
        <f t="shared" si="16"/>
        <v>8668.7999999999993</v>
      </c>
      <c r="K125" s="26">
        <f t="shared" si="17"/>
        <v>8408.735999999999</v>
      </c>
      <c r="L125" s="26">
        <f t="shared" si="17"/>
        <v>8156.4739199999985</v>
      </c>
    </row>
    <row r="126" spans="1:12" ht="20.25" customHeight="1" x14ac:dyDescent="0.35">
      <c r="A126" s="43">
        <v>10</v>
      </c>
      <c r="B126" s="64" t="s">
        <v>233</v>
      </c>
      <c r="C126" s="67" t="s">
        <v>234</v>
      </c>
      <c r="D126" s="64">
        <v>3</v>
      </c>
      <c r="E126" s="43">
        <v>2.25</v>
      </c>
      <c r="F126" s="43">
        <v>65</v>
      </c>
      <c r="G126" s="43">
        <v>50</v>
      </c>
      <c r="H126" s="43">
        <v>19300</v>
      </c>
      <c r="I126" s="26">
        <f t="shared" si="15"/>
        <v>13510</v>
      </c>
      <c r="J126" s="26">
        <f t="shared" si="16"/>
        <v>12969.6</v>
      </c>
      <c r="K126" s="26">
        <f t="shared" si="17"/>
        <v>12580.512000000001</v>
      </c>
      <c r="L126" s="26">
        <f t="shared" si="17"/>
        <v>12203.09664</v>
      </c>
    </row>
    <row r="127" spans="1:12" ht="20.25" customHeight="1" x14ac:dyDescent="0.35">
      <c r="A127" s="43">
        <v>11</v>
      </c>
      <c r="B127" s="64" t="s">
        <v>235</v>
      </c>
      <c r="C127" s="67" t="s">
        <v>236</v>
      </c>
      <c r="D127" s="64">
        <v>5</v>
      </c>
      <c r="E127" s="56">
        <v>3.75</v>
      </c>
      <c r="F127" s="43">
        <v>65</v>
      </c>
      <c r="G127" s="43">
        <v>50</v>
      </c>
      <c r="H127" s="43">
        <v>18700</v>
      </c>
      <c r="I127" s="26">
        <f t="shared" si="15"/>
        <v>13090</v>
      </c>
      <c r="J127" s="26">
        <f t="shared" si="16"/>
        <v>12566.4</v>
      </c>
      <c r="K127" s="26">
        <f t="shared" si="17"/>
        <v>12189.407999999999</v>
      </c>
      <c r="L127" s="26">
        <f t="shared" si="17"/>
        <v>11823.725759999999</v>
      </c>
    </row>
    <row r="128" spans="1:12" ht="20.25" customHeight="1" x14ac:dyDescent="0.35">
      <c r="A128" s="43">
        <v>12</v>
      </c>
      <c r="B128" s="64" t="s">
        <v>237</v>
      </c>
      <c r="C128" s="67" t="s">
        <v>238</v>
      </c>
      <c r="D128" s="64">
        <v>5</v>
      </c>
      <c r="E128" s="56">
        <v>3.75</v>
      </c>
      <c r="F128" s="43">
        <v>65</v>
      </c>
      <c r="G128" s="43">
        <v>50</v>
      </c>
      <c r="H128" s="43">
        <v>22900</v>
      </c>
      <c r="I128" s="26">
        <f t="shared" si="15"/>
        <v>16029.999999999998</v>
      </c>
      <c r="J128" s="26">
        <f t="shared" si="16"/>
        <v>15388.799999999997</v>
      </c>
      <c r="K128" s="26">
        <f t="shared" si="17"/>
        <v>14927.135999999997</v>
      </c>
      <c r="L128" s="26">
        <f t="shared" si="17"/>
        <v>14479.321919999997</v>
      </c>
    </row>
    <row r="129" spans="1:12" ht="20.25" customHeight="1" x14ac:dyDescent="0.35">
      <c r="A129" s="284" t="s">
        <v>239</v>
      </c>
      <c r="B129" s="284"/>
      <c r="C129" s="284"/>
      <c r="D129" s="284"/>
      <c r="E129" s="284"/>
      <c r="F129" s="284"/>
      <c r="G129" s="284"/>
      <c r="H129" s="281" t="s">
        <v>109</v>
      </c>
      <c r="I129" s="315" t="s">
        <v>504</v>
      </c>
      <c r="J129" s="315"/>
      <c r="K129" s="315"/>
      <c r="L129" s="315"/>
    </row>
    <row r="130" spans="1:12" ht="20.25" customHeight="1" x14ac:dyDescent="0.35">
      <c r="A130" s="281" t="s">
        <v>2</v>
      </c>
      <c r="B130" s="281" t="s">
        <v>3</v>
      </c>
      <c r="C130" s="283" t="s">
        <v>4</v>
      </c>
      <c r="D130" s="281" t="s">
        <v>5</v>
      </c>
      <c r="E130" s="281"/>
      <c r="F130" s="281" t="s">
        <v>6</v>
      </c>
      <c r="G130" s="281"/>
      <c r="H130" s="281"/>
      <c r="I130" s="323">
        <v>0.3</v>
      </c>
      <c r="J130" s="323">
        <v>0.04</v>
      </c>
      <c r="K130" s="323">
        <v>0.03</v>
      </c>
      <c r="L130" s="323">
        <v>0.01</v>
      </c>
    </row>
    <row r="131" spans="1:12" ht="20.25" customHeight="1" x14ac:dyDescent="0.35">
      <c r="A131" s="281"/>
      <c r="B131" s="281"/>
      <c r="C131" s="283"/>
      <c r="D131" s="58" t="s">
        <v>9</v>
      </c>
      <c r="E131" s="58" t="s">
        <v>10</v>
      </c>
      <c r="F131" s="281"/>
      <c r="G131" s="281"/>
      <c r="H131" s="281"/>
      <c r="I131" s="324"/>
      <c r="J131" s="324">
        <v>0.04</v>
      </c>
      <c r="K131" s="324">
        <v>0.03</v>
      </c>
      <c r="L131" s="324">
        <v>0.03</v>
      </c>
    </row>
    <row r="132" spans="1:12" ht="20.25" customHeight="1" x14ac:dyDescent="0.35">
      <c r="A132" s="43">
        <v>1</v>
      </c>
      <c r="B132" s="43" t="s">
        <v>240</v>
      </c>
      <c r="C132" s="68" t="s">
        <v>241</v>
      </c>
      <c r="D132" s="43">
        <v>0.5</v>
      </c>
      <c r="E132" s="43"/>
      <c r="F132" s="279">
        <v>32</v>
      </c>
      <c r="G132" s="279"/>
      <c r="H132" s="43">
        <v>8240</v>
      </c>
      <c r="I132" s="26">
        <f t="shared" ref="I132:I154" si="18">H132*0.7</f>
        <v>5768</v>
      </c>
      <c r="J132" s="26">
        <f t="shared" ref="J132:J154" si="19">+I132*0.96</f>
        <v>5537.28</v>
      </c>
      <c r="K132" s="26">
        <f t="shared" ref="K132:L154" si="20">+J132*0.97</f>
        <v>5371.1615999999995</v>
      </c>
      <c r="L132" s="26">
        <f t="shared" si="20"/>
        <v>5210.0267519999998</v>
      </c>
    </row>
    <row r="133" spans="1:12" ht="20.25" customHeight="1" x14ac:dyDescent="0.35">
      <c r="A133" s="43">
        <v>2</v>
      </c>
      <c r="B133" s="43" t="s">
        <v>242</v>
      </c>
      <c r="C133" s="68" t="s">
        <v>243</v>
      </c>
      <c r="D133" s="43">
        <v>0.5</v>
      </c>
      <c r="E133" s="43"/>
      <c r="F133" s="279">
        <v>32</v>
      </c>
      <c r="G133" s="279"/>
      <c r="H133" s="43">
        <v>8450</v>
      </c>
      <c r="I133" s="26">
        <f t="shared" si="18"/>
        <v>5915</v>
      </c>
      <c r="J133" s="26">
        <f t="shared" si="19"/>
        <v>5678.4</v>
      </c>
      <c r="K133" s="26">
        <f t="shared" si="20"/>
        <v>5508.0479999999998</v>
      </c>
      <c r="L133" s="26">
        <f t="shared" si="20"/>
        <v>5342.80656</v>
      </c>
    </row>
    <row r="134" spans="1:12" ht="20.25" customHeight="1" x14ac:dyDescent="0.35">
      <c r="A134" s="43">
        <v>3</v>
      </c>
      <c r="B134" s="43" t="s">
        <v>244</v>
      </c>
      <c r="C134" s="68" t="s">
        <v>245</v>
      </c>
      <c r="D134" s="43">
        <v>0.75</v>
      </c>
      <c r="E134" s="43"/>
      <c r="F134" s="279">
        <v>32</v>
      </c>
      <c r="G134" s="279"/>
      <c r="H134" s="43">
        <v>8550</v>
      </c>
      <c r="I134" s="26">
        <f t="shared" si="18"/>
        <v>5985</v>
      </c>
      <c r="J134" s="26">
        <f t="shared" si="19"/>
        <v>5745.5999999999995</v>
      </c>
      <c r="K134" s="26">
        <f t="shared" si="20"/>
        <v>5573.2319999999991</v>
      </c>
      <c r="L134" s="26">
        <f t="shared" si="20"/>
        <v>5406.0350399999988</v>
      </c>
    </row>
    <row r="135" spans="1:12" ht="20.25" customHeight="1" x14ac:dyDescent="0.35">
      <c r="A135" s="43">
        <v>4</v>
      </c>
      <c r="B135" s="43" t="s">
        <v>246</v>
      </c>
      <c r="C135" s="68" t="s">
        <v>247</v>
      </c>
      <c r="D135" s="43">
        <v>0.75</v>
      </c>
      <c r="E135" s="43"/>
      <c r="F135" s="279">
        <v>32</v>
      </c>
      <c r="G135" s="279"/>
      <c r="H135" s="43">
        <v>8750</v>
      </c>
      <c r="I135" s="26">
        <f t="shared" si="18"/>
        <v>6125</v>
      </c>
      <c r="J135" s="26">
        <f t="shared" si="19"/>
        <v>5880</v>
      </c>
      <c r="K135" s="26">
        <f t="shared" si="20"/>
        <v>5703.5999999999995</v>
      </c>
      <c r="L135" s="26">
        <f t="shared" si="20"/>
        <v>5532.4919999999993</v>
      </c>
    </row>
    <row r="136" spans="1:12" ht="20.25" customHeight="1" x14ac:dyDescent="0.35">
      <c r="A136" s="43">
        <v>5</v>
      </c>
      <c r="B136" s="43" t="s">
        <v>248</v>
      </c>
      <c r="C136" s="68" t="s">
        <v>249</v>
      </c>
      <c r="D136" s="43">
        <v>1</v>
      </c>
      <c r="E136" s="43"/>
      <c r="F136" s="279">
        <v>32</v>
      </c>
      <c r="G136" s="279"/>
      <c r="H136" s="47">
        <v>8800</v>
      </c>
      <c r="I136" s="26">
        <f t="shared" si="18"/>
        <v>6160</v>
      </c>
      <c r="J136" s="26">
        <f t="shared" si="19"/>
        <v>5913.5999999999995</v>
      </c>
      <c r="K136" s="26">
        <f t="shared" si="20"/>
        <v>5736.1919999999991</v>
      </c>
      <c r="L136" s="26">
        <f t="shared" si="20"/>
        <v>5564.1062399999992</v>
      </c>
    </row>
    <row r="137" spans="1:12" ht="20.25" customHeight="1" x14ac:dyDescent="0.35">
      <c r="A137" s="43">
        <v>6</v>
      </c>
      <c r="B137" s="43" t="s">
        <v>250</v>
      </c>
      <c r="C137" s="68" t="s">
        <v>251</v>
      </c>
      <c r="D137" s="43">
        <v>1</v>
      </c>
      <c r="E137" s="43"/>
      <c r="F137" s="279">
        <v>32</v>
      </c>
      <c r="G137" s="279"/>
      <c r="H137" s="47">
        <v>9000</v>
      </c>
      <c r="I137" s="26">
        <f t="shared" si="18"/>
        <v>6300</v>
      </c>
      <c r="J137" s="26">
        <f t="shared" si="19"/>
        <v>6048</v>
      </c>
      <c r="K137" s="26">
        <f t="shared" si="20"/>
        <v>5866.5599999999995</v>
      </c>
      <c r="L137" s="26">
        <f t="shared" si="20"/>
        <v>5690.5631999999996</v>
      </c>
    </row>
    <row r="138" spans="1:12" ht="20.25" customHeight="1" x14ac:dyDescent="0.35">
      <c r="A138" s="43">
        <v>7</v>
      </c>
      <c r="B138" s="43" t="s">
        <v>252</v>
      </c>
      <c r="C138" s="68" t="s">
        <v>253</v>
      </c>
      <c r="D138" s="43">
        <v>1</v>
      </c>
      <c r="E138" s="43"/>
      <c r="F138" s="279">
        <v>32</v>
      </c>
      <c r="G138" s="279"/>
      <c r="H138" s="43">
        <v>9480</v>
      </c>
      <c r="I138" s="26">
        <f t="shared" si="18"/>
        <v>6636</v>
      </c>
      <c r="J138" s="26">
        <f t="shared" si="19"/>
        <v>6370.5599999999995</v>
      </c>
      <c r="K138" s="26">
        <f t="shared" si="20"/>
        <v>6179.4431999999997</v>
      </c>
      <c r="L138" s="26">
        <f t="shared" si="20"/>
        <v>5994.0599039999997</v>
      </c>
    </row>
    <row r="139" spans="1:12" ht="20.25" customHeight="1" x14ac:dyDescent="0.35">
      <c r="A139" s="43">
        <v>8</v>
      </c>
      <c r="B139" s="43" t="s">
        <v>254</v>
      </c>
      <c r="C139" s="68" t="s">
        <v>255</v>
      </c>
      <c r="D139" s="43">
        <v>1</v>
      </c>
      <c r="E139" s="43"/>
      <c r="F139" s="279">
        <v>32</v>
      </c>
      <c r="G139" s="279"/>
      <c r="H139" s="43">
        <v>9790</v>
      </c>
      <c r="I139" s="26">
        <f t="shared" si="18"/>
        <v>6853</v>
      </c>
      <c r="J139" s="26">
        <f t="shared" si="19"/>
        <v>6578.88</v>
      </c>
      <c r="K139" s="26">
        <f t="shared" si="20"/>
        <v>6381.5136000000002</v>
      </c>
      <c r="L139" s="26">
        <f t="shared" si="20"/>
        <v>6190.0681919999997</v>
      </c>
    </row>
    <row r="140" spans="1:12" ht="20.25" customHeight="1" x14ac:dyDescent="0.35">
      <c r="A140" s="43">
        <v>9</v>
      </c>
      <c r="B140" s="43" t="s">
        <v>256</v>
      </c>
      <c r="C140" s="68" t="s">
        <v>257</v>
      </c>
      <c r="D140" s="43">
        <v>1.5</v>
      </c>
      <c r="E140" s="43"/>
      <c r="F140" s="279">
        <v>32</v>
      </c>
      <c r="G140" s="279"/>
      <c r="H140" s="43">
        <v>11330</v>
      </c>
      <c r="I140" s="26">
        <f t="shared" si="18"/>
        <v>7930.9999999999991</v>
      </c>
      <c r="J140" s="26">
        <f t="shared" si="19"/>
        <v>7613.7599999999984</v>
      </c>
      <c r="K140" s="26">
        <f t="shared" si="20"/>
        <v>7385.3471999999983</v>
      </c>
      <c r="L140" s="26">
        <f t="shared" si="20"/>
        <v>7163.7867839999981</v>
      </c>
    </row>
    <row r="141" spans="1:12" ht="20.25" customHeight="1" x14ac:dyDescent="0.35">
      <c r="A141" s="43">
        <v>10</v>
      </c>
      <c r="B141" s="43" t="s">
        <v>258</v>
      </c>
      <c r="C141" s="68" t="s">
        <v>259</v>
      </c>
      <c r="D141" s="43">
        <v>1.5</v>
      </c>
      <c r="E141" s="43"/>
      <c r="F141" s="279">
        <v>32</v>
      </c>
      <c r="G141" s="279"/>
      <c r="H141" s="43">
        <v>11640</v>
      </c>
      <c r="I141" s="26">
        <f t="shared" si="18"/>
        <v>8147.9999999999991</v>
      </c>
      <c r="J141" s="26">
        <f t="shared" si="19"/>
        <v>7822.079999999999</v>
      </c>
      <c r="K141" s="26">
        <f t="shared" si="20"/>
        <v>7587.4175999999989</v>
      </c>
      <c r="L141" s="26">
        <f t="shared" si="20"/>
        <v>7359.795071999999</v>
      </c>
    </row>
    <row r="142" spans="1:12" ht="20.25" customHeight="1" x14ac:dyDescent="0.35">
      <c r="A142" s="43">
        <v>11</v>
      </c>
      <c r="B142" s="43" t="s">
        <v>260</v>
      </c>
      <c r="C142" s="68" t="s">
        <v>261</v>
      </c>
      <c r="D142" s="43">
        <v>1.5</v>
      </c>
      <c r="E142" s="43"/>
      <c r="F142" s="279">
        <v>32</v>
      </c>
      <c r="G142" s="279"/>
      <c r="H142" s="43">
        <v>11800</v>
      </c>
      <c r="I142" s="26">
        <f t="shared" si="18"/>
        <v>8260</v>
      </c>
      <c r="J142" s="26">
        <f t="shared" si="19"/>
        <v>7929.5999999999995</v>
      </c>
      <c r="K142" s="26">
        <f t="shared" si="20"/>
        <v>7691.7119999999995</v>
      </c>
      <c r="L142" s="26">
        <f t="shared" si="20"/>
        <v>7460.9606399999993</v>
      </c>
    </row>
    <row r="143" spans="1:12" ht="20.25" customHeight="1" x14ac:dyDescent="0.35">
      <c r="A143" s="43">
        <v>12</v>
      </c>
      <c r="B143" s="43" t="s">
        <v>262</v>
      </c>
      <c r="C143" s="68" t="s">
        <v>263</v>
      </c>
      <c r="D143" s="43">
        <v>1.5</v>
      </c>
      <c r="E143" s="43"/>
      <c r="F143" s="279">
        <v>32</v>
      </c>
      <c r="G143" s="279"/>
      <c r="H143" s="43">
        <v>12670</v>
      </c>
      <c r="I143" s="26">
        <f t="shared" si="18"/>
        <v>8869</v>
      </c>
      <c r="J143" s="26">
        <f t="shared" si="19"/>
        <v>8514.24</v>
      </c>
      <c r="K143" s="26">
        <f t="shared" si="20"/>
        <v>8258.8127999999997</v>
      </c>
      <c r="L143" s="26">
        <f t="shared" si="20"/>
        <v>8011.0484159999996</v>
      </c>
    </row>
    <row r="144" spans="1:12" ht="20.25" customHeight="1" x14ac:dyDescent="0.35">
      <c r="A144" s="43">
        <v>13</v>
      </c>
      <c r="B144" s="43" t="s">
        <v>264</v>
      </c>
      <c r="C144" s="68" t="s">
        <v>265</v>
      </c>
      <c r="D144" s="43">
        <v>2</v>
      </c>
      <c r="E144" s="43"/>
      <c r="F144" s="279">
        <v>40</v>
      </c>
      <c r="G144" s="279"/>
      <c r="H144" s="43">
        <v>14730</v>
      </c>
      <c r="I144" s="26">
        <f t="shared" si="18"/>
        <v>10311</v>
      </c>
      <c r="J144" s="26">
        <f t="shared" si="19"/>
        <v>9898.56</v>
      </c>
      <c r="K144" s="26">
        <f t="shared" si="20"/>
        <v>9601.6031999999996</v>
      </c>
      <c r="L144" s="26">
        <f t="shared" si="20"/>
        <v>9313.5551039999991</v>
      </c>
    </row>
    <row r="145" spans="1:12" ht="20.25" customHeight="1" x14ac:dyDescent="0.35">
      <c r="A145" s="43">
        <v>14</v>
      </c>
      <c r="B145" s="43" t="s">
        <v>266</v>
      </c>
      <c r="C145" s="68" t="s">
        <v>267</v>
      </c>
      <c r="D145" s="43">
        <v>2</v>
      </c>
      <c r="E145" s="43"/>
      <c r="F145" s="279">
        <v>32</v>
      </c>
      <c r="G145" s="279"/>
      <c r="H145" s="43">
        <v>15250</v>
      </c>
      <c r="I145" s="26">
        <f t="shared" si="18"/>
        <v>10675</v>
      </c>
      <c r="J145" s="26">
        <f t="shared" si="19"/>
        <v>10248</v>
      </c>
      <c r="K145" s="26">
        <f t="shared" si="20"/>
        <v>9940.56</v>
      </c>
      <c r="L145" s="26">
        <f t="shared" si="20"/>
        <v>9642.3431999999993</v>
      </c>
    </row>
    <row r="146" spans="1:12" ht="20.25" customHeight="1" x14ac:dyDescent="0.35">
      <c r="A146" s="43">
        <v>15</v>
      </c>
      <c r="B146" s="43" t="s">
        <v>268</v>
      </c>
      <c r="C146" s="68" t="s">
        <v>269</v>
      </c>
      <c r="D146" s="43">
        <v>2</v>
      </c>
      <c r="E146" s="43"/>
      <c r="F146" s="279">
        <v>32</v>
      </c>
      <c r="G146" s="279"/>
      <c r="H146" s="43">
        <v>15860</v>
      </c>
      <c r="I146" s="26">
        <f t="shared" si="18"/>
        <v>11102</v>
      </c>
      <c r="J146" s="26">
        <f t="shared" si="19"/>
        <v>10657.92</v>
      </c>
      <c r="K146" s="26">
        <f t="shared" si="20"/>
        <v>10338.1824</v>
      </c>
      <c r="L146" s="26">
        <f t="shared" si="20"/>
        <v>10028.036928</v>
      </c>
    </row>
    <row r="147" spans="1:12" ht="20.25" customHeight="1" x14ac:dyDescent="0.35">
      <c r="A147" s="43">
        <v>16</v>
      </c>
      <c r="B147" s="43" t="s">
        <v>270</v>
      </c>
      <c r="C147" s="68" t="s">
        <v>271</v>
      </c>
      <c r="D147" s="43">
        <v>2</v>
      </c>
      <c r="E147" s="43"/>
      <c r="F147" s="279">
        <v>32</v>
      </c>
      <c r="G147" s="279"/>
      <c r="H147" s="43">
        <v>15970</v>
      </c>
      <c r="I147" s="26">
        <f t="shared" si="18"/>
        <v>11179</v>
      </c>
      <c r="J147" s="26">
        <f t="shared" si="19"/>
        <v>10731.84</v>
      </c>
      <c r="K147" s="26">
        <f t="shared" si="20"/>
        <v>10409.8848</v>
      </c>
      <c r="L147" s="26">
        <f t="shared" si="20"/>
        <v>10097.588255999999</v>
      </c>
    </row>
    <row r="148" spans="1:12" ht="20.25" customHeight="1" x14ac:dyDescent="0.35">
      <c r="A148" s="43">
        <v>17</v>
      </c>
      <c r="B148" s="43" t="s">
        <v>272</v>
      </c>
      <c r="C148" s="68" t="s">
        <v>273</v>
      </c>
      <c r="D148" s="43">
        <v>2</v>
      </c>
      <c r="E148" s="43"/>
      <c r="F148" s="279">
        <v>32</v>
      </c>
      <c r="G148" s="279"/>
      <c r="H148" s="43">
        <v>16480</v>
      </c>
      <c r="I148" s="26">
        <f t="shared" si="18"/>
        <v>11536</v>
      </c>
      <c r="J148" s="26">
        <f t="shared" si="19"/>
        <v>11074.56</v>
      </c>
      <c r="K148" s="26">
        <f t="shared" si="20"/>
        <v>10742.323199999999</v>
      </c>
      <c r="L148" s="26">
        <f t="shared" si="20"/>
        <v>10420.053504</v>
      </c>
    </row>
    <row r="149" spans="1:12" ht="20.25" customHeight="1" x14ac:dyDescent="0.35">
      <c r="A149" s="43">
        <v>18</v>
      </c>
      <c r="B149" s="43" t="s">
        <v>274</v>
      </c>
      <c r="C149" s="68" t="s">
        <v>275</v>
      </c>
      <c r="D149" s="43">
        <v>2</v>
      </c>
      <c r="E149" s="43"/>
      <c r="F149" s="279">
        <v>65</v>
      </c>
      <c r="G149" s="279"/>
      <c r="H149" s="43">
        <v>14940</v>
      </c>
      <c r="I149" s="26">
        <f t="shared" si="18"/>
        <v>10458</v>
      </c>
      <c r="J149" s="26">
        <f t="shared" si="19"/>
        <v>10039.68</v>
      </c>
      <c r="K149" s="26">
        <f t="shared" si="20"/>
        <v>9738.4896000000008</v>
      </c>
      <c r="L149" s="26">
        <f t="shared" si="20"/>
        <v>9446.3349120000003</v>
      </c>
    </row>
    <row r="150" spans="1:12" ht="20.25" customHeight="1" x14ac:dyDescent="0.35">
      <c r="A150" s="43">
        <v>19</v>
      </c>
      <c r="B150" s="43" t="s">
        <v>276</v>
      </c>
      <c r="C150" s="68" t="s">
        <v>277</v>
      </c>
      <c r="D150" s="43">
        <v>3</v>
      </c>
      <c r="E150" s="43"/>
      <c r="F150" s="279">
        <v>32</v>
      </c>
      <c r="G150" s="279"/>
      <c r="H150" s="43">
        <v>23500</v>
      </c>
      <c r="I150" s="26">
        <f t="shared" si="18"/>
        <v>16450</v>
      </c>
      <c r="J150" s="26">
        <f t="shared" si="19"/>
        <v>15792</v>
      </c>
      <c r="K150" s="26">
        <f t="shared" si="20"/>
        <v>15318.24</v>
      </c>
      <c r="L150" s="26">
        <f t="shared" si="20"/>
        <v>14858.692799999999</v>
      </c>
    </row>
    <row r="151" spans="1:12" ht="20.25" customHeight="1" x14ac:dyDescent="0.35">
      <c r="A151" s="43">
        <v>20</v>
      </c>
      <c r="B151" s="43" t="s">
        <v>278</v>
      </c>
      <c r="C151" s="68" t="s">
        <v>279</v>
      </c>
      <c r="D151" s="43">
        <v>3</v>
      </c>
      <c r="E151" s="43"/>
      <c r="F151" s="279">
        <v>32</v>
      </c>
      <c r="G151" s="279"/>
      <c r="H151" s="43">
        <v>24000</v>
      </c>
      <c r="I151" s="26">
        <f t="shared" si="18"/>
        <v>16800</v>
      </c>
      <c r="J151" s="26">
        <f t="shared" si="19"/>
        <v>16128</v>
      </c>
      <c r="K151" s="26">
        <f t="shared" si="20"/>
        <v>15644.16</v>
      </c>
      <c r="L151" s="26">
        <f t="shared" si="20"/>
        <v>15174.8352</v>
      </c>
    </row>
    <row r="152" spans="1:12" ht="20.25" customHeight="1" x14ac:dyDescent="0.35">
      <c r="A152" s="43">
        <v>21</v>
      </c>
      <c r="B152" s="43" t="s">
        <v>280</v>
      </c>
      <c r="C152" s="68" t="s">
        <v>281</v>
      </c>
      <c r="D152" s="43">
        <v>3</v>
      </c>
      <c r="E152" s="43"/>
      <c r="F152" s="279">
        <v>32</v>
      </c>
      <c r="G152" s="279"/>
      <c r="H152" s="43">
        <v>24500</v>
      </c>
      <c r="I152" s="26">
        <f t="shared" si="18"/>
        <v>17150</v>
      </c>
      <c r="J152" s="26">
        <f t="shared" si="19"/>
        <v>16464</v>
      </c>
      <c r="K152" s="26">
        <f t="shared" si="20"/>
        <v>15970.08</v>
      </c>
      <c r="L152" s="26">
        <f t="shared" si="20"/>
        <v>15490.9776</v>
      </c>
    </row>
    <row r="153" spans="1:12" ht="20.25" customHeight="1" x14ac:dyDescent="0.35">
      <c r="A153" s="43">
        <v>22</v>
      </c>
      <c r="B153" s="43" t="s">
        <v>282</v>
      </c>
      <c r="C153" s="68" t="s">
        <v>283</v>
      </c>
      <c r="D153" s="43">
        <v>3</v>
      </c>
      <c r="E153" s="43"/>
      <c r="F153" s="279">
        <v>65</v>
      </c>
      <c r="G153" s="279"/>
      <c r="H153" s="43">
        <v>23690</v>
      </c>
      <c r="I153" s="26">
        <f t="shared" si="18"/>
        <v>16583</v>
      </c>
      <c r="J153" s="26">
        <f t="shared" si="19"/>
        <v>15919.68</v>
      </c>
      <c r="K153" s="26">
        <f t="shared" si="20"/>
        <v>15442.089599999999</v>
      </c>
      <c r="L153" s="26">
        <f t="shared" si="20"/>
        <v>14978.826911999999</v>
      </c>
    </row>
    <row r="154" spans="1:12" ht="20.25" customHeight="1" x14ac:dyDescent="0.35">
      <c r="A154" s="43">
        <v>23</v>
      </c>
      <c r="B154" s="43" t="s">
        <v>284</v>
      </c>
      <c r="C154" s="68" t="s">
        <v>283</v>
      </c>
      <c r="D154" s="43">
        <v>3</v>
      </c>
      <c r="E154" s="43"/>
      <c r="F154" s="279">
        <v>65</v>
      </c>
      <c r="G154" s="279"/>
      <c r="H154" s="43">
        <v>15450</v>
      </c>
      <c r="I154" s="26">
        <f t="shared" si="18"/>
        <v>10815</v>
      </c>
      <c r="J154" s="26">
        <f t="shared" si="19"/>
        <v>10382.4</v>
      </c>
      <c r="K154" s="26">
        <f t="shared" si="20"/>
        <v>10070.928</v>
      </c>
      <c r="L154" s="26">
        <f t="shared" si="20"/>
        <v>9768.8001599999989</v>
      </c>
    </row>
    <row r="155" spans="1:12" ht="20.25" customHeight="1" x14ac:dyDescent="0.35">
      <c r="A155" s="284" t="s">
        <v>285</v>
      </c>
      <c r="B155" s="284"/>
      <c r="C155" s="284"/>
      <c r="D155" s="284"/>
      <c r="E155" s="284"/>
      <c r="F155" s="284"/>
      <c r="G155" s="284"/>
      <c r="H155" s="281" t="s">
        <v>109</v>
      </c>
      <c r="I155" s="315" t="s">
        <v>504</v>
      </c>
      <c r="J155" s="315"/>
      <c r="K155" s="315"/>
      <c r="L155" s="315"/>
    </row>
    <row r="156" spans="1:12" ht="20.25" customHeight="1" x14ac:dyDescent="0.35">
      <c r="A156" s="281" t="s">
        <v>2</v>
      </c>
      <c r="B156" s="281" t="s">
        <v>3</v>
      </c>
      <c r="C156" s="283" t="s">
        <v>4</v>
      </c>
      <c r="D156" s="281" t="s">
        <v>5</v>
      </c>
      <c r="E156" s="281"/>
      <c r="F156" s="281" t="s">
        <v>6</v>
      </c>
      <c r="G156" s="281"/>
      <c r="H156" s="281"/>
      <c r="I156" s="323">
        <v>0.3</v>
      </c>
      <c r="J156" s="323">
        <v>0.04</v>
      </c>
      <c r="K156" s="323">
        <v>0.03</v>
      </c>
      <c r="L156" s="323">
        <v>0.01</v>
      </c>
    </row>
    <row r="157" spans="1:12" ht="20.25" customHeight="1" x14ac:dyDescent="0.35">
      <c r="A157" s="281"/>
      <c r="B157" s="281"/>
      <c r="C157" s="283"/>
      <c r="D157" s="58" t="s">
        <v>9</v>
      </c>
      <c r="E157" s="58" t="s">
        <v>10</v>
      </c>
      <c r="F157" s="58" t="s">
        <v>11</v>
      </c>
      <c r="G157" s="58" t="s">
        <v>12</v>
      </c>
      <c r="H157" s="281"/>
      <c r="I157" s="324"/>
      <c r="J157" s="324">
        <v>0.04</v>
      </c>
      <c r="K157" s="324">
        <v>0.03</v>
      </c>
      <c r="L157" s="324">
        <v>0.03</v>
      </c>
    </row>
    <row r="158" spans="1:12" ht="20.25" customHeight="1" x14ac:dyDescent="0.35">
      <c r="A158" s="43">
        <v>1</v>
      </c>
      <c r="B158" s="43" t="s">
        <v>286</v>
      </c>
      <c r="C158" s="68" t="s">
        <v>287</v>
      </c>
      <c r="D158" s="43">
        <v>0.5</v>
      </c>
      <c r="E158" s="43"/>
      <c r="F158" s="279">
        <v>32</v>
      </c>
      <c r="G158" s="279"/>
      <c r="H158" s="43">
        <v>6800</v>
      </c>
      <c r="I158" s="26">
        <f t="shared" ref="I158:I172" si="21">H158*0.7</f>
        <v>4760</v>
      </c>
      <c r="J158" s="26">
        <f t="shared" ref="J158:J172" si="22">+I158*0.96</f>
        <v>4569.5999999999995</v>
      </c>
      <c r="K158" s="26">
        <f t="shared" ref="K158:L172" si="23">+J158*0.97</f>
        <v>4432.5119999999997</v>
      </c>
      <c r="L158" s="26">
        <f t="shared" si="23"/>
        <v>4299.5366399999994</v>
      </c>
    </row>
    <row r="159" spans="1:12" ht="20.25" customHeight="1" x14ac:dyDescent="0.35">
      <c r="A159" s="43">
        <v>2</v>
      </c>
      <c r="B159" s="43" t="s">
        <v>288</v>
      </c>
      <c r="C159" s="68" t="s">
        <v>289</v>
      </c>
      <c r="D159" s="43">
        <v>0.5</v>
      </c>
      <c r="E159" s="43"/>
      <c r="F159" s="279">
        <v>32</v>
      </c>
      <c r="G159" s="279"/>
      <c r="H159" s="43">
        <v>7600</v>
      </c>
      <c r="I159" s="26">
        <f t="shared" si="21"/>
        <v>5320</v>
      </c>
      <c r="J159" s="26">
        <f t="shared" si="22"/>
        <v>5107.2</v>
      </c>
      <c r="K159" s="26">
        <f t="shared" si="23"/>
        <v>4953.9839999999995</v>
      </c>
      <c r="L159" s="26">
        <f t="shared" si="23"/>
        <v>4805.3644799999993</v>
      </c>
    </row>
    <row r="160" spans="1:12" ht="20.25" customHeight="1" x14ac:dyDescent="0.35">
      <c r="A160" s="43">
        <v>3</v>
      </c>
      <c r="B160" s="43" t="s">
        <v>290</v>
      </c>
      <c r="C160" s="68" t="s">
        <v>291</v>
      </c>
      <c r="D160" s="43">
        <v>0.75</v>
      </c>
      <c r="E160" s="43"/>
      <c r="F160" s="279">
        <v>32</v>
      </c>
      <c r="G160" s="279"/>
      <c r="H160" s="43">
        <v>7800</v>
      </c>
      <c r="I160" s="26">
        <f t="shared" si="21"/>
        <v>5460</v>
      </c>
      <c r="J160" s="26">
        <f t="shared" si="22"/>
        <v>5241.5999999999995</v>
      </c>
      <c r="K160" s="26">
        <f t="shared" si="23"/>
        <v>5084.351999999999</v>
      </c>
      <c r="L160" s="26">
        <f t="shared" si="23"/>
        <v>4931.8214399999988</v>
      </c>
    </row>
    <row r="161" spans="1:12" ht="20.25" customHeight="1" x14ac:dyDescent="0.35">
      <c r="A161" s="43">
        <v>4</v>
      </c>
      <c r="B161" s="43" t="s">
        <v>292</v>
      </c>
      <c r="C161" s="68" t="s">
        <v>293</v>
      </c>
      <c r="D161" s="43">
        <v>0.75</v>
      </c>
      <c r="E161" s="43"/>
      <c r="F161" s="279">
        <v>32</v>
      </c>
      <c r="G161" s="279"/>
      <c r="H161" s="43">
        <v>8000</v>
      </c>
      <c r="I161" s="26">
        <f t="shared" si="21"/>
        <v>5600</v>
      </c>
      <c r="J161" s="26">
        <f t="shared" si="22"/>
        <v>5376</v>
      </c>
      <c r="K161" s="26">
        <f t="shared" si="23"/>
        <v>5214.72</v>
      </c>
      <c r="L161" s="26">
        <f t="shared" si="23"/>
        <v>5058.2784000000001</v>
      </c>
    </row>
    <row r="162" spans="1:12" ht="20.25" customHeight="1" x14ac:dyDescent="0.35">
      <c r="A162" s="43">
        <v>5</v>
      </c>
      <c r="B162" s="43" t="s">
        <v>294</v>
      </c>
      <c r="C162" s="68" t="s">
        <v>295</v>
      </c>
      <c r="D162" s="43">
        <v>1</v>
      </c>
      <c r="E162" s="43"/>
      <c r="F162" s="279">
        <v>32</v>
      </c>
      <c r="G162" s="279"/>
      <c r="H162" s="43">
        <v>8200</v>
      </c>
      <c r="I162" s="26">
        <f t="shared" si="21"/>
        <v>5740</v>
      </c>
      <c r="J162" s="26">
        <f t="shared" si="22"/>
        <v>5510.4</v>
      </c>
      <c r="K162" s="26">
        <f t="shared" si="23"/>
        <v>5345.0879999999997</v>
      </c>
      <c r="L162" s="26">
        <f t="shared" si="23"/>
        <v>5184.7353599999997</v>
      </c>
    </row>
    <row r="163" spans="1:12" ht="20.25" customHeight="1" x14ac:dyDescent="0.35">
      <c r="A163" s="43">
        <v>6</v>
      </c>
      <c r="B163" s="43" t="s">
        <v>296</v>
      </c>
      <c r="C163" s="68" t="s">
        <v>297</v>
      </c>
      <c r="D163" s="43">
        <v>1</v>
      </c>
      <c r="E163" s="43"/>
      <c r="F163" s="279">
        <v>32</v>
      </c>
      <c r="G163" s="279"/>
      <c r="H163" s="43">
        <v>8400</v>
      </c>
      <c r="I163" s="26">
        <f t="shared" si="21"/>
        <v>5880</v>
      </c>
      <c r="J163" s="26">
        <f t="shared" si="22"/>
        <v>5644.8</v>
      </c>
      <c r="K163" s="26">
        <f t="shared" si="23"/>
        <v>5475.4560000000001</v>
      </c>
      <c r="L163" s="26">
        <f t="shared" si="23"/>
        <v>5311.1923200000001</v>
      </c>
    </row>
    <row r="164" spans="1:12" ht="20.25" customHeight="1" x14ac:dyDescent="0.35">
      <c r="A164" s="43">
        <v>7</v>
      </c>
      <c r="B164" s="43" t="s">
        <v>298</v>
      </c>
      <c r="C164" s="68" t="s">
        <v>299</v>
      </c>
      <c r="D164" s="43">
        <v>1</v>
      </c>
      <c r="E164" s="43"/>
      <c r="F164" s="279">
        <v>32</v>
      </c>
      <c r="G164" s="279"/>
      <c r="H164" s="43">
        <v>8600</v>
      </c>
      <c r="I164" s="26">
        <f t="shared" si="21"/>
        <v>6020</v>
      </c>
      <c r="J164" s="26">
        <f t="shared" si="22"/>
        <v>5779.2</v>
      </c>
      <c r="K164" s="26">
        <f t="shared" si="23"/>
        <v>5605.8239999999996</v>
      </c>
      <c r="L164" s="26">
        <f t="shared" si="23"/>
        <v>5437.6492799999996</v>
      </c>
    </row>
    <row r="165" spans="1:12" ht="20.25" customHeight="1" x14ac:dyDescent="0.35">
      <c r="A165" s="43">
        <v>8</v>
      </c>
      <c r="B165" s="43" t="s">
        <v>300</v>
      </c>
      <c r="C165" s="68" t="s">
        <v>301</v>
      </c>
      <c r="D165" s="43">
        <v>1.5</v>
      </c>
      <c r="E165" s="43"/>
      <c r="F165" s="279">
        <v>32</v>
      </c>
      <c r="G165" s="279"/>
      <c r="H165" s="43">
        <v>9000</v>
      </c>
      <c r="I165" s="26">
        <f t="shared" si="21"/>
        <v>6300</v>
      </c>
      <c r="J165" s="26">
        <f t="shared" si="22"/>
        <v>6048</v>
      </c>
      <c r="K165" s="26">
        <f t="shared" si="23"/>
        <v>5866.5599999999995</v>
      </c>
      <c r="L165" s="26">
        <f t="shared" si="23"/>
        <v>5690.5631999999996</v>
      </c>
    </row>
    <row r="166" spans="1:12" ht="20.25" customHeight="1" x14ac:dyDescent="0.35">
      <c r="A166" s="43">
        <v>9</v>
      </c>
      <c r="B166" s="43" t="s">
        <v>302</v>
      </c>
      <c r="C166" s="68" t="s">
        <v>303</v>
      </c>
      <c r="D166" s="43">
        <v>1.5</v>
      </c>
      <c r="E166" s="43"/>
      <c r="F166" s="279">
        <v>32</v>
      </c>
      <c r="G166" s="279"/>
      <c r="H166" s="43">
        <v>10600</v>
      </c>
      <c r="I166" s="26">
        <f t="shared" si="21"/>
        <v>7419.9999999999991</v>
      </c>
      <c r="J166" s="26">
        <f t="shared" si="22"/>
        <v>7123.1999999999989</v>
      </c>
      <c r="K166" s="26">
        <f t="shared" si="23"/>
        <v>6909.503999999999</v>
      </c>
      <c r="L166" s="26">
        <f t="shared" si="23"/>
        <v>6702.2188799999985</v>
      </c>
    </row>
    <row r="167" spans="1:12" ht="20.25" customHeight="1" x14ac:dyDescent="0.35">
      <c r="A167" s="43">
        <v>10</v>
      </c>
      <c r="B167" s="43" t="s">
        <v>304</v>
      </c>
      <c r="C167" s="68" t="s">
        <v>305</v>
      </c>
      <c r="D167" s="43">
        <v>1.5</v>
      </c>
      <c r="E167" s="43"/>
      <c r="F167" s="279">
        <v>32</v>
      </c>
      <c r="G167" s="279"/>
      <c r="H167" s="43">
        <v>11000</v>
      </c>
      <c r="I167" s="26">
        <f t="shared" si="21"/>
        <v>7699.9999999999991</v>
      </c>
      <c r="J167" s="26">
        <f t="shared" si="22"/>
        <v>7391.9999999999991</v>
      </c>
      <c r="K167" s="26">
        <f t="shared" si="23"/>
        <v>7170.2399999999989</v>
      </c>
      <c r="L167" s="26">
        <f t="shared" si="23"/>
        <v>6955.1327999999985</v>
      </c>
    </row>
    <row r="168" spans="1:12" ht="20.25" customHeight="1" x14ac:dyDescent="0.35">
      <c r="A168" s="43">
        <v>11</v>
      </c>
      <c r="B168" s="43" t="s">
        <v>306</v>
      </c>
      <c r="C168" s="68" t="s">
        <v>307</v>
      </c>
      <c r="D168" s="43">
        <v>2</v>
      </c>
      <c r="E168" s="43"/>
      <c r="F168" s="279">
        <v>32</v>
      </c>
      <c r="G168" s="279"/>
      <c r="H168" s="43">
        <v>13000</v>
      </c>
      <c r="I168" s="26">
        <f t="shared" si="21"/>
        <v>9100</v>
      </c>
      <c r="J168" s="26">
        <f t="shared" si="22"/>
        <v>8736</v>
      </c>
      <c r="K168" s="26">
        <f t="shared" si="23"/>
        <v>8473.92</v>
      </c>
      <c r="L168" s="26">
        <f t="shared" si="23"/>
        <v>8219.7024000000001</v>
      </c>
    </row>
    <row r="169" spans="1:12" ht="20.25" customHeight="1" x14ac:dyDescent="0.35">
      <c r="A169" s="43">
        <v>12</v>
      </c>
      <c r="B169" s="43" t="s">
        <v>308</v>
      </c>
      <c r="C169" s="68" t="s">
        <v>309</v>
      </c>
      <c r="D169" s="43">
        <v>2</v>
      </c>
      <c r="E169" s="43"/>
      <c r="F169" s="279">
        <v>32</v>
      </c>
      <c r="G169" s="279"/>
      <c r="H169" s="43">
        <v>15500</v>
      </c>
      <c r="I169" s="26">
        <f t="shared" si="21"/>
        <v>10850</v>
      </c>
      <c r="J169" s="26">
        <f t="shared" si="22"/>
        <v>10416</v>
      </c>
      <c r="K169" s="26">
        <f t="shared" si="23"/>
        <v>10103.52</v>
      </c>
      <c r="L169" s="26">
        <f t="shared" si="23"/>
        <v>9800.4143999999997</v>
      </c>
    </row>
    <row r="170" spans="1:12" ht="20.25" customHeight="1" x14ac:dyDescent="0.35">
      <c r="A170" s="43">
        <v>13</v>
      </c>
      <c r="B170" s="43" t="s">
        <v>310</v>
      </c>
      <c r="C170" s="68" t="s">
        <v>311</v>
      </c>
      <c r="D170" s="43">
        <v>3</v>
      </c>
      <c r="E170" s="43"/>
      <c r="F170" s="279">
        <v>32</v>
      </c>
      <c r="G170" s="279"/>
      <c r="H170" s="43">
        <v>19000</v>
      </c>
      <c r="I170" s="26">
        <f t="shared" si="21"/>
        <v>13300</v>
      </c>
      <c r="J170" s="26">
        <f t="shared" si="22"/>
        <v>12768</v>
      </c>
      <c r="K170" s="26">
        <f t="shared" si="23"/>
        <v>12384.96</v>
      </c>
      <c r="L170" s="26">
        <f t="shared" si="23"/>
        <v>12013.411199999999</v>
      </c>
    </row>
    <row r="171" spans="1:12" ht="20.25" customHeight="1" x14ac:dyDescent="0.35">
      <c r="A171" s="43">
        <v>14</v>
      </c>
      <c r="B171" s="43" t="s">
        <v>312</v>
      </c>
      <c r="C171" s="68" t="s">
        <v>313</v>
      </c>
      <c r="D171" s="43">
        <v>3</v>
      </c>
      <c r="E171" s="43"/>
      <c r="F171" s="279">
        <v>32</v>
      </c>
      <c r="G171" s="279"/>
      <c r="H171" s="43">
        <v>20000</v>
      </c>
      <c r="I171" s="26">
        <f t="shared" si="21"/>
        <v>14000</v>
      </c>
      <c r="J171" s="26">
        <f t="shared" si="22"/>
        <v>13440</v>
      </c>
      <c r="K171" s="26">
        <f t="shared" si="23"/>
        <v>13036.8</v>
      </c>
      <c r="L171" s="26">
        <f t="shared" si="23"/>
        <v>12645.695999999998</v>
      </c>
    </row>
    <row r="172" spans="1:12" ht="20.25" customHeight="1" x14ac:dyDescent="0.35">
      <c r="A172" s="43">
        <v>15</v>
      </c>
      <c r="B172" s="43" t="s">
        <v>314</v>
      </c>
      <c r="C172" s="68" t="s">
        <v>315</v>
      </c>
      <c r="D172" s="43">
        <v>3</v>
      </c>
      <c r="E172" s="43"/>
      <c r="F172" s="279">
        <v>32</v>
      </c>
      <c r="G172" s="279"/>
      <c r="H172" s="43">
        <v>20500</v>
      </c>
      <c r="I172" s="26">
        <f t="shared" si="21"/>
        <v>14349.999999999998</v>
      </c>
      <c r="J172" s="26">
        <f t="shared" si="22"/>
        <v>13775.999999999998</v>
      </c>
      <c r="K172" s="26">
        <f t="shared" si="23"/>
        <v>13362.719999999998</v>
      </c>
      <c r="L172" s="26">
        <f t="shared" si="23"/>
        <v>12961.838399999997</v>
      </c>
    </row>
  </sheetData>
  <mergeCells count="122">
    <mergeCell ref="I7:L7"/>
    <mergeCell ref="I8:L8"/>
    <mergeCell ref="I9:L9"/>
    <mergeCell ref="I10:L10"/>
    <mergeCell ref="I26:L26"/>
    <mergeCell ref="I27:L27"/>
    <mergeCell ref="A1:L3"/>
    <mergeCell ref="A4:L4"/>
    <mergeCell ref="A5:A6"/>
    <mergeCell ref="B5:B6"/>
    <mergeCell ref="C5:C6"/>
    <mergeCell ref="D5:E5"/>
    <mergeCell ref="F5:G5"/>
    <mergeCell ref="H5:H6"/>
    <mergeCell ref="I5:L5"/>
    <mergeCell ref="F56:G56"/>
    <mergeCell ref="I56:I57"/>
    <mergeCell ref="J56:J57"/>
    <mergeCell ref="K56:K57"/>
    <mergeCell ref="L56:L57"/>
    <mergeCell ref="D58:D59"/>
    <mergeCell ref="E58:E59"/>
    <mergeCell ref="I31:L31"/>
    <mergeCell ref="I32:L32"/>
    <mergeCell ref="I47:L47"/>
    <mergeCell ref="A55:G55"/>
    <mergeCell ref="H55:H57"/>
    <mergeCell ref="I55:L55"/>
    <mergeCell ref="A56:A57"/>
    <mergeCell ref="B56:B57"/>
    <mergeCell ref="C56:C57"/>
    <mergeCell ref="D56:E56"/>
    <mergeCell ref="D92:D103"/>
    <mergeCell ref="E92:E103"/>
    <mergeCell ref="D104:D106"/>
    <mergeCell ref="E104:E106"/>
    <mergeCell ref="D108:D109"/>
    <mergeCell ref="E108:E109"/>
    <mergeCell ref="D61:D66"/>
    <mergeCell ref="E61:E66"/>
    <mergeCell ref="D67:D73"/>
    <mergeCell ref="E67:E73"/>
    <mergeCell ref="D74:D91"/>
    <mergeCell ref="E74:E91"/>
    <mergeCell ref="I115:I116"/>
    <mergeCell ref="J115:J116"/>
    <mergeCell ref="K115:K116"/>
    <mergeCell ref="L115:L116"/>
    <mergeCell ref="I117:L117"/>
    <mergeCell ref="I118:L118"/>
    <mergeCell ref="D110:D113"/>
    <mergeCell ref="E110:E113"/>
    <mergeCell ref="A114:G114"/>
    <mergeCell ref="H114:H116"/>
    <mergeCell ref="I114:L114"/>
    <mergeCell ref="A115:A116"/>
    <mergeCell ref="B115:B116"/>
    <mergeCell ref="C115:C116"/>
    <mergeCell ref="D115:E115"/>
    <mergeCell ref="F115:G115"/>
    <mergeCell ref="A129:G129"/>
    <mergeCell ref="H129:H131"/>
    <mergeCell ref="I129:L129"/>
    <mergeCell ref="A130:A131"/>
    <mergeCell ref="B130:B131"/>
    <mergeCell ref="C130:C131"/>
    <mergeCell ref="D130:E130"/>
    <mergeCell ref="F130:G131"/>
    <mergeCell ref="I130:I131"/>
    <mergeCell ref="J130:J131"/>
    <mergeCell ref="F136:G136"/>
    <mergeCell ref="F137:G137"/>
    <mergeCell ref="F138:G138"/>
    <mergeCell ref="F139:G139"/>
    <mergeCell ref="F140:G140"/>
    <mergeCell ref="F141:G141"/>
    <mergeCell ref="K130:K131"/>
    <mergeCell ref="L130:L131"/>
    <mergeCell ref="F132:G132"/>
    <mergeCell ref="F133:G133"/>
    <mergeCell ref="F134:G134"/>
    <mergeCell ref="F135:G135"/>
    <mergeCell ref="F148:G148"/>
    <mergeCell ref="F149:G149"/>
    <mergeCell ref="F150:G150"/>
    <mergeCell ref="F151:G151"/>
    <mergeCell ref="F152:G152"/>
    <mergeCell ref="F153:G153"/>
    <mergeCell ref="F142:G142"/>
    <mergeCell ref="F143:G143"/>
    <mergeCell ref="F144:G144"/>
    <mergeCell ref="F145:G145"/>
    <mergeCell ref="F146:G146"/>
    <mergeCell ref="F147:G147"/>
    <mergeCell ref="J156:J157"/>
    <mergeCell ref="K156:K157"/>
    <mergeCell ref="L156:L157"/>
    <mergeCell ref="F158:G158"/>
    <mergeCell ref="F159:G159"/>
    <mergeCell ref="F160:G160"/>
    <mergeCell ref="F154:G154"/>
    <mergeCell ref="A155:G155"/>
    <mergeCell ref="H155:H157"/>
    <mergeCell ref="I155:L155"/>
    <mergeCell ref="A156:A157"/>
    <mergeCell ref="B156:B157"/>
    <mergeCell ref="C156:C157"/>
    <mergeCell ref="D156:E156"/>
    <mergeCell ref="F156:G156"/>
    <mergeCell ref="I156:I157"/>
    <mergeCell ref="F167:G167"/>
    <mergeCell ref="F168:G168"/>
    <mergeCell ref="F169:G169"/>
    <mergeCell ref="F170:G170"/>
    <mergeCell ref="F171:G171"/>
    <mergeCell ref="F172:G172"/>
    <mergeCell ref="F161:G161"/>
    <mergeCell ref="F162:G162"/>
    <mergeCell ref="F163:G163"/>
    <mergeCell ref="F164:G164"/>
    <mergeCell ref="F165:G165"/>
    <mergeCell ref="F166:G166"/>
  </mergeCells>
  <conditionalFormatting sqref="B5:B172">
    <cfRule type="duplicateValues" dxfId="20" priority="1"/>
    <cfRule type="duplicateValues" dxfId="19" priority="2"/>
  </conditionalFormatting>
  <pageMargins left="0.7" right="0.7" top="0.75" bottom="0.75" header="0.3" footer="0.3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J174"/>
  <sheetViews>
    <sheetView topLeftCell="A109" workbookViewId="0">
      <selection activeCell="I118" sqref="I118:J118"/>
    </sheetView>
  </sheetViews>
  <sheetFormatPr defaultRowHeight="20.25" customHeight="1" x14ac:dyDescent="0.35"/>
  <cols>
    <col min="2" max="2" width="14.1796875" customWidth="1"/>
    <col min="3" max="3" width="19.1796875" customWidth="1"/>
    <col min="10" max="10" width="9.54296875" bestFit="1" customWidth="1"/>
  </cols>
  <sheetData>
    <row r="1" spans="1:10" ht="20.25" customHeight="1" x14ac:dyDescent="0.35">
      <c r="A1" s="203" t="s">
        <v>0</v>
      </c>
      <c r="B1" s="204"/>
      <c r="C1" s="204"/>
      <c r="D1" s="204"/>
      <c r="E1" s="204"/>
      <c r="F1" s="204"/>
      <c r="G1" s="204"/>
      <c r="H1" s="204"/>
      <c r="I1" s="204"/>
      <c r="J1" s="204"/>
    </row>
    <row r="2" spans="1:10" ht="20.25" customHeight="1" x14ac:dyDescent="0.35">
      <c r="A2" s="203"/>
      <c r="B2" s="204"/>
      <c r="C2" s="204"/>
      <c r="D2" s="204"/>
      <c r="E2" s="204"/>
      <c r="F2" s="204"/>
      <c r="G2" s="204"/>
      <c r="H2" s="204"/>
      <c r="I2" s="204"/>
      <c r="J2" s="204"/>
    </row>
    <row r="3" spans="1:10" ht="9.75" customHeight="1" x14ac:dyDescent="0.35">
      <c r="A3" s="203"/>
      <c r="B3" s="204"/>
      <c r="C3" s="204"/>
      <c r="D3" s="204"/>
      <c r="E3" s="204"/>
      <c r="F3" s="204"/>
      <c r="G3" s="204"/>
      <c r="H3" s="204"/>
      <c r="I3" s="204"/>
      <c r="J3" s="204"/>
    </row>
    <row r="4" spans="1:10" ht="32.25" customHeight="1" x14ac:dyDescent="0.35">
      <c r="A4" s="205" t="s">
        <v>539</v>
      </c>
      <c r="B4" s="206"/>
      <c r="C4" s="206"/>
      <c r="D4" s="206"/>
      <c r="E4" s="206"/>
      <c r="F4" s="206"/>
      <c r="G4" s="206"/>
      <c r="H4" s="206"/>
      <c r="I4" s="206"/>
      <c r="J4" s="206"/>
    </row>
    <row r="5" spans="1:10" ht="20.25" customHeight="1" x14ac:dyDescent="0.35">
      <c r="A5" s="287" t="s">
        <v>2</v>
      </c>
      <c r="B5" s="287" t="s">
        <v>3</v>
      </c>
      <c r="C5" s="287" t="s">
        <v>4</v>
      </c>
      <c r="D5" s="287" t="s">
        <v>5</v>
      </c>
      <c r="E5" s="287"/>
      <c r="F5" s="287" t="s">
        <v>6</v>
      </c>
      <c r="G5" s="287"/>
      <c r="H5" s="305" t="s">
        <v>7</v>
      </c>
      <c r="I5" s="315" t="s">
        <v>505</v>
      </c>
      <c r="J5" s="315"/>
    </row>
    <row r="6" spans="1:10" ht="20.25" customHeight="1" x14ac:dyDescent="0.35">
      <c r="A6" s="287"/>
      <c r="B6" s="287"/>
      <c r="C6" s="287"/>
      <c r="D6" s="11" t="s">
        <v>9</v>
      </c>
      <c r="E6" s="11" t="s">
        <v>10</v>
      </c>
      <c r="F6" s="11" t="s">
        <v>11</v>
      </c>
      <c r="G6" s="11" t="s">
        <v>12</v>
      </c>
      <c r="H6" s="305"/>
      <c r="I6" s="41">
        <v>0.37</v>
      </c>
      <c r="J6" s="106">
        <v>0.03</v>
      </c>
    </row>
    <row r="7" spans="1:10" ht="20.25" customHeight="1" x14ac:dyDescent="0.35">
      <c r="A7" s="42">
        <v>1</v>
      </c>
      <c r="B7" s="43" t="s">
        <v>13</v>
      </c>
      <c r="C7" s="44" t="s">
        <v>14</v>
      </c>
      <c r="D7" s="45">
        <v>0.5</v>
      </c>
      <c r="E7" s="45">
        <v>0.37</v>
      </c>
      <c r="F7" s="45">
        <v>25</v>
      </c>
      <c r="G7" s="45">
        <v>25</v>
      </c>
      <c r="H7" s="46">
        <v>2640</v>
      </c>
      <c r="I7" s="309">
        <f>H7*0.63</f>
        <v>1663.2</v>
      </c>
      <c r="J7" s="309"/>
    </row>
    <row r="8" spans="1:10" ht="20.25" customHeight="1" x14ac:dyDescent="0.35">
      <c r="A8" s="42">
        <v>2</v>
      </c>
      <c r="B8" s="43" t="s">
        <v>15</v>
      </c>
      <c r="C8" s="44" t="s">
        <v>16</v>
      </c>
      <c r="D8" s="45">
        <v>1</v>
      </c>
      <c r="E8" s="45">
        <v>0.75</v>
      </c>
      <c r="F8" s="45">
        <v>25</v>
      </c>
      <c r="G8" s="45">
        <v>25</v>
      </c>
      <c r="H8" s="46">
        <v>3420</v>
      </c>
      <c r="I8" s="309">
        <f t="shared" ref="I8:I53" si="0">H8*0.63</f>
        <v>2154.6</v>
      </c>
      <c r="J8" s="309"/>
    </row>
    <row r="9" spans="1:10" ht="20.25" customHeight="1" x14ac:dyDescent="0.35">
      <c r="A9" s="43">
        <v>3</v>
      </c>
      <c r="B9" s="43" t="s">
        <v>17</v>
      </c>
      <c r="C9" s="44" t="s">
        <v>18</v>
      </c>
      <c r="D9" s="45">
        <v>0.5</v>
      </c>
      <c r="E9" s="45">
        <v>0.37</v>
      </c>
      <c r="F9" s="45">
        <v>25</v>
      </c>
      <c r="G9" s="45">
        <v>25</v>
      </c>
      <c r="H9" s="46">
        <v>2840</v>
      </c>
      <c r="I9" s="309">
        <f t="shared" si="0"/>
        <v>1789.2</v>
      </c>
      <c r="J9" s="309"/>
    </row>
    <row r="10" spans="1:10" ht="20.25" customHeight="1" x14ac:dyDescent="0.35">
      <c r="A10" s="42">
        <v>4</v>
      </c>
      <c r="B10" s="43" t="s">
        <v>19</v>
      </c>
      <c r="C10" s="44" t="s">
        <v>20</v>
      </c>
      <c r="D10" s="45">
        <v>1</v>
      </c>
      <c r="E10" s="45">
        <v>0.75</v>
      </c>
      <c r="F10" s="45">
        <v>25</v>
      </c>
      <c r="G10" s="45">
        <v>25</v>
      </c>
      <c r="H10" s="46">
        <v>3660</v>
      </c>
      <c r="I10" s="309">
        <f t="shared" si="0"/>
        <v>2305.8000000000002</v>
      </c>
      <c r="J10" s="309"/>
    </row>
    <row r="11" spans="1:10" ht="20.25" customHeight="1" x14ac:dyDescent="0.35">
      <c r="A11" s="42">
        <v>5</v>
      </c>
      <c r="B11" s="42" t="s">
        <v>21</v>
      </c>
      <c r="C11" s="48" t="s">
        <v>22</v>
      </c>
      <c r="D11" s="45">
        <v>0.5</v>
      </c>
      <c r="E11" s="45">
        <v>0.37</v>
      </c>
      <c r="F11" s="45">
        <v>25</v>
      </c>
      <c r="G11" s="45">
        <v>25</v>
      </c>
      <c r="H11" s="73">
        <v>3160</v>
      </c>
      <c r="I11" s="47">
        <f t="shared" si="0"/>
        <v>1990.8</v>
      </c>
      <c r="J11" s="93">
        <f>I11*0.97</f>
        <v>1931.0759999999998</v>
      </c>
    </row>
    <row r="12" spans="1:10" ht="20.25" customHeight="1" x14ac:dyDescent="0.35">
      <c r="A12" s="42">
        <v>6</v>
      </c>
      <c r="B12" s="42" t="s">
        <v>23</v>
      </c>
      <c r="C12" s="48" t="s">
        <v>24</v>
      </c>
      <c r="D12" s="45">
        <v>1</v>
      </c>
      <c r="E12" s="45">
        <v>0.75</v>
      </c>
      <c r="F12" s="45">
        <v>25</v>
      </c>
      <c r="G12" s="45">
        <v>25</v>
      </c>
      <c r="H12" s="73">
        <v>4120</v>
      </c>
      <c r="I12" s="47">
        <f t="shared" si="0"/>
        <v>2595.6</v>
      </c>
      <c r="J12" s="93">
        <f t="shared" ref="J12:J75" si="1">I12*0.97</f>
        <v>2517.732</v>
      </c>
    </row>
    <row r="13" spans="1:10" ht="20.25" customHeight="1" x14ac:dyDescent="0.35">
      <c r="A13" s="43">
        <v>7</v>
      </c>
      <c r="B13" s="43" t="s">
        <v>25</v>
      </c>
      <c r="C13" s="44" t="s">
        <v>26</v>
      </c>
      <c r="D13" s="45">
        <v>1.5</v>
      </c>
      <c r="E13" s="45">
        <v>1</v>
      </c>
      <c r="F13" s="45">
        <v>25</v>
      </c>
      <c r="G13" s="45">
        <v>25</v>
      </c>
      <c r="H13" s="73">
        <v>5750</v>
      </c>
      <c r="I13" s="47">
        <f t="shared" si="0"/>
        <v>3622.5</v>
      </c>
      <c r="J13" s="93">
        <f t="shared" si="1"/>
        <v>3513.8249999999998</v>
      </c>
    </row>
    <row r="14" spans="1:10" ht="20.25" customHeight="1" x14ac:dyDescent="0.35">
      <c r="A14" s="42">
        <v>8</v>
      </c>
      <c r="B14" s="42" t="s">
        <v>27</v>
      </c>
      <c r="C14" s="48" t="s">
        <v>28</v>
      </c>
      <c r="D14" s="45">
        <v>0.5</v>
      </c>
      <c r="E14" s="45">
        <v>0.37</v>
      </c>
      <c r="F14" s="45">
        <v>25</v>
      </c>
      <c r="G14" s="45">
        <v>25</v>
      </c>
      <c r="H14" s="73">
        <v>3520</v>
      </c>
      <c r="I14" s="47">
        <f t="shared" si="0"/>
        <v>2217.6</v>
      </c>
      <c r="J14" s="93">
        <f t="shared" si="1"/>
        <v>2151.0719999999997</v>
      </c>
    </row>
    <row r="15" spans="1:10" ht="20.25" customHeight="1" x14ac:dyDescent="0.35">
      <c r="A15" s="42">
        <v>9</v>
      </c>
      <c r="B15" s="43" t="s">
        <v>29</v>
      </c>
      <c r="C15" s="50" t="s">
        <v>30</v>
      </c>
      <c r="D15" s="45">
        <v>1</v>
      </c>
      <c r="E15" s="45">
        <v>0.75</v>
      </c>
      <c r="F15" s="45">
        <v>25</v>
      </c>
      <c r="G15" s="45">
        <v>25</v>
      </c>
      <c r="H15" s="73">
        <v>3660</v>
      </c>
      <c r="I15" s="47">
        <f t="shared" si="0"/>
        <v>2305.8000000000002</v>
      </c>
      <c r="J15" s="93">
        <f t="shared" si="1"/>
        <v>2236.6260000000002</v>
      </c>
    </row>
    <row r="16" spans="1:10" ht="20.25" customHeight="1" x14ac:dyDescent="0.35">
      <c r="A16" s="42">
        <v>10</v>
      </c>
      <c r="B16" s="43" t="s">
        <v>31</v>
      </c>
      <c r="C16" s="44" t="s">
        <v>32</v>
      </c>
      <c r="D16" s="45">
        <v>1</v>
      </c>
      <c r="E16" s="45">
        <v>0.75</v>
      </c>
      <c r="F16" s="45">
        <v>25</v>
      </c>
      <c r="G16" s="45">
        <v>25</v>
      </c>
      <c r="H16" s="73">
        <v>4220</v>
      </c>
      <c r="I16" s="47">
        <f t="shared" si="0"/>
        <v>2658.6</v>
      </c>
      <c r="J16" s="93">
        <f t="shared" si="1"/>
        <v>2578.8419999999996</v>
      </c>
    </row>
    <row r="17" spans="1:10" ht="20.25" customHeight="1" x14ac:dyDescent="0.35">
      <c r="A17" s="43">
        <v>11</v>
      </c>
      <c r="B17" s="42" t="s">
        <v>33</v>
      </c>
      <c r="C17" s="48" t="s">
        <v>34</v>
      </c>
      <c r="D17" s="45">
        <v>0.75</v>
      </c>
      <c r="E17" s="45">
        <v>0.56000000000000005</v>
      </c>
      <c r="F17" s="45">
        <v>25</v>
      </c>
      <c r="G17" s="45">
        <v>25</v>
      </c>
      <c r="H17" s="73">
        <v>4080</v>
      </c>
      <c r="I17" s="47">
        <f t="shared" si="0"/>
        <v>2570.4</v>
      </c>
      <c r="J17" s="93">
        <f t="shared" si="1"/>
        <v>2493.288</v>
      </c>
    </row>
    <row r="18" spans="1:10" ht="20.25" customHeight="1" x14ac:dyDescent="0.35">
      <c r="A18" s="42">
        <v>12</v>
      </c>
      <c r="B18" s="43" t="s">
        <v>35</v>
      </c>
      <c r="C18" s="51" t="s">
        <v>36</v>
      </c>
      <c r="D18" s="45">
        <v>1</v>
      </c>
      <c r="E18" s="45">
        <v>0.75</v>
      </c>
      <c r="F18" s="45">
        <v>25</v>
      </c>
      <c r="G18" s="45">
        <v>25</v>
      </c>
      <c r="H18" s="73">
        <v>4730</v>
      </c>
      <c r="I18" s="47">
        <f t="shared" si="0"/>
        <v>2979.9</v>
      </c>
      <c r="J18" s="93">
        <f t="shared" si="1"/>
        <v>2890.5030000000002</v>
      </c>
    </row>
    <row r="19" spans="1:10" ht="20.25" customHeight="1" x14ac:dyDescent="0.35">
      <c r="A19" s="42">
        <v>13</v>
      </c>
      <c r="B19" s="43" t="s">
        <v>37</v>
      </c>
      <c r="C19" s="51" t="s">
        <v>38</v>
      </c>
      <c r="D19" s="45">
        <v>1</v>
      </c>
      <c r="E19" s="45">
        <v>0.75</v>
      </c>
      <c r="F19" s="45">
        <v>25</v>
      </c>
      <c r="G19" s="45">
        <v>25</v>
      </c>
      <c r="H19" s="73">
        <v>4730</v>
      </c>
      <c r="I19" s="47">
        <f t="shared" si="0"/>
        <v>2979.9</v>
      </c>
      <c r="J19" s="93">
        <f t="shared" si="1"/>
        <v>2890.5030000000002</v>
      </c>
    </row>
    <row r="20" spans="1:10" ht="20.25" customHeight="1" x14ac:dyDescent="0.35">
      <c r="A20" s="42">
        <v>14</v>
      </c>
      <c r="B20" s="42" t="s">
        <v>39</v>
      </c>
      <c r="C20" s="48" t="s">
        <v>40</v>
      </c>
      <c r="D20" s="45">
        <v>1</v>
      </c>
      <c r="E20" s="45">
        <v>0.75</v>
      </c>
      <c r="F20" s="45">
        <v>25</v>
      </c>
      <c r="G20" s="45">
        <v>25</v>
      </c>
      <c r="H20" s="73">
        <v>5170</v>
      </c>
      <c r="I20" s="47">
        <f t="shared" si="0"/>
        <v>3257.1</v>
      </c>
      <c r="J20" s="93">
        <f t="shared" si="1"/>
        <v>3159.3869999999997</v>
      </c>
    </row>
    <row r="21" spans="1:10" ht="20.25" customHeight="1" x14ac:dyDescent="0.35">
      <c r="A21" s="43">
        <v>15</v>
      </c>
      <c r="B21" s="42" t="s">
        <v>41</v>
      </c>
      <c r="C21" s="48" t="s">
        <v>42</v>
      </c>
      <c r="D21" s="45">
        <v>1</v>
      </c>
      <c r="E21" s="45">
        <v>0.75</v>
      </c>
      <c r="F21" s="45">
        <v>25</v>
      </c>
      <c r="G21" s="45">
        <v>25</v>
      </c>
      <c r="H21" s="73">
        <v>4670</v>
      </c>
      <c r="I21" s="47">
        <f t="shared" si="0"/>
        <v>2942.1</v>
      </c>
      <c r="J21" s="93">
        <f t="shared" si="1"/>
        <v>2853.837</v>
      </c>
    </row>
    <row r="22" spans="1:10" ht="20.25" customHeight="1" x14ac:dyDescent="0.35">
      <c r="A22" s="42">
        <v>16</v>
      </c>
      <c r="B22" s="43" t="s">
        <v>43</v>
      </c>
      <c r="C22" s="44" t="s">
        <v>44</v>
      </c>
      <c r="D22" s="45">
        <v>1.2</v>
      </c>
      <c r="E22" s="45">
        <v>0.9</v>
      </c>
      <c r="F22" s="45">
        <v>25</v>
      </c>
      <c r="G22" s="45">
        <v>25</v>
      </c>
      <c r="H22" s="73">
        <v>6650</v>
      </c>
      <c r="I22" s="47">
        <f t="shared" si="0"/>
        <v>4189.5</v>
      </c>
      <c r="J22" s="93">
        <f t="shared" si="1"/>
        <v>4063.8150000000001</v>
      </c>
    </row>
    <row r="23" spans="1:10" ht="20.25" customHeight="1" x14ac:dyDescent="0.35">
      <c r="A23" s="42">
        <v>17</v>
      </c>
      <c r="B23" s="42" t="s">
        <v>45</v>
      </c>
      <c r="C23" s="48" t="s">
        <v>46</v>
      </c>
      <c r="D23" s="45">
        <v>1.5</v>
      </c>
      <c r="E23" s="45">
        <v>1.1000000000000001</v>
      </c>
      <c r="F23" s="45">
        <v>25</v>
      </c>
      <c r="G23" s="45">
        <v>25</v>
      </c>
      <c r="H23" s="73">
        <v>8150</v>
      </c>
      <c r="I23" s="47">
        <f t="shared" si="0"/>
        <v>5134.5</v>
      </c>
      <c r="J23" s="93">
        <f t="shared" si="1"/>
        <v>4980.4650000000001</v>
      </c>
    </row>
    <row r="24" spans="1:10" ht="20.25" customHeight="1" x14ac:dyDescent="0.35">
      <c r="A24" s="42">
        <v>18</v>
      </c>
      <c r="B24" s="42" t="s">
        <v>47</v>
      </c>
      <c r="C24" s="48" t="s">
        <v>48</v>
      </c>
      <c r="D24" s="45">
        <v>2</v>
      </c>
      <c r="E24" s="45">
        <v>1.5</v>
      </c>
      <c r="F24" s="45">
        <v>25</v>
      </c>
      <c r="G24" s="45">
        <v>25</v>
      </c>
      <c r="H24" s="73">
        <v>9190</v>
      </c>
      <c r="I24" s="47">
        <f t="shared" si="0"/>
        <v>5789.7</v>
      </c>
      <c r="J24" s="93">
        <f t="shared" si="1"/>
        <v>5616.009</v>
      </c>
    </row>
    <row r="25" spans="1:10" ht="20.25" customHeight="1" x14ac:dyDescent="0.35">
      <c r="A25" s="43">
        <v>19</v>
      </c>
      <c r="B25" s="42" t="s">
        <v>49</v>
      </c>
      <c r="C25" s="48" t="s">
        <v>50</v>
      </c>
      <c r="D25" s="45">
        <v>0.5</v>
      </c>
      <c r="E25" s="45">
        <v>0.37</v>
      </c>
      <c r="F25" s="45">
        <v>25</v>
      </c>
      <c r="G25" s="45">
        <v>25</v>
      </c>
      <c r="H25" s="73">
        <v>3310</v>
      </c>
      <c r="I25" s="47">
        <f t="shared" si="0"/>
        <v>2085.3000000000002</v>
      </c>
      <c r="J25" s="93">
        <f t="shared" si="1"/>
        <v>2022.7410000000002</v>
      </c>
    </row>
    <row r="26" spans="1:10" ht="20.25" customHeight="1" x14ac:dyDescent="0.35">
      <c r="A26" s="42">
        <v>20</v>
      </c>
      <c r="B26" s="43" t="s">
        <v>51</v>
      </c>
      <c r="C26" s="44" t="s">
        <v>52</v>
      </c>
      <c r="D26" s="45">
        <v>0.5</v>
      </c>
      <c r="E26" s="45">
        <v>0.37</v>
      </c>
      <c r="F26" s="45">
        <v>25</v>
      </c>
      <c r="G26" s="45">
        <v>25</v>
      </c>
      <c r="H26" s="74">
        <v>4380</v>
      </c>
      <c r="I26" s="47">
        <f t="shared" si="0"/>
        <v>2759.4</v>
      </c>
      <c r="J26" s="93">
        <f t="shared" si="1"/>
        <v>2676.6179999999999</v>
      </c>
    </row>
    <row r="27" spans="1:10" ht="20.25" customHeight="1" x14ac:dyDescent="0.35">
      <c r="A27" s="42">
        <v>21</v>
      </c>
      <c r="B27" s="43" t="s">
        <v>53</v>
      </c>
      <c r="C27" s="44" t="s">
        <v>54</v>
      </c>
      <c r="D27" s="45">
        <v>1</v>
      </c>
      <c r="E27" s="45">
        <v>0.75</v>
      </c>
      <c r="F27" s="45">
        <v>25</v>
      </c>
      <c r="G27" s="45">
        <v>25</v>
      </c>
      <c r="H27" s="74">
        <v>5300</v>
      </c>
      <c r="I27" s="47">
        <f t="shared" si="0"/>
        <v>3339</v>
      </c>
      <c r="J27" s="93">
        <f t="shared" si="1"/>
        <v>3238.83</v>
      </c>
    </row>
    <row r="28" spans="1:10" ht="20.25" customHeight="1" x14ac:dyDescent="0.35">
      <c r="A28" s="42">
        <v>22</v>
      </c>
      <c r="B28" s="42" t="s">
        <v>55</v>
      </c>
      <c r="C28" s="48" t="s">
        <v>56</v>
      </c>
      <c r="D28" s="45">
        <v>1.1000000000000001</v>
      </c>
      <c r="E28" s="45">
        <v>0.8</v>
      </c>
      <c r="F28" s="45">
        <v>25</v>
      </c>
      <c r="G28" s="45">
        <v>25</v>
      </c>
      <c r="H28" s="73">
        <v>5040</v>
      </c>
      <c r="I28" s="47">
        <f t="shared" si="0"/>
        <v>3175.2</v>
      </c>
      <c r="J28" s="93">
        <f t="shared" si="1"/>
        <v>3079.944</v>
      </c>
    </row>
    <row r="29" spans="1:10" ht="20.25" customHeight="1" x14ac:dyDescent="0.35">
      <c r="A29" s="43">
        <v>23</v>
      </c>
      <c r="B29" s="42" t="s">
        <v>57</v>
      </c>
      <c r="C29" s="48" t="s">
        <v>58</v>
      </c>
      <c r="D29" s="45">
        <v>1.1000000000000001</v>
      </c>
      <c r="E29" s="45">
        <v>0.8</v>
      </c>
      <c r="F29" s="45">
        <v>25</v>
      </c>
      <c r="G29" s="45">
        <v>25</v>
      </c>
      <c r="H29" s="73">
        <v>5150</v>
      </c>
      <c r="I29" s="47">
        <f t="shared" si="0"/>
        <v>3244.5</v>
      </c>
      <c r="J29" s="93">
        <f t="shared" si="1"/>
        <v>3147.165</v>
      </c>
    </row>
    <row r="30" spans="1:10" ht="20.25" customHeight="1" x14ac:dyDescent="0.35">
      <c r="A30" s="42">
        <v>24</v>
      </c>
      <c r="B30" s="43" t="s">
        <v>59</v>
      </c>
      <c r="C30" s="51" t="s">
        <v>60</v>
      </c>
      <c r="D30" s="45">
        <v>1.25</v>
      </c>
      <c r="E30" s="45">
        <v>0.94</v>
      </c>
      <c r="F30" s="45">
        <v>25</v>
      </c>
      <c r="G30" s="45">
        <v>25</v>
      </c>
      <c r="H30" s="73">
        <v>6630</v>
      </c>
      <c r="I30" s="47">
        <f t="shared" si="0"/>
        <v>4176.8999999999996</v>
      </c>
      <c r="J30" s="93">
        <f t="shared" si="1"/>
        <v>4051.5929999999994</v>
      </c>
    </row>
    <row r="31" spans="1:10" ht="20.25" customHeight="1" x14ac:dyDescent="0.35">
      <c r="A31" s="42">
        <v>25</v>
      </c>
      <c r="B31" s="42" t="s">
        <v>61</v>
      </c>
      <c r="C31" s="48" t="s">
        <v>62</v>
      </c>
      <c r="D31" s="53">
        <v>0.5</v>
      </c>
      <c r="E31" s="53">
        <v>0.37</v>
      </c>
      <c r="F31" s="53">
        <v>25</v>
      </c>
      <c r="G31" s="53">
        <v>25</v>
      </c>
      <c r="H31" s="75">
        <v>4950</v>
      </c>
      <c r="I31" s="47">
        <f t="shared" si="0"/>
        <v>3118.5</v>
      </c>
      <c r="J31" s="93">
        <f t="shared" si="1"/>
        <v>3024.9449999999997</v>
      </c>
    </row>
    <row r="32" spans="1:10" ht="20.25" customHeight="1" x14ac:dyDescent="0.35">
      <c r="A32" s="42">
        <v>26</v>
      </c>
      <c r="B32" s="42" t="s">
        <v>63</v>
      </c>
      <c r="C32" s="48" t="s">
        <v>64</v>
      </c>
      <c r="D32" s="53">
        <v>0.5</v>
      </c>
      <c r="E32" s="53">
        <v>0.37</v>
      </c>
      <c r="F32" s="53">
        <v>25</v>
      </c>
      <c r="G32" s="53">
        <v>25</v>
      </c>
      <c r="H32" s="75">
        <v>5000</v>
      </c>
      <c r="I32" s="47">
        <f t="shared" si="0"/>
        <v>3150</v>
      </c>
      <c r="J32" s="93">
        <f t="shared" si="1"/>
        <v>3055.5</v>
      </c>
    </row>
    <row r="33" spans="1:10" ht="20.25" customHeight="1" x14ac:dyDescent="0.35">
      <c r="A33" s="43">
        <v>27</v>
      </c>
      <c r="B33" s="42" t="s">
        <v>65</v>
      </c>
      <c r="C33" s="48" t="s">
        <v>66</v>
      </c>
      <c r="D33" s="45">
        <v>1</v>
      </c>
      <c r="E33" s="45">
        <v>0.75</v>
      </c>
      <c r="F33" s="45">
        <v>25</v>
      </c>
      <c r="G33" s="45">
        <v>25</v>
      </c>
      <c r="H33" s="73">
        <v>5560</v>
      </c>
      <c r="I33" s="47">
        <f t="shared" si="0"/>
        <v>3502.8</v>
      </c>
      <c r="J33" s="93">
        <f t="shared" si="1"/>
        <v>3397.7159999999999</v>
      </c>
    </row>
    <row r="34" spans="1:10" ht="20.25" customHeight="1" x14ac:dyDescent="0.35">
      <c r="A34" s="42">
        <v>28</v>
      </c>
      <c r="B34" s="42" t="s">
        <v>67</v>
      </c>
      <c r="C34" s="48" t="s">
        <v>68</v>
      </c>
      <c r="D34" s="45">
        <v>1</v>
      </c>
      <c r="E34" s="45">
        <v>0.75</v>
      </c>
      <c r="F34" s="45">
        <v>25</v>
      </c>
      <c r="G34" s="45">
        <v>25</v>
      </c>
      <c r="H34" s="73">
        <v>5650</v>
      </c>
      <c r="I34" s="47">
        <f t="shared" si="0"/>
        <v>3559.5</v>
      </c>
      <c r="J34" s="93">
        <f t="shared" si="1"/>
        <v>3452.7149999999997</v>
      </c>
    </row>
    <row r="35" spans="1:10" ht="20.25" customHeight="1" x14ac:dyDescent="0.35">
      <c r="A35" s="42">
        <v>29</v>
      </c>
      <c r="B35" s="42" t="s">
        <v>69</v>
      </c>
      <c r="C35" s="48" t="s">
        <v>70</v>
      </c>
      <c r="D35" s="45">
        <v>1.5</v>
      </c>
      <c r="E35" s="45">
        <v>1.1000000000000001</v>
      </c>
      <c r="F35" s="45">
        <v>25</v>
      </c>
      <c r="G35" s="45">
        <v>25</v>
      </c>
      <c r="H35" s="73">
        <v>7840</v>
      </c>
      <c r="I35" s="47">
        <f t="shared" si="0"/>
        <v>4939.2</v>
      </c>
      <c r="J35" s="93">
        <f t="shared" si="1"/>
        <v>4791.0239999999994</v>
      </c>
    </row>
    <row r="36" spans="1:10" ht="20.25" customHeight="1" x14ac:dyDescent="0.35">
      <c r="A36" s="42">
        <v>30</v>
      </c>
      <c r="B36" s="42" t="s">
        <v>71</v>
      </c>
      <c r="C36" s="48" t="s">
        <v>72</v>
      </c>
      <c r="D36" s="45">
        <v>1.5</v>
      </c>
      <c r="E36" s="45">
        <v>1.1000000000000001</v>
      </c>
      <c r="F36" s="45">
        <v>25</v>
      </c>
      <c r="G36" s="45">
        <v>25</v>
      </c>
      <c r="H36" s="73">
        <v>8170</v>
      </c>
      <c r="I36" s="47">
        <f t="shared" si="0"/>
        <v>5147.1000000000004</v>
      </c>
      <c r="J36" s="93">
        <f t="shared" si="1"/>
        <v>4992.6869999999999</v>
      </c>
    </row>
    <row r="37" spans="1:10" ht="20.25" customHeight="1" x14ac:dyDescent="0.35">
      <c r="A37" s="43">
        <v>31</v>
      </c>
      <c r="B37" s="43" t="s">
        <v>73</v>
      </c>
      <c r="C37" s="44" t="s">
        <v>74</v>
      </c>
      <c r="D37" s="45">
        <v>0.5</v>
      </c>
      <c r="E37" s="45">
        <v>0.37</v>
      </c>
      <c r="F37" s="45">
        <v>25</v>
      </c>
      <c r="G37" s="45">
        <v>25</v>
      </c>
      <c r="H37" s="73">
        <v>6450</v>
      </c>
      <c r="I37" s="47">
        <f t="shared" si="0"/>
        <v>4063.5</v>
      </c>
      <c r="J37" s="93">
        <f t="shared" si="1"/>
        <v>3941.5949999999998</v>
      </c>
    </row>
    <row r="38" spans="1:10" ht="20.25" customHeight="1" x14ac:dyDescent="0.35">
      <c r="A38" s="42">
        <v>32</v>
      </c>
      <c r="B38" s="42" t="s">
        <v>75</v>
      </c>
      <c r="C38" s="48" t="s">
        <v>76</v>
      </c>
      <c r="D38" s="55">
        <v>0.9</v>
      </c>
      <c r="E38" s="55">
        <v>0.7</v>
      </c>
      <c r="F38" s="55">
        <v>25</v>
      </c>
      <c r="G38" s="55">
        <v>25</v>
      </c>
      <c r="H38" s="73">
        <v>6640</v>
      </c>
      <c r="I38" s="47">
        <f t="shared" si="0"/>
        <v>4183.2</v>
      </c>
      <c r="J38" s="93">
        <f t="shared" si="1"/>
        <v>4057.7039999999997</v>
      </c>
    </row>
    <row r="39" spans="1:10" ht="20.25" customHeight="1" x14ac:dyDescent="0.35">
      <c r="A39" s="42">
        <v>33</v>
      </c>
      <c r="B39" s="42" t="s">
        <v>77</v>
      </c>
      <c r="C39" s="48" t="s">
        <v>78</v>
      </c>
      <c r="D39" s="55">
        <v>1</v>
      </c>
      <c r="E39" s="55">
        <v>0.75</v>
      </c>
      <c r="F39" s="55">
        <v>25</v>
      </c>
      <c r="G39" s="55">
        <v>25</v>
      </c>
      <c r="H39" s="73">
        <v>7100</v>
      </c>
      <c r="I39" s="47">
        <f t="shared" si="0"/>
        <v>4473</v>
      </c>
      <c r="J39" s="93">
        <f t="shared" si="1"/>
        <v>4338.8099999999995</v>
      </c>
    </row>
    <row r="40" spans="1:10" ht="20.25" customHeight="1" x14ac:dyDescent="0.35">
      <c r="A40" s="42">
        <v>34</v>
      </c>
      <c r="B40" s="43" t="s">
        <v>79</v>
      </c>
      <c r="C40" s="50" t="s">
        <v>80</v>
      </c>
      <c r="D40" s="55">
        <v>0.5</v>
      </c>
      <c r="E40" s="55">
        <v>0.37</v>
      </c>
      <c r="F40" s="55">
        <v>25</v>
      </c>
      <c r="G40" s="55">
        <v>25</v>
      </c>
      <c r="H40" s="73">
        <v>5500</v>
      </c>
      <c r="I40" s="47">
        <f t="shared" si="0"/>
        <v>3465</v>
      </c>
      <c r="J40" s="93">
        <f t="shared" si="1"/>
        <v>3361.0499999999997</v>
      </c>
    </row>
    <row r="41" spans="1:10" ht="20.25" customHeight="1" x14ac:dyDescent="0.35">
      <c r="A41" s="43">
        <v>35</v>
      </c>
      <c r="B41" s="43"/>
      <c r="C41" s="50" t="s">
        <v>81</v>
      </c>
      <c r="D41" s="55">
        <v>1</v>
      </c>
      <c r="E41" s="55">
        <v>0.75</v>
      </c>
      <c r="F41" s="55">
        <v>25</v>
      </c>
      <c r="G41" s="55">
        <v>25</v>
      </c>
      <c r="H41" s="73">
        <v>6200</v>
      </c>
      <c r="I41" s="47">
        <f t="shared" si="0"/>
        <v>3906</v>
      </c>
      <c r="J41" s="93">
        <f t="shared" si="1"/>
        <v>3788.8199999999997</v>
      </c>
    </row>
    <row r="42" spans="1:10" ht="20.25" customHeight="1" x14ac:dyDescent="0.35">
      <c r="A42" s="42">
        <v>36</v>
      </c>
      <c r="B42" s="43" t="s">
        <v>82</v>
      </c>
      <c r="C42" s="44" t="s">
        <v>83</v>
      </c>
      <c r="D42" s="56">
        <v>0.5</v>
      </c>
      <c r="E42" s="56">
        <v>0.37</v>
      </c>
      <c r="F42" s="56">
        <v>25</v>
      </c>
      <c r="G42" s="56">
        <v>25</v>
      </c>
      <c r="H42" s="73">
        <v>7140</v>
      </c>
      <c r="I42" s="47">
        <f t="shared" si="0"/>
        <v>4498.2</v>
      </c>
      <c r="J42" s="93">
        <f t="shared" si="1"/>
        <v>4363.2539999999999</v>
      </c>
    </row>
    <row r="43" spans="1:10" ht="20.25" customHeight="1" x14ac:dyDescent="0.35">
      <c r="A43" s="42">
        <v>37</v>
      </c>
      <c r="B43" s="42" t="s">
        <v>84</v>
      </c>
      <c r="C43" s="48" t="s">
        <v>85</v>
      </c>
      <c r="D43" s="56">
        <v>1.1000000000000001</v>
      </c>
      <c r="E43" s="56">
        <v>0.8</v>
      </c>
      <c r="F43" s="56">
        <v>25</v>
      </c>
      <c r="G43" s="56">
        <v>25</v>
      </c>
      <c r="H43" s="73">
        <v>7700</v>
      </c>
      <c r="I43" s="47">
        <f t="shared" si="0"/>
        <v>4851</v>
      </c>
      <c r="J43" s="93">
        <f t="shared" si="1"/>
        <v>4705.47</v>
      </c>
    </row>
    <row r="44" spans="1:10" ht="20.25" customHeight="1" x14ac:dyDescent="0.35">
      <c r="A44" s="42">
        <v>38</v>
      </c>
      <c r="B44" s="42" t="s">
        <v>86</v>
      </c>
      <c r="C44" s="48" t="s">
        <v>87</v>
      </c>
      <c r="D44" s="56">
        <v>1.5</v>
      </c>
      <c r="E44" s="56">
        <v>1.1000000000000001</v>
      </c>
      <c r="F44" s="56">
        <v>25</v>
      </c>
      <c r="G44" s="56">
        <v>25</v>
      </c>
      <c r="H44" s="73">
        <v>8690</v>
      </c>
      <c r="I44" s="47">
        <f t="shared" si="0"/>
        <v>5474.7</v>
      </c>
      <c r="J44" s="93">
        <f t="shared" si="1"/>
        <v>5310.4589999999998</v>
      </c>
    </row>
    <row r="45" spans="1:10" ht="20.25" customHeight="1" x14ac:dyDescent="0.35">
      <c r="A45" s="43">
        <v>39</v>
      </c>
      <c r="B45" s="43" t="s">
        <v>88</v>
      </c>
      <c r="C45" s="44" t="s">
        <v>89</v>
      </c>
      <c r="D45" s="45">
        <v>0.5</v>
      </c>
      <c r="E45" s="45">
        <v>0.37</v>
      </c>
      <c r="F45" s="45">
        <v>25</v>
      </c>
      <c r="G45" s="45">
        <v>12</v>
      </c>
      <c r="H45" s="73">
        <v>4860</v>
      </c>
      <c r="I45" s="47">
        <f t="shared" si="0"/>
        <v>3061.8</v>
      </c>
      <c r="J45" s="93">
        <f t="shared" si="1"/>
        <v>2969.9459999999999</v>
      </c>
    </row>
    <row r="46" spans="1:10" ht="20.25" customHeight="1" x14ac:dyDescent="0.35">
      <c r="A46" s="42">
        <v>40</v>
      </c>
      <c r="B46" s="43" t="s">
        <v>90</v>
      </c>
      <c r="C46" s="44" t="s">
        <v>91</v>
      </c>
      <c r="D46" s="45">
        <v>1</v>
      </c>
      <c r="E46" s="45">
        <v>0.75</v>
      </c>
      <c r="F46" s="45">
        <v>25</v>
      </c>
      <c r="G46" s="45">
        <v>25</v>
      </c>
      <c r="H46" s="73">
        <v>5600</v>
      </c>
      <c r="I46" s="47">
        <f t="shared" si="0"/>
        <v>3528</v>
      </c>
      <c r="J46" s="93">
        <f t="shared" si="1"/>
        <v>3422.16</v>
      </c>
    </row>
    <row r="47" spans="1:10" ht="20.25" customHeight="1" x14ac:dyDescent="0.35">
      <c r="A47" s="42">
        <v>41</v>
      </c>
      <c r="B47" s="42" t="s">
        <v>92</v>
      </c>
      <c r="C47" s="48" t="s">
        <v>93</v>
      </c>
      <c r="D47" s="53">
        <v>1</v>
      </c>
      <c r="E47" s="53">
        <v>0.75</v>
      </c>
      <c r="F47" s="53">
        <v>25</v>
      </c>
      <c r="G47" s="53">
        <v>25</v>
      </c>
      <c r="H47" s="75">
        <v>8420</v>
      </c>
      <c r="I47" s="47">
        <f t="shared" si="0"/>
        <v>5304.6</v>
      </c>
      <c r="J47" s="93">
        <f t="shared" si="1"/>
        <v>5145.4620000000004</v>
      </c>
    </row>
    <row r="48" spans="1:10" ht="20.25" customHeight="1" x14ac:dyDescent="0.35">
      <c r="A48" s="42">
        <v>42</v>
      </c>
      <c r="B48" s="42" t="s">
        <v>94</v>
      </c>
      <c r="C48" s="48" t="s">
        <v>95</v>
      </c>
      <c r="D48" s="45">
        <v>1.1000000000000001</v>
      </c>
      <c r="E48" s="45">
        <v>0.8</v>
      </c>
      <c r="F48" s="45">
        <v>25</v>
      </c>
      <c r="G48" s="45">
        <v>25</v>
      </c>
      <c r="H48" s="73">
        <v>12020</v>
      </c>
      <c r="I48" s="47">
        <f t="shared" si="0"/>
        <v>7572.6</v>
      </c>
      <c r="J48" s="93">
        <f t="shared" si="1"/>
        <v>7345.4220000000005</v>
      </c>
    </row>
    <row r="49" spans="1:10" ht="20.25" customHeight="1" x14ac:dyDescent="0.35">
      <c r="A49" s="43">
        <v>43</v>
      </c>
      <c r="B49" s="43" t="s">
        <v>96</v>
      </c>
      <c r="C49" s="44" t="s">
        <v>97</v>
      </c>
      <c r="D49" s="45">
        <v>0.5</v>
      </c>
      <c r="E49" s="45">
        <v>0.37</v>
      </c>
      <c r="F49" s="45">
        <v>25</v>
      </c>
      <c r="G49" s="45">
        <v>25</v>
      </c>
      <c r="H49" s="73">
        <v>7530</v>
      </c>
      <c r="I49" s="47">
        <f t="shared" si="0"/>
        <v>4743.8999999999996</v>
      </c>
      <c r="J49" s="93">
        <f t="shared" si="1"/>
        <v>4601.5829999999996</v>
      </c>
    </row>
    <row r="50" spans="1:10" ht="20.25" customHeight="1" x14ac:dyDescent="0.35">
      <c r="A50" s="42">
        <v>44</v>
      </c>
      <c r="B50" s="43" t="s">
        <v>98</v>
      </c>
      <c r="C50" s="44" t="s">
        <v>99</v>
      </c>
      <c r="D50" s="45">
        <v>1</v>
      </c>
      <c r="E50" s="45">
        <v>0.75</v>
      </c>
      <c r="F50" s="45">
        <v>25</v>
      </c>
      <c r="G50" s="45">
        <v>25</v>
      </c>
      <c r="H50" s="73">
        <v>9150</v>
      </c>
      <c r="I50" s="47">
        <f t="shared" si="0"/>
        <v>5764.5</v>
      </c>
      <c r="J50" s="93">
        <f t="shared" si="1"/>
        <v>5591.5649999999996</v>
      </c>
    </row>
    <row r="51" spans="1:10" ht="20.25" customHeight="1" x14ac:dyDescent="0.35">
      <c r="A51" s="42">
        <v>45</v>
      </c>
      <c r="B51" s="43" t="s">
        <v>100</v>
      </c>
      <c r="C51" s="44" t="s">
        <v>101</v>
      </c>
      <c r="D51" s="45">
        <v>1</v>
      </c>
      <c r="E51" s="45">
        <v>0.75</v>
      </c>
      <c r="F51" s="45">
        <v>25</v>
      </c>
      <c r="G51" s="45">
        <v>25</v>
      </c>
      <c r="H51" s="76">
        <v>16800</v>
      </c>
      <c r="I51" s="47">
        <f t="shared" si="0"/>
        <v>10584</v>
      </c>
      <c r="J51" s="93">
        <f t="shared" si="1"/>
        <v>10266.48</v>
      </c>
    </row>
    <row r="52" spans="1:10" ht="20.25" customHeight="1" x14ac:dyDescent="0.35">
      <c r="A52" s="42">
        <v>46</v>
      </c>
      <c r="B52" s="42" t="s">
        <v>102</v>
      </c>
      <c r="C52" s="48" t="s">
        <v>103</v>
      </c>
      <c r="D52" s="45">
        <v>0.5</v>
      </c>
      <c r="E52" s="45">
        <v>0.37</v>
      </c>
      <c r="F52" s="45">
        <v>25</v>
      </c>
      <c r="G52" s="45">
        <v>25</v>
      </c>
      <c r="H52" s="73">
        <v>17760</v>
      </c>
      <c r="I52" s="47">
        <f t="shared" si="0"/>
        <v>11188.8</v>
      </c>
      <c r="J52" s="93">
        <f t="shared" si="1"/>
        <v>10853.135999999999</v>
      </c>
    </row>
    <row r="53" spans="1:10" ht="20.25" customHeight="1" x14ac:dyDescent="0.35">
      <c r="A53" s="43">
        <v>47</v>
      </c>
      <c r="B53" s="42" t="s">
        <v>104</v>
      </c>
      <c r="C53" s="48" t="s">
        <v>105</v>
      </c>
      <c r="D53" s="45">
        <v>1</v>
      </c>
      <c r="E53" s="45">
        <v>0.75</v>
      </c>
      <c r="F53" s="45">
        <v>25</v>
      </c>
      <c r="G53" s="45">
        <v>25</v>
      </c>
      <c r="H53" s="73">
        <v>19120</v>
      </c>
      <c r="I53" s="47">
        <f t="shared" si="0"/>
        <v>12045.6</v>
      </c>
      <c r="J53" s="93">
        <f t="shared" si="1"/>
        <v>11684.232</v>
      </c>
    </row>
    <row r="54" spans="1:10" ht="20.25" customHeight="1" x14ac:dyDescent="0.35">
      <c r="A54" s="42">
        <v>48</v>
      </c>
      <c r="B54" s="42" t="s">
        <v>106</v>
      </c>
      <c r="C54" s="48" t="s">
        <v>107</v>
      </c>
      <c r="D54" s="45">
        <v>1.1000000000000001</v>
      </c>
      <c r="E54" s="45">
        <v>0.8</v>
      </c>
      <c r="F54" s="45">
        <v>25</v>
      </c>
      <c r="G54" s="45">
        <v>25</v>
      </c>
      <c r="H54" s="73">
        <v>20900</v>
      </c>
      <c r="I54" s="47">
        <f>H54*0.63</f>
        <v>13167</v>
      </c>
      <c r="J54" s="93">
        <f t="shared" si="1"/>
        <v>12771.99</v>
      </c>
    </row>
    <row r="55" spans="1:10" ht="20.25" customHeight="1" x14ac:dyDescent="0.35">
      <c r="A55" s="284" t="s">
        <v>108</v>
      </c>
      <c r="B55" s="284"/>
      <c r="C55" s="284"/>
      <c r="D55" s="284"/>
      <c r="E55" s="284"/>
      <c r="F55" s="284"/>
      <c r="G55" s="284"/>
      <c r="H55" s="281" t="s">
        <v>109</v>
      </c>
      <c r="I55" s="308" t="s">
        <v>505</v>
      </c>
      <c r="J55" s="308"/>
    </row>
    <row r="56" spans="1:10" ht="20.25" customHeight="1" x14ac:dyDescent="0.35">
      <c r="A56" s="281" t="s">
        <v>2</v>
      </c>
      <c r="B56" s="281" t="s">
        <v>3</v>
      </c>
      <c r="C56" s="283" t="s">
        <v>4</v>
      </c>
      <c r="D56" s="281" t="s">
        <v>5</v>
      </c>
      <c r="E56" s="281"/>
      <c r="F56" s="281" t="s">
        <v>6</v>
      </c>
      <c r="G56" s="281"/>
      <c r="H56" s="281"/>
      <c r="I56" s="330">
        <v>0.37</v>
      </c>
      <c r="J56" s="328">
        <v>0.03</v>
      </c>
    </row>
    <row r="57" spans="1:10" ht="20.25" customHeight="1" x14ac:dyDescent="0.35">
      <c r="A57" s="281"/>
      <c r="B57" s="281"/>
      <c r="C57" s="283"/>
      <c r="D57" s="58" t="s">
        <v>9</v>
      </c>
      <c r="E57" s="58" t="s">
        <v>10</v>
      </c>
      <c r="F57" s="58" t="s">
        <v>11</v>
      </c>
      <c r="G57" s="58" t="s">
        <v>12</v>
      </c>
      <c r="H57" s="281"/>
      <c r="I57" s="331"/>
      <c r="J57" s="329"/>
    </row>
    <row r="58" spans="1:10" ht="20.25" customHeight="1" x14ac:dyDescent="0.35">
      <c r="A58" s="42">
        <v>1</v>
      </c>
      <c r="B58" s="42" t="s">
        <v>110</v>
      </c>
      <c r="C58" s="48" t="s">
        <v>111</v>
      </c>
      <c r="D58" s="286">
        <v>0.5</v>
      </c>
      <c r="E58" s="286">
        <v>0.37</v>
      </c>
      <c r="F58" s="45">
        <v>25</v>
      </c>
      <c r="G58" s="45">
        <v>25</v>
      </c>
      <c r="H58" s="73">
        <v>4680</v>
      </c>
      <c r="I58" s="47">
        <f>H58*0.63</f>
        <v>2948.4</v>
      </c>
      <c r="J58" s="93">
        <f t="shared" si="1"/>
        <v>2859.9479999999999</v>
      </c>
    </row>
    <row r="59" spans="1:10" ht="20.25" customHeight="1" x14ac:dyDescent="0.35">
      <c r="A59" s="42">
        <v>2</v>
      </c>
      <c r="B59" s="42" t="s">
        <v>112</v>
      </c>
      <c r="C59" s="48" t="s">
        <v>113</v>
      </c>
      <c r="D59" s="286"/>
      <c r="E59" s="286"/>
      <c r="F59" s="45">
        <v>40</v>
      </c>
      <c r="G59" s="45">
        <v>40</v>
      </c>
      <c r="H59" s="73">
        <v>6430</v>
      </c>
      <c r="I59" s="47">
        <f t="shared" ref="I59:I113" si="2">H59*0.63</f>
        <v>4050.9</v>
      </c>
      <c r="J59" s="93">
        <f t="shared" si="1"/>
        <v>3929.373</v>
      </c>
    </row>
    <row r="60" spans="1:10" ht="20.25" customHeight="1" x14ac:dyDescent="0.35">
      <c r="A60" s="43">
        <v>3</v>
      </c>
      <c r="B60" s="43" t="s">
        <v>114</v>
      </c>
      <c r="C60" s="60" t="s">
        <v>115</v>
      </c>
      <c r="D60" s="45">
        <v>0.75</v>
      </c>
      <c r="E60" s="45">
        <v>0.56000000000000005</v>
      </c>
      <c r="F60" s="45">
        <v>40</v>
      </c>
      <c r="G60" s="45">
        <v>40</v>
      </c>
      <c r="H60" s="76">
        <v>6240</v>
      </c>
      <c r="I60" s="47">
        <f t="shared" si="2"/>
        <v>3931.2</v>
      </c>
      <c r="J60" s="93">
        <f t="shared" si="1"/>
        <v>3813.2639999999997</v>
      </c>
    </row>
    <row r="61" spans="1:10" ht="20.25" customHeight="1" x14ac:dyDescent="0.35">
      <c r="A61" s="42">
        <v>4</v>
      </c>
      <c r="B61" s="42" t="s">
        <v>116</v>
      </c>
      <c r="C61" s="48" t="s">
        <v>117</v>
      </c>
      <c r="D61" s="285">
        <v>1</v>
      </c>
      <c r="E61" s="285">
        <v>0.75</v>
      </c>
      <c r="F61" s="56">
        <v>25</v>
      </c>
      <c r="G61" s="56">
        <v>25</v>
      </c>
      <c r="H61" s="73">
        <v>7572</v>
      </c>
      <c r="I61" s="47">
        <f t="shared" si="2"/>
        <v>4770.3599999999997</v>
      </c>
      <c r="J61" s="93">
        <f t="shared" si="1"/>
        <v>4627.2491999999993</v>
      </c>
    </row>
    <row r="62" spans="1:10" ht="20.25" customHeight="1" x14ac:dyDescent="0.35">
      <c r="A62" s="42">
        <v>5</v>
      </c>
      <c r="B62" s="42" t="s">
        <v>118</v>
      </c>
      <c r="C62" s="48" t="s">
        <v>119</v>
      </c>
      <c r="D62" s="285"/>
      <c r="E62" s="285"/>
      <c r="F62" s="56">
        <v>50</v>
      </c>
      <c r="G62" s="56">
        <v>50</v>
      </c>
      <c r="H62" s="73">
        <v>8900</v>
      </c>
      <c r="I62" s="47">
        <f t="shared" si="2"/>
        <v>5607</v>
      </c>
      <c r="J62" s="93">
        <f t="shared" si="1"/>
        <v>5438.79</v>
      </c>
    </row>
    <row r="63" spans="1:10" ht="20.25" customHeight="1" x14ac:dyDescent="0.35">
      <c r="A63" s="43">
        <v>6</v>
      </c>
      <c r="B63" s="42" t="s">
        <v>120</v>
      </c>
      <c r="C63" s="48" t="s">
        <v>121</v>
      </c>
      <c r="D63" s="285"/>
      <c r="E63" s="285"/>
      <c r="F63" s="56">
        <v>50</v>
      </c>
      <c r="G63" s="56">
        <v>50</v>
      </c>
      <c r="H63" s="76">
        <v>9100</v>
      </c>
      <c r="I63" s="47">
        <f t="shared" si="2"/>
        <v>5733</v>
      </c>
      <c r="J63" s="93">
        <f t="shared" si="1"/>
        <v>5561.01</v>
      </c>
    </row>
    <row r="64" spans="1:10" ht="20.25" customHeight="1" x14ac:dyDescent="0.35">
      <c r="A64" s="42">
        <v>7</v>
      </c>
      <c r="B64" s="43" t="s">
        <v>122</v>
      </c>
      <c r="C64" s="60" t="s">
        <v>123</v>
      </c>
      <c r="D64" s="285"/>
      <c r="E64" s="285"/>
      <c r="F64" s="56">
        <v>50</v>
      </c>
      <c r="G64" s="56">
        <v>50</v>
      </c>
      <c r="H64" s="76">
        <v>9000</v>
      </c>
      <c r="I64" s="47">
        <f t="shared" si="2"/>
        <v>5670</v>
      </c>
      <c r="J64" s="93">
        <f t="shared" si="1"/>
        <v>5499.9</v>
      </c>
    </row>
    <row r="65" spans="1:10" ht="20.25" customHeight="1" x14ac:dyDescent="0.35">
      <c r="A65" s="42">
        <v>8</v>
      </c>
      <c r="B65" s="43" t="s">
        <v>124</v>
      </c>
      <c r="C65" s="61" t="s">
        <v>125</v>
      </c>
      <c r="D65" s="285"/>
      <c r="E65" s="285"/>
      <c r="F65" s="56">
        <v>75</v>
      </c>
      <c r="G65" s="56">
        <v>75</v>
      </c>
      <c r="H65" s="73">
        <v>10000</v>
      </c>
      <c r="I65" s="47">
        <f t="shared" si="2"/>
        <v>6300</v>
      </c>
      <c r="J65" s="93">
        <f t="shared" si="1"/>
        <v>6111</v>
      </c>
    </row>
    <row r="66" spans="1:10" ht="20.25" customHeight="1" x14ac:dyDescent="0.35">
      <c r="A66" s="43">
        <v>9</v>
      </c>
      <c r="B66" s="43"/>
      <c r="C66" s="60" t="s">
        <v>126</v>
      </c>
      <c r="D66" s="285"/>
      <c r="E66" s="285"/>
      <c r="F66" s="56">
        <v>75</v>
      </c>
      <c r="G66" s="56">
        <v>75</v>
      </c>
      <c r="H66" s="76">
        <v>10200</v>
      </c>
      <c r="I66" s="47">
        <f t="shared" si="2"/>
        <v>6426</v>
      </c>
      <c r="J66" s="93">
        <f t="shared" si="1"/>
        <v>6233.22</v>
      </c>
    </row>
    <row r="67" spans="1:10" ht="20.25" customHeight="1" x14ac:dyDescent="0.35">
      <c r="A67" s="42">
        <v>10</v>
      </c>
      <c r="B67" s="43" t="s">
        <v>127</v>
      </c>
      <c r="C67" s="61" t="s">
        <v>128</v>
      </c>
      <c r="D67" s="285">
        <v>1.5</v>
      </c>
      <c r="E67" s="285">
        <v>1.1000000000000001</v>
      </c>
      <c r="F67" s="56">
        <v>50</v>
      </c>
      <c r="G67" s="56">
        <v>50</v>
      </c>
      <c r="H67" s="76">
        <v>10420</v>
      </c>
      <c r="I67" s="47">
        <f t="shared" si="2"/>
        <v>6564.6</v>
      </c>
      <c r="J67" s="93">
        <f t="shared" si="1"/>
        <v>6367.6620000000003</v>
      </c>
    </row>
    <row r="68" spans="1:10" ht="20.25" customHeight="1" x14ac:dyDescent="0.35">
      <c r="A68" s="42">
        <v>11</v>
      </c>
      <c r="B68" s="43" t="s">
        <v>129</v>
      </c>
      <c r="C68" s="60" t="s">
        <v>130</v>
      </c>
      <c r="D68" s="285"/>
      <c r="E68" s="285"/>
      <c r="F68" s="56">
        <v>50</v>
      </c>
      <c r="G68" s="56">
        <v>50</v>
      </c>
      <c r="H68" s="76">
        <v>10600</v>
      </c>
      <c r="I68" s="47">
        <f t="shared" si="2"/>
        <v>6678</v>
      </c>
      <c r="J68" s="93">
        <f t="shared" si="1"/>
        <v>6477.66</v>
      </c>
    </row>
    <row r="69" spans="1:10" ht="20.25" customHeight="1" x14ac:dyDescent="0.35">
      <c r="A69" s="43">
        <v>12</v>
      </c>
      <c r="B69" s="43" t="s">
        <v>131</v>
      </c>
      <c r="C69" s="61" t="s">
        <v>132</v>
      </c>
      <c r="D69" s="285"/>
      <c r="E69" s="285"/>
      <c r="F69" s="56">
        <v>65</v>
      </c>
      <c r="G69" s="56">
        <v>50</v>
      </c>
      <c r="H69" s="76">
        <v>10600</v>
      </c>
      <c r="I69" s="47">
        <f t="shared" si="2"/>
        <v>6678</v>
      </c>
      <c r="J69" s="93">
        <f t="shared" si="1"/>
        <v>6477.66</v>
      </c>
    </row>
    <row r="70" spans="1:10" ht="20.25" customHeight="1" x14ac:dyDescent="0.35">
      <c r="A70" s="42">
        <v>13</v>
      </c>
      <c r="B70" s="43" t="s">
        <v>133</v>
      </c>
      <c r="C70" s="60" t="s">
        <v>134</v>
      </c>
      <c r="D70" s="285"/>
      <c r="E70" s="285"/>
      <c r="F70" s="56">
        <v>65</v>
      </c>
      <c r="G70" s="56">
        <v>50</v>
      </c>
      <c r="H70" s="76">
        <v>10800</v>
      </c>
      <c r="I70" s="47">
        <f t="shared" si="2"/>
        <v>6804</v>
      </c>
      <c r="J70" s="93">
        <f t="shared" si="1"/>
        <v>6599.88</v>
      </c>
    </row>
    <row r="71" spans="1:10" ht="20.25" customHeight="1" x14ac:dyDescent="0.35">
      <c r="A71" s="42">
        <v>14</v>
      </c>
      <c r="B71" s="43" t="s">
        <v>135</v>
      </c>
      <c r="C71" s="61" t="s">
        <v>136</v>
      </c>
      <c r="D71" s="285"/>
      <c r="E71" s="285"/>
      <c r="F71" s="56">
        <v>75</v>
      </c>
      <c r="G71" s="56">
        <v>75</v>
      </c>
      <c r="H71" s="73">
        <v>11000</v>
      </c>
      <c r="I71" s="47">
        <f t="shared" si="2"/>
        <v>6930</v>
      </c>
      <c r="J71" s="93">
        <f t="shared" si="1"/>
        <v>6722.0999999999995</v>
      </c>
    </row>
    <row r="72" spans="1:10" ht="20.25" customHeight="1" x14ac:dyDescent="0.35">
      <c r="A72" s="43">
        <v>15</v>
      </c>
      <c r="B72" s="43" t="s">
        <v>137</v>
      </c>
      <c r="C72" s="60" t="s">
        <v>138</v>
      </c>
      <c r="D72" s="285"/>
      <c r="E72" s="285"/>
      <c r="F72" s="56">
        <v>75</v>
      </c>
      <c r="G72" s="56">
        <v>75</v>
      </c>
      <c r="H72" s="76">
        <v>11200</v>
      </c>
      <c r="I72" s="47">
        <f t="shared" si="2"/>
        <v>7056</v>
      </c>
      <c r="J72" s="93">
        <f t="shared" si="1"/>
        <v>6844.32</v>
      </c>
    </row>
    <row r="73" spans="1:10" ht="20.25" customHeight="1" x14ac:dyDescent="0.35">
      <c r="A73" s="42">
        <v>16</v>
      </c>
      <c r="B73" s="43" t="s">
        <v>139</v>
      </c>
      <c r="C73" s="60" t="s">
        <v>140</v>
      </c>
      <c r="D73" s="285"/>
      <c r="E73" s="285"/>
      <c r="F73" s="56">
        <v>75</v>
      </c>
      <c r="G73" s="56">
        <v>75</v>
      </c>
      <c r="H73" s="76">
        <v>11200</v>
      </c>
      <c r="I73" s="47">
        <f t="shared" si="2"/>
        <v>7056</v>
      </c>
      <c r="J73" s="93">
        <f t="shared" si="1"/>
        <v>6844.32</v>
      </c>
    </row>
    <row r="74" spans="1:10" ht="20.25" customHeight="1" x14ac:dyDescent="0.35">
      <c r="A74" s="42">
        <v>17</v>
      </c>
      <c r="B74" s="43" t="s">
        <v>141</v>
      </c>
      <c r="C74" s="61" t="s">
        <v>142</v>
      </c>
      <c r="D74" s="285">
        <v>2</v>
      </c>
      <c r="E74" s="285">
        <v>1.5</v>
      </c>
      <c r="F74" s="56">
        <v>50</v>
      </c>
      <c r="G74" s="56">
        <v>40</v>
      </c>
      <c r="H74" s="73">
        <v>15000</v>
      </c>
      <c r="I74" s="47">
        <f t="shared" si="2"/>
        <v>9450</v>
      </c>
      <c r="J74" s="93">
        <f t="shared" si="1"/>
        <v>9166.5</v>
      </c>
    </row>
    <row r="75" spans="1:10" ht="20.25" customHeight="1" x14ac:dyDescent="0.35">
      <c r="A75" s="43">
        <v>18</v>
      </c>
      <c r="B75" s="43" t="s">
        <v>143</v>
      </c>
      <c r="C75" s="60" t="s">
        <v>144</v>
      </c>
      <c r="D75" s="285"/>
      <c r="E75" s="285"/>
      <c r="F75" s="56">
        <v>50</v>
      </c>
      <c r="G75" s="56">
        <v>40</v>
      </c>
      <c r="H75" s="76">
        <v>15200</v>
      </c>
      <c r="I75" s="47">
        <f t="shared" si="2"/>
        <v>9576</v>
      </c>
      <c r="J75" s="93">
        <f t="shared" si="1"/>
        <v>9288.7199999999993</v>
      </c>
    </row>
    <row r="76" spans="1:10" ht="20.25" customHeight="1" x14ac:dyDescent="0.35">
      <c r="A76" s="42">
        <v>19</v>
      </c>
      <c r="B76" s="42" t="s">
        <v>145</v>
      </c>
      <c r="C76" s="48" t="s">
        <v>146</v>
      </c>
      <c r="D76" s="285"/>
      <c r="E76" s="285"/>
      <c r="F76" s="56">
        <v>50</v>
      </c>
      <c r="G76" s="56">
        <v>50</v>
      </c>
      <c r="H76" s="73">
        <v>13000</v>
      </c>
      <c r="I76" s="47">
        <f t="shared" si="2"/>
        <v>8190</v>
      </c>
      <c r="J76" s="93">
        <f t="shared" ref="J76:J139" si="3">I76*0.97</f>
        <v>7944.3</v>
      </c>
    </row>
    <row r="77" spans="1:10" ht="20.25" customHeight="1" x14ac:dyDescent="0.35">
      <c r="A77" s="42">
        <v>20</v>
      </c>
      <c r="B77" s="43" t="s">
        <v>147</v>
      </c>
      <c r="C77" s="60" t="s">
        <v>148</v>
      </c>
      <c r="D77" s="285"/>
      <c r="E77" s="285"/>
      <c r="F77" s="56">
        <v>50</v>
      </c>
      <c r="G77" s="56">
        <v>50</v>
      </c>
      <c r="H77" s="76">
        <v>13200</v>
      </c>
      <c r="I77" s="47">
        <f t="shared" si="2"/>
        <v>8316</v>
      </c>
      <c r="J77" s="93">
        <f t="shared" si="3"/>
        <v>8066.5199999999995</v>
      </c>
    </row>
    <row r="78" spans="1:10" ht="20.25" customHeight="1" x14ac:dyDescent="0.35">
      <c r="A78" s="43">
        <v>21</v>
      </c>
      <c r="B78" s="42" t="s">
        <v>149</v>
      </c>
      <c r="C78" s="48" t="s">
        <v>150</v>
      </c>
      <c r="D78" s="285"/>
      <c r="E78" s="285"/>
      <c r="F78" s="56">
        <v>65</v>
      </c>
      <c r="G78" s="56">
        <v>50</v>
      </c>
      <c r="H78" s="73">
        <v>13300</v>
      </c>
      <c r="I78" s="47">
        <f t="shared" si="2"/>
        <v>8379</v>
      </c>
      <c r="J78" s="93">
        <f t="shared" si="3"/>
        <v>8127.63</v>
      </c>
    </row>
    <row r="79" spans="1:10" ht="20.25" customHeight="1" x14ac:dyDescent="0.35">
      <c r="A79" s="42">
        <v>22</v>
      </c>
      <c r="B79" s="42" t="s">
        <v>151</v>
      </c>
      <c r="C79" s="48" t="s">
        <v>152</v>
      </c>
      <c r="D79" s="285"/>
      <c r="E79" s="285"/>
      <c r="F79" s="56">
        <v>65</v>
      </c>
      <c r="G79" s="56">
        <v>50</v>
      </c>
      <c r="H79" s="76">
        <v>13500</v>
      </c>
      <c r="I79" s="47">
        <f t="shared" si="2"/>
        <v>8505</v>
      </c>
      <c r="J79" s="93">
        <f t="shared" si="3"/>
        <v>8249.85</v>
      </c>
    </row>
    <row r="80" spans="1:10" ht="20.25" customHeight="1" x14ac:dyDescent="0.35">
      <c r="A80" s="42">
        <v>23</v>
      </c>
      <c r="B80" s="43" t="s">
        <v>153</v>
      </c>
      <c r="C80" s="60" t="s">
        <v>154</v>
      </c>
      <c r="D80" s="285"/>
      <c r="E80" s="285"/>
      <c r="F80" s="56">
        <v>65</v>
      </c>
      <c r="G80" s="56">
        <v>50</v>
      </c>
      <c r="H80" s="76">
        <v>13340</v>
      </c>
      <c r="I80" s="47">
        <f t="shared" si="2"/>
        <v>8404.2000000000007</v>
      </c>
      <c r="J80" s="93">
        <f t="shared" si="3"/>
        <v>8152.0740000000005</v>
      </c>
    </row>
    <row r="81" spans="1:10" ht="20.25" customHeight="1" x14ac:dyDescent="0.35">
      <c r="A81" s="43">
        <v>24</v>
      </c>
      <c r="B81" s="42"/>
      <c r="C81" s="48" t="s">
        <v>155</v>
      </c>
      <c r="D81" s="285"/>
      <c r="E81" s="285"/>
      <c r="F81" s="56">
        <v>65</v>
      </c>
      <c r="G81" s="56">
        <v>50</v>
      </c>
      <c r="H81" s="73">
        <v>13300</v>
      </c>
      <c r="I81" s="47">
        <f t="shared" si="2"/>
        <v>8379</v>
      </c>
      <c r="J81" s="93">
        <f t="shared" si="3"/>
        <v>8127.63</v>
      </c>
    </row>
    <row r="82" spans="1:10" ht="20.25" customHeight="1" x14ac:dyDescent="0.35">
      <c r="A82" s="42">
        <v>25</v>
      </c>
      <c r="B82" s="43" t="s">
        <v>156</v>
      </c>
      <c r="C82" s="60" t="s">
        <v>157</v>
      </c>
      <c r="D82" s="285"/>
      <c r="E82" s="285"/>
      <c r="F82" s="56">
        <v>75</v>
      </c>
      <c r="G82" s="56">
        <v>75</v>
      </c>
      <c r="H82" s="76">
        <v>13600</v>
      </c>
      <c r="I82" s="47">
        <f t="shared" si="2"/>
        <v>8568</v>
      </c>
      <c r="J82" s="93">
        <f t="shared" si="3"/>
        <v>8310.9599999999991</v>
      </c>
    </row>
    <row r="83" spans="1:10" ht="20.25" customHeight="1" x14ac:dyDescent="0.35">
      <c r="A83" s="42">
        <v>26</v>
      </c>
      <c r="B83" s="42" t="s">
        <v>158</v>
      </c>
      <c r="C83" s="48" t="s">
        <v>159</v>
      </c>
      <c r="D83" s="285"/>
      <c r="E83" s="285"/>
      <c r="F83" s="56">
        <v>75</v>
      </c>
      <c r="G83" s="56">
        <v>75</v>
      </c>
      <c r="H83" s="73">
        <v>13450</v>
      </c>
      <c r="I83" s="47">
        <f t="shared" si="2"/>
        <v>8473.5</v>
      </c>
      <c r="J83" s="93">
        <f t="shared" si="3"/>
        <v>8219.2950000000001</v>
      </c>
    </row>
    <row r="84" spans="1:10" ht="20.25" customHeight="1" x14ac:dyDescent="0.35">
      <c r="A84" s="43">
        <v>27</v>
      </c>
      <c r="B84" s="42" t="s">
        <v>160</v>
      </c>
      <c r="C84" s="48" t="s">
        <v>161</v>
      </c>
      <c r="D84" s="285"/>
      <c r="E84" s="285"/>
      <c r="F84" s="56">
        <v>75</v>
      </c>
      <c r="G84" s="56">
        <v>75</v>
      </c>
      <c r="H84" s="76">
        <v>13800</v>
      </c>
      <c r="I84" s="47">
        <f t="shared" si="2"/>
        <v>8694</v>
      </c>
      <c r="J84" s="93">
        <f t="shared" si="3"/>
        <v>8433.18</v>
      </c>
    </row>
    <row r="85" spans="1:10" ht="20.25" customHeight="1" x14ac:dyDescent="0.35">
      <c r="A85" s="42">
        <v>28</v>
      </c>
      <c r="B85" s="42" t="s">
        <v>162</v>
      </c>
      <c r="C85" s="48" t="s">
        <v>163</v>
      </c>
      <c r="D85" s="285"/>
      <c r="E85" s="285"/>
      <c r="F85" s="56">
        <v>75</v>
      </c>
      <c r="G85" s="56">
        <v>75</v>
      </c>
      <c r="H85" s="76">
        <v>14000</v>
      </c>
      <c r="I85" s="47">
        <f t="shared" si="2"/>
        <v>8820</v>
      </c>
      <c r="J85" s="93">
        <f t="shared" si="3"/>
        <v>8555.4</v>
      </c>
    </row>
    <row r="86" spans="1:10" ht="20.25" customHeight="1" x14ac:dyDescent="0.35">
      <c r="A86" s="42">
        <v>29</v>
      </c>
      <c r="B86" s="42" t="s">
        <v>164</v>
      </c>
      <c r="C86" s="48" t="s">
        <v>165</v>
      </c>
      <c r="D86" s="285"/>
      <c r="E86" s="285"/>
      <c r="F86" s="56">
        <v>75</v>
      </c>
      <c r="G86" s="56">
        <v>75</v>
      </c>
      <c r="H86" s="76">
        <v>14500</v>
      </c>
      <c r="I86" s="47">
        <f t="shared" si="2"/>
        <v>9135</v>
      </c>
      <c r="J86" s="93">
        <f t="shared" si="3"/>
        <v>8860.9499999999989</v>
      </c>
    </row>
    <row r="87" spans="1:10" ht="20.25" customHeight="1" x14ac:dyDescent="0.35">
      <c r="A87" s="43">
        <v>30</v>
      </c>
      <c r="B87" s="43" t="s">
        <v>166</v>
      </c>
      <c r="C87" s="60" t="s">
        <v>167</v>
      </c>
      <c r="D87" s="285"/>
      <c r="E87" s="285"/>
      <c r="F87" s="56">
        <v>75</v>
      </c>
      <c r="G87" s="56">
        <v>75</v>
      </c>
      <c r="H87" s="76">
        <v>13550</v>
      </c>
      <c r="I87" s="47">
        <f t="shared" si="2"/>
        <v>8536.5</v>
      </c>
      <c r="J87" s="93">
        <f t="shared" si="3"/>
        <v>8280.4050000000007</v>
      </c>
    </row>
    <row r="88" spans="1:10" ht="20.25" customHeight="1" x14ac:dyDescent="0.35">
      <c r="A88" s="42">
        <v>31</v>
      </c>
      <c r="B88" s="42" t="s">
        <v>168</v>
      </c>
      <c r="C88" s="48" t="s">
        <v>169</v>
      </c>
      <c r="D88" s="285"/>
      <c r="E88" s="285"/>
      <c r="F88" s="56">
        <v>75</v>
      </c>
      <c r="G88" s="56">
        <v>65</v>
      </c>
      <c r="H88" s="73">
        <v>13450</v>
      </c>
      <c r="I88" s="47">
        <f t="shared" si="2"/>
        <v>8473.5</v>
      </c>
      <c r="J88" s="93">
        <f t="shared" si="3"/>
        <v>8219.2950000000001</v>
      </c>
    </row>
    <row r="89" spans="1:10" ht="20.25" customHeight="1" x14ac:dyDescent="0.35">
      <c r="A89" s="42">
        <v>32</v>
      </c>
      <c r="B89" s="42" t="s">
        <v>170</v>
      </c>
      <c r="C89" s="48" t="s">
        <v>171</v>
      </c>
      <c r="D89" s="285"/>
      <c r="E89" s="285"/>
      <c r="F89" s="56">
        <v>75</v>
      </c>
      <c r="G89" s="56">
        <v>65</v>
      </c>
      <c r="H89" s="76">
        <v>13740</v>
      </c>
      <c r="I89" s="47">
        <f t="shared" si="2"/>
        <v>8656.2000000000007</v>
      </c>
      <c r="J89" s="93">
        <f t="shared" si="3"/>
        <v>8396.514000000001</v>
      </c>
    </row>
    <row r="90" spans="1:10" ht="20.25" customHeight="1" x14ac:dyDescent="0.35">
      <c r="A90" s="43">
        <v>33</v>
      </c>
      <c r="B90" s="43"/>
      <c r="C90" s="61" t="s">
        <v>172</v>
      </c>
      <c r="D90" s="285"/>
      <c r="E90" s="285"/>
      <c r="F90" s="56">
        <v>100</v>
      </c>
      <c r="G90" s="56">
        <v>100</v>
      </c>
      <c r="H90" s="73">
        <v>15000</v>
      </c>
      <c r="I90" s="47">
        <f t="shared" si="2"/>
        <v>9450</v>
      </c>
      <c r="J90" s="93">
        <f t="shared" si="3"/>
        <v>9166.5</v>
      </c>
    </row>
    <row r="91" spans="1:10" ht="20.25" customHeight="1" x14ac:dyDescent="0.35">
      <c r="A91" s="42">
        <v>34</v>
      </c>
      <c r="B91" s="43"/>
      <c r="C91" s="60" t="s">
        <v>173</v>
      </c>
      <c r="D91" s="285"/>
      <c r="E91" s="285"/>
      <c r="F91" s="56">
        <v>100</v>
      </c>
      <c r="G91" s="56">
        <v>100</v>
      </c>
      <c r="H91" s="76">
        <v>15200</v>
      </c>
      <c r="I91" s="47">
        <f t="shared" si="2"/>
        <v>9576</v>
      </c>
      <c r="J91" s="93">
        <f t="shared" si="3"/>
        <v>9288.7199999999993</v>
      </c>
    </row>
    <row r="92" spans="1:10" ht="20.25" customHeight="1" x14ac:dyDescent="0.35">
      <c r="A92" s="42">
        <v>35</v>
      </c>
      <c r="B92" s="43"/>
      <c r="C92" s="61" t="s">
        <v>174</v>
      </c>
      <c r="D92" s="285">
        <v>3</v>
      </c>
      <c r="E92" s="285">
        <v>2.25</v>
      </c>
      <c r="F92" s="56">
        <v>50</v>
      </c>
      <c r="G92" s="56">
        <v>40</v>
      </c>
      <c r="H92" s="73">
        <v>18000</v>
      </c>
      <c r="I92" s="47">
        <f t="shared" si="2"/>
        <v>11340</v>
      </c>
      <c r="J92" s="93">
        <f t="shared" si="3"/>
        <v>10999.8</v>
      </c>
    </row>
    <row r="93" spans="1:10" ht="20.25" customHeight="1" x14ac:dyDescent="0.35">
      <c r="A93" s="43">
        <v>36</v>
      </c>
      <c r="B93" s="43" t="s">
        <v>175</v>
      </c>
      <c r="C93" s="60" t="s">
        <v>176</v>
      </c>
      <c r="D93" s="285"/>
      <c r="E93" s="285"/>
      <c r="F93" s="56">
        <v>50</v>
      </c>
      <c r="G93" s="56">
        <v>40</v>
      </c>
      <c r="H93" s="76">
        <v>18560</v>
      </c>
      <c r="I93" s="47">
        <f t="shared" si="2"/>
        <v>11692.8</v>
      </c>
      <c r="J93" s="93">
        <f t="shared" si="3"/>
        <v>11342.016</v>
      </c>
    </row>
    <row r="94" spans="1:10" ht="20.25" customHeight="1" x14ac:dyDescent="0.35">
      <c r="A94" s="42">
        <v>37</v>
      </c>
      <c r="B94" s="43" t="s">
        <v>177</v>
      </c>
      <c r="C94" s="61" t="s">
        <v>178</v>
      </c>
      <c r="D94" s="285"/>
      <c r="E94" s="285"/>
      <c r="F94" s="56">
        <v>50</v>
      </c>
      <c r="G94" s="56">
        <v>50</v>
      </c>
      <c r="H94" s="73">
        <v>18250</v>
      </c>
      <c r="I94" s="47">
        <f t="shared" si="2"/>
        <v>11497.5</v>
      </c>
      <c r="J94" s="93">
        <f t="shared" si="3"/>
        <v>11152.574999999999</v>
      </c>
    </row>
    <row r="95" spans="1:10" ht="20.25" customHeight="1" x14ac:dyDescent="0.35">
      <c r="A95" s="42">
        <v>38</v>
      </c>
      <c r="B95" s="43" t="s">
        <v>179</v>
      </c>
      <c r="C95" s="60" t="s">
        <v>180</v>
      </c>
      <c r="D95" s="285"/>
      <c r="E95" s="285"/>
      <c r="F95" s="56">
        <v>50</v>
      </c>
      <c r="G95" s="56">
        <v>50</v>
      </c>
      <c r="H95" s="76">
        <v>18670</v>
      </c>
      <c r="I95" s="47">
        <f t="shared" si="2"/>
        <v>11762.1</v>
      </c>
      <c r="J95" s="93">
        <f t="shared" si="3"/>
        <v>11409.236999999999</v>
      </c>
    </row>
    <row r="96" spans="1:10" ht="20.25" customHeight="1" x14ac:dyDescent="0.35">
      <c r="A96" s="43">
        <v>39</v>
      </c>
      <c r="B96" s="42" t="s">
        <v>181</v>
      </c>
      <c r="C96" s="48" t="s">
        <v>182</v>
      </c>
      <c r="D96" s="285"/>
      <c r="E96" s="285"/>
      <c r="F96" s="56">
        <v>65</v>
      </c>
      <c r="G96" s="56">
        <v>50</v>
      </c>
      <c r="H96" s="73">
        <v>18100</v>
      </c>
      <c r="I96" s="47">
        <f t="shared" si="2"/>
        <v>11403</v>
      </c>
      <c r="J96" s="93">
        <f t="shared" si="3"/>
        <v>11060.91</v>
      </c>
    </row>
    <row r="97" spans="1:10" ht="20.25" customHeight="1" x14ac:dyDescent="0.35">
      <c r="A97" s="42">
        <v>40</v>
      </c>
      <c r="B97" s="42" t="s">
        <v>183</v>
      </c>
      <c r="C97" s="48" t="s">
        <v>184</v>
      </c>
      <c r="D97" s="285"/>
      <c r="E97" s="285"/>
      <c r="F97" s="56">
        <v>65</v>
      </c>
      <c r="G97" s="56">
        <v>50</v>
      </c>
      <c r="H97" s="76">
        <v>18770</v>
      </c>
      <c r="I97" s="47">
        <f t="shared" si="2"/>
        <v>11825.1</v>
      </c>
      <c r="J97" s="93">
        <f t="shared" si="3"/>
        <v>11470.347</v>
      </c>
    </row>
    <row r="98" spans="1:10" ht="20.25" customHeight="1" x14ac:dyDescent="0.35">
      <c r="A98" s="42">
        <v>41</v>
      </c>
      <c r="B98" s="42" t="s">
        <v>185</v>
      </c>
      <c r="C98" s="48" t="s">
        <v>186</v>
      </c>
      <c r="D98" s="285"/>
      <c r="E98" s="285"/>
      <c r="F98" s="56">
        <v>75</v>
      </c>
      <c r="G98" s="56">
        <v>75</v>
      </c>
      <c r="H98" s="73">
        <v>18020</v>
      </c>
      <c r="I98" s="47">
        <f t="shared" si="2"/>
        <v>11352.6</v>
      </c>
      <c r="J98" s="93">
        <f t="shared" si="3"/>
        <v>11012.022000000001</v>
      </c>
    </row>
    <row r="99" spans="1:10" ht="20.25" customHeight="1" x14ac:dyDescent="0.35">
      <c r="A99" s="43">
        <v>42</v>
      </c>
      <c r="B99" s="42" t="s">
        <v>187</v>
      </c>
      <c r="C99" s="48" t="s">
        <v>188</v>
      </c>
      <c r="D99" s="285"/>
      <c r="E99" s="285"/>
      <c r="F99" s="56">
        <v>75</v>
      </c>
      <c r="G99" s="56">
        <v>75</v>
      </c>
      <c r="H99" s="76">
        <v>18680</v>
      </c>
      <c r="I99" s="47">
        <f t="shared" si="2"/>
        <v>11768.4</v>
      </c>
      <c r="J99" s="93">
        <f t="shared" si="3"/>
        <v>11415.348</v>
      </c>
    </row>
    <row r="100" spans="1:10" ht="20.25" customHeight="1" x14ac:dyDescent="0.35">
      <c r="A100" s="42">
        <v>43</v>
      </c>
      <c r="B100" s="42" t="s">
        <v>189</v>
      </c>
      <c r="C100" s="48" t="s">
        <v>190</v>
      </c>
      <c r="D100" s="285"/>
      <c r="E100" s="285"/>
      <c r="F100" s="56">
        <v>100</v>
      </c>
      <c r="G100" s="56">
        <v>100</v>
      </c>
      <c r="H100" s="73">
        <v>19100</v>
      </c>
      <c r="I100" s="47">
        <f t="shared" si="2"/>
        <v>12033</v>
      </c>
      <c r="J100" s="93">
        <f t="shared" si="3"/>
        <v>11672.01</v>
      </c>
    </row>
    <row r="101" spans="1:10" ht="20.25" customHeight="1" x14ac:dyDescent="0.35">
      <c r="A101" s="42">
        <v>44</v>
      </c>
      <c r="B101" s="42" t="s">
        <v>191</v>
      </c>
      <c r="C101" s="48" t="s">
        <v>192</v>
      </c>
      <c r="D101" s="285"/>
      <c r="E101" s="285"/>
      <c r="F101" s="56">
        <v>100</v>
      </c>
      <c r="G101" s="56">
        <v>100</v>
      </c>
      <c r="H101" s="76">
        <v>19500</v>
      </c>
      <c r="I101" s="47">
        <f t="shared" si="2"/>
        <v>12285</v>
      </c>
      <c r="J101" s="93">
        <f t="shared" si="3"/>
        <v>11916.449999999999</v>
      </c>
    </row>
    <row r="102" spans="1:10" ht="20.25" customHeight="1" x14ac:dyDescent="0.35">
      <c r="A102" s="43">
        <v>45</v>
      </c>
      <c r="B102" s="42" t="s">
        <v>193</v>
      </c>
      <c r="C102" s="48" t="s">
        <v>194</v>
      </c>
      <c r="D102" s="285"/>
      <c r="E102" s="285"/>
      <c r="F102" s="56">
        <v>100</v>
      </c>
      <c r="G102" s="56">
        <v>100</v>
      </c>
      <c r="H102" s="76">
        <v>14800</v>
      </c>
      <c r="I102" s="47">
        <f t="shared" si="2"/>
        <v>9324</v>
      </c>
      <c r="J102" s="93">
        <f t="shared" si="3"/>
        <v>9044.2800000000007</v>
      </c>
    </row>
    <row r="103" spans="1:10" ht="20.25" customHeight="1" x14ac:dyDescent="0.35">
      <c r="A103" s="42">
        <v>46</v>
      </c>
      <c r="B103" s="43" t="s">
        <v>195</v>
      </c>
      <c r="C103" s="60" t="s">
        <v>196</v>
      </c>
      <c r="D103" s="285"/>
      <c r="E103" s="285"/>
      <c r="F103" s="56">
        <v>100</v>
      </c>
      <c r="G103" s="56">
        <v>100</v>
      </c>
      <c r="H103" s="76">
        <v>15000</v>
      </c>
      <c r="I103" s="47">
        <f t="shared" si="2"/>
        <v>9450</v>
      </c>
      <c r="J103" s="93">
        <f t="shared" si="3"/>
        <v>9166.5</v>
      </c>
    </row>
    <row r="104" spans="1:10" ht="20.25" customHeight="1" x14ac:dyDescent="0.35">
      <c r="A104" s="42">
        <v>47</v>
      </c>
      <c r="B104" s="42" t="s">
        <v>197</v>
      </c>
      <c r="C104" s="48" t="s">
        <v>198</v>
      </c>
      <c r="D104" s="285">
        <v>5</v>
      </c>
      <c r="E104" s="285">
        <v>3.75</v>
      </c>
      <c r="F104" s="56">
        <v>80</v>
      </c>
      <c r="G104" s="56">
        <v>65</v>
      </c>
      <c r="H104" s="76">
        <v>24600</v>
      </c>
      <c r="I104" s="47">
        <f t="shared" si="2"/>
        <v>15498</v>
      </c>
      <c r="J104" s="93">
        <f t="shared" si="3"/>
        <v>15033.06</v>
      </c>
    </row>
    <row r="105" spans="1:10" ht="20.25" customHeight="1" x14ac:dyDescent="0.35">
      <c r="A105" s="43">
        <v>48</v>
      </c>
      <c r="B105" s="43"/>
      <c r="C105" s="62" t="s">
        <v>199</v>
      </c>
      <c r="D105" s="285"/>
      <c r="E105" s="285"/>
      <c r="F105" s="56">
        <v>80</v>
      </c>
      <c r="G105" s="56">
        <v>65</v>
      </c>
      <c r="H105" s="76">
        <v>26000</v>
      </c>
      <c r="I105" s="47">
        <f t="shared" si="2"/>
        <v>16380</v>
      </c>
      <c r="J105" s="93">
        <f t="shared" si="3"/>
        <v>15888.6</v>
      </c>
    </row>
    <row r="106" spans="1:10" ht="20.25" customHeight="1" x14ac:dyDescent="0.35">
      <c r="A106" s="42">
        <v>49</v>
      </c>
      <c r="B106" s="42" t="s">
        <v>200</v>
      </c>
      <c r="C106" s="62" t="s">
        <v>201</v>
      </c>
      <c r="D106" s="285"/>
      <c r="E106" s="285"/>
      <c r="F106" s="56">
        <v>80</v>
      </c>
      <c r="G106" s="56">
        <v>65</v>
      </c>
      <c r="H106" s="76">
        <v>23600</v>
      </c>
      <c r="I106" s="47">
        <f t="shared" si="2"/>
        <v>14868</v>
      </c>
      <c r="J106" s="93">
        <f t="shared" si="3"/>
        <v>14421.96</v>
      </c>
    </row>
    <row r="107" spans="1:10" ht="20.25" customHeight="1" x14ac:dyDescent="0.35">
      <c r="A107" s="42">
        <v>50</v>
      </c>
      <c r="B107" s="43" t="s">
        <v>202</v>
      </c>
      <c r="C107" s="60" t="s">
        <v>203</v>
      </c>
      <c r="D107" s="63">
        <v>0.75</v>
      </c>
      <c r="E107" s="63">
        <v>0.56000000000000005</v>
      </c>
      <c r="F107" s="45">
        <v>25</v>
      </c>
      <c r="G107" s="45">
        <v>25</v>
      </c>
      <c r="H107" s="76">
        <v>5170</v>
      </c>
      <c r="I107" s="47">
        <f t="shared" si="2"/>
        <v>3257.1</v>
      </c>
      <c r="J107" s="93">
        <f t="shared" si="3"/>
        <v>3159.3869999999997</v>
      </c>
    </row>
    <row r="108" spans="1:10" ht="20.25" customHeight="1" x14ac:dyDescent="0.35">
      <c r="A108" s="43">
        <v>51</v>
      </c>
      <c r="B108" s="43" t="s">
        <v>204</v>
      </c>
      <c r="C108" s="60" t="s">
        <v>205</v>
      </c>
      <c r="D108" s="285">
        <v>1</v>
      </c>
      <c r="E108" s="285">
        <v>0.75</v>
      </c>
      <c r="F108" s="56">
        <v>40</v>
      </c>
      <c r="G108" s="56">
        <v>40</v>
      </c>
      <c r="H108" s="76">
        <v>9000</v>
      </c>
      <c r="I108" s="47">
        <f t="shared" si="2"/>
        <v>5670</v>
      </c>
      <c r="J108" s="93">
        <f t="shared" si="3"/>
        <v>5499.9</v>
      </c>
    </row>
    <row r="109" spans="1:10" ht="20.25" customHeight="1" x14ac:dyDescent="0.35">
      <c r="A109" s="42">
        <v>52</v>
      </c>
      <c r="B109" s="43"/>
      <c r="C109" s="60" t="s">
        <v>206</v>
      </c>
      <c r="D109" s="285"/>
      <c r="E109" s="285"/>
      <c r="F109" s="56">
        <v>40</v>
      </c>
      <c r="G109" s="56">
        <v>40</v>
      </c>
      <c r="H109" s="76">
        <v>9000</v>
      </c>
      <c r="I109" s="47">
        <f t="shared" si="2"/>
        <v>5670</v>
      </c>
      <c r="J109" s="93">
        <f t="shared" si="3"/>
        <v>5499.9</v>
      </c>
    </row>
    <row r="110" spans="1:10" ht="20.25" customHeight="1" x14ac:dyDescent="0.35">
      <c r="A110" s="42">
        <v>53</v>
      </c>
      <c r="B110" s="43"/>
      <c r="C110" s="62" t="s">
        <v>207</v>
      </c>
      <c r="D110" s="285">
        <v>2</v>
      </c>
      <c r="E110" s="285">
        <v>1.5</v>
      </c>
      <c r="F110" s="56">
        <v>75</v>
      </c>
      <c r="G110" s="56">
        <v>75</v>
      </c>
      <c r="H110" s="76">
        <v>12500</v>
      </c>
      <c r="I110" s="47">
        <f t="shared" si="2"/>
        <v>7875</v>
      </c>
      <c r="J110" s="93">
        <f t="shared" si="3"/>
        <v>7638.75</v>
      </c>
    </row>
    <row r="111" spans="1:10" ht="20.25" customHeight="1" x14ac:dyDescent="0.35">
      <c r="A111" s="43">
        <v>54</v>
      </c>
      <c r="B111" s="43" t="s">
        <v>208</v>
      </c>
      <c r="C111" s="62" t="s">
        <v>209</v>
      </c>
      <c r="D111" s="285"/>
      <c r="E111" s="285"/>
      <c r="F111" s="56">
        <v>75</v>
      </c>
      <c r="G111" s="56">
        <v>75</v>
      </c>
      <c r="H111" s="76">
        <v>12500</v>
      </c>
      <c r="I111" s="47">
        <f t="shared" si="2"/>
        <v>7875</v>
      </c>
      <c r="J111" s="93">
        <f t="shared" si="3"/>
        <v>7638.75</v>
      </c>
    </row>
    <row r="112" spans="1:10" ht="20.25" customHeight="1" x14ac:dyDescent="0.35">
      <c r="A112" s="42">
        <v>55</v>
      </c>
      <c r="B112" s="43" t="s">
        <v>210</v>
      </c>
      <c r="C112" s="62" t="s">
        <v>211</v>
      </c>
      <c r="D112" s="285"/>
      <c r="E112" s="285"/>
      <c r="F112" s="56">
        <v>65</v>
      </c>
      <c r="G112" s="56">
        <v>50</v>
      </c>
      <c r="H112" s="76">
        <v>12200</v>
      </c>
      <c r="I112" s="47">
        <f t="shared" si="2"/>
        <v>7686</v>
      </c>
      <c r="J112" s="93">
        <f t="shared" si="3"/>
        <v>7455.42</v>
      </c>
    </row>
    <row r="113" spans="1:10" ht="20.25" customHeight="1" x14ac:dyDescent="0.35">
      <c r="A113" s="42">
        <v>56</v>
      </c>
      <c r="B113" s="43" t="s">
        <v>212</v>
      </c>
      <c r="C113" s="62" t="s">
        <v>213</v>
      </c>
      <c r="D113" s="285"/>
      <c r="E113" s="285"/>
      <c r="F113" s="56">
        <v>50</v>
      </c>
      <c r="G113" s="56">
        <v>50</v>
      </c>
      <c r="H113" s="76">
        <v>12200</v>
      </c>
      <c r="I113" s="47">
        <f t="shared" si="2"/>
        <v>7686</v>
      </c>
      <c r="J113" s="93">
        <f t="shared" si="3"/>
        <v>7455.42</v>
      </c>
    </row>
    <row r="114" spans="1:10" ht="20.25" customHeight="1" x14ac:dyDescent="0.35">
      <c r="A114" s="284" t="s">
        <v>214</v>
      </c>
      <c r="B114" s="284"/>
      <c r="C114" s="284"/>
      <c r="D114" s="284"/>
      <c r="E114" s="284"/>
      <c r="F114" s="284"/>
      <c r="G114" s="284"/>
      <c r="H114" s="281" t="s">
        <v>109</v>
      </c>
      <c r="I114" s="308" t="s">
        <v>505</v>
      </c>
      <c r="J114" s="308"/>
    </row>
    <row r="115" spans="1:10" ht="20.25" customHeight="1" x14ac:dyDescent="0.35">
      <c r="A115" s="281" t="s">
        <v>2</v>
      </c>
      <c r="B115" s="281" t="s">
        <v>3</v>
      </c>
      <c r="C115" s="283" t="s">
        <v>4</v>
      </c>
      <c r="D115" s="281" t="s">
        <v>5</v>
      </c>
      <c r="E115" s="281"/>
      <c r="F115" s="281" t="s">
        <v>6</v>
      </c>
      <c r="G115" s="281"/>
      <c r="H115" s="281"/>
      <c r="I115" s="330">
        <v>0.37</v>
      </c>
      <c r="J115" s="328">
        <v>0.03</v>
      </c>
    </row>
    <row r="116" spans="1:10" ht="20.25" customHeight="1" x14ac:dyDescent="0.35">
      <c r="A116" s="281"/>
      <c r="B116" s="281"/>
      <c r="C116" s="283"/>
      <c r="D116" s="58" t="s">
        <v>9</v>
      </c>
      <c r="E116" s="58" t="s">
        <v>10</v>
      </c>
      <c r="F116" s="58" t="s">
        <v>11</v>
      </c>
      <c r="G116" s="58" t="s">
        <v>12</v>
      </c>
      <c r="H116" s="281"/>
      <c r="I116" s="331"/>
      <c r="J116" s="329"/>
    </row>
    <row r="117" spans="1:10" ht="20.25" customHeight="1" x14ac:dyDescent="0.35">
      <c r="A117" s="43">
        <v>1</v>
      </c>
      <c r="B117" s="43" t="s">
        <v>215</v>
      </c>
      <c r="C117" s="44" t="s">
        <v>216</v>
      </c>
      <c r="D117" s="45">
        <v>0.5</v>
      </c>
      <c r="E117" s="45">
        <v>0.37</v>
      </c>
      <c r="F117" s="45">
        <v>25</v>
      </c>
      <c r="G117" s="45">
        <v>25</v>
      </c>
      <c r="H117" s="46">
        <v>5370</v>
      </c>
      <c r="I117" s="332">
        <f t="shared" ref="I117:I128" si="4">H117*0.63</f>
        <v>3383.1</v>
      </c>
      <c r="J117" s="333"/>
    </row>
    <row r="118" spans="1:10" ht="20.25" customHeight="1" x14ac:dyDescent="0.35">
      <c r="A118" s="43">
        <v>2</v>
      </c>
      <c r="B118" s="43" t="s">
        <v>217</v>
      </c>
      <c r="C118" s="44" t="s">
        <v>218</v>
      </c>
      <c r="D118" s="45">
        <v>1</v>
      </c>
      <c r="E118" s="45">
        <v>0.75</v>
      </c>
      <c r="F118" s="45">
        <v>25</v>
      </c>
      <c r="G118" s="45">
        <v>25</v>
      </c>
      <c r="H118" s="46">
        <v>7070</v>
      </c>
      <c r="I118" s="334">
        <v>4793</v>
      </c>
      <c r="J118" s="335"/>
    </row>
    <row r="119" spans="1:10" ht="20.25" customHeight="1" x14ac:dyDescent="0.35">
      <c r="A119" s="43">
        <v>3</v>
      </c>
      <c r="B119" s="64" t="s">
        <v>219</v>
      </c>
      <c r="C119" s="65" t="s">
        <v>220</v>
      </c>
      <c r="D119" s="66">
        <v>2</v>
      </c>
      <c r="E119" s="43">
        <v>1.5</v>
      </c>
      <c r="F119" s="43">
        <v>50</v>
      </c>
      <c r="G119" s="43">
        <v>50</v>
      </c>
      <c r="H119" s="43">
        <v>12200</v>
      </c>
      <c r="I119" s="47">
        <f t="shared" si="4"/>
        <v>7686</v>
      </c>
      <c r="J119" s="93">
        <f t="shared" si="3"/>
        <v>7455.42</v>
      </c>
    </row>
    <row r="120" spans="1:10" ht="20.25" customHeight="1" x14ac:dyDescent="0.35">
      <c r="A120" s="43">
        <v>4</v>
      </c>
      <c r="B120" s="64" t="s">
        <v>221</v>
      </c>
      <c r="C120" s="65" t="s">
        <v>222</v>
      </c>
      <c r="D120" s="66">
        <v>2</v>
      </c>
      <c r="E120" s="43">
        <v>1.5</v>
      </c>
      <c r="F120" s="43">
        <v>50</v>
      </c>
      <c r="G120" s="43">
        <v>50</v>
      </c>
      <c r="H120" s="43">
        <v>12200</v>
      </c>
      <c r="I120" s="47">
        <f t="shared" si="4"/>
        <v>7686</v>
      </c>
      <c r="J120" s="93">
        <f t="shared" si="3"/>
        <v>7455.42</v>
      </c>
    </row>
    <row r="121" spans="1:10" ht="20.25" customHeight="1" x14ac:dyDescent="0.35">
      <c r="A121" s="43">
        <v>5</v>
      </c>
      <c r="B121" s="64" t="s">
        <v>223</v>
      </c>
      <c r="C121" s="65" t="s">
        <v>224</v>
      </c>
      <c r="D121" s="66">
        <v>2</v>
      </c>
      <c r="E121" s="43">
        <v>1.5</v>
      </c>
      <c r="F121" s="43">
        <v>65</v>
      </c>
      <c r="G121" s="43">
        <v>50</v>
      </c>
      <c r="H121" s="43">
        <v>12300</v>
      </c>
      <c r="I121" s="47">
        <f t="shared" si="4"/>
        <v>7749</v>
      </c>
      <c r="J121" s="93">
        <f t="shared" si="3"/>
        <v>7516.53</v>
      </c>
    </row>
    <row r="122" spans="1:10" ht="20.25" customHeight="1" x14ac:dyDescent="0.35">
      <c r="A122" s="43">
        <v>6</v>
      </c>
      <c r="B122" s="64" t="s">
        <v>225</v>
      </c>
      <c r="C122" s="65" t="s">
        <v>226</v>
      </c>
      <c r="D122" s="66">
        <v>2</v>
      </c>
      <c r="E122" s="43">
        <v>1.5</v>
      </c>
      <c r="F122" s="43">
        <v>65</v>
      </c>
      <c r="G122" s="43">
        <v>50</v>
      </c>
      <c r="H122" s="43">
        <v>12300</v>
      </c>
      <c r="I122" s="47">
        <f t="shared" si="4"/>
        <v>7749</v>
      </c>
      <c r="J122" s="93">
        <f t="shared" si="3"/>
        <v>7516.53</v>
      </c>
    </row>
    <row r="123" spans="1:10" ht="20.25" customHeight="1" x14ac:dyDescent="0.35">
      <c r="A123" s="43">
        <v>7</v>
      </c>
      <c r="B123" s="64" t="s">
        <v>227</v>
      </c>
      <c r="C123" s="65" t="s">
        <v>228</v>
      </c>
      <c r="D123" s="64">
        <v>3</v>
      </c>
      <c r="E123" s="43">
        <v>2.25</v>
      </c>
      <c r="F123" s="43">
        <v>65</v>
      </c>
      <c r="G123" s="43">
        <v>50</v>
      </c>
      <c r="H123" s="43">
        <v>12900</v>
      </c>
      <c r="I123" s="47">
        <f t="shared" si="4"/>
        <v>8127</v>
      </c>
      <c r="J123" s="93">
        <f t="shared" si="3"/>
        <v>7883.19</v>
      </c>
    </row>
    <row r="124" spans="1:10" ht="20.25" customHeight="1" x14ac:dyDescent="0.35">
      <c r="A124" s="43">
        <v>8</v>
      </c>
      <c r="B124" s="64" t="s">
        <v>229</v>
      </c>
      <c r="C124" s="67" t="s">
        <v>230</v>
      </c>
      <c r="D124" s="64">
        <v>3</v>
      </c>
      <c r="E124" s="43">
        <v>2.25</v>
      </c>
      <c r="F124" s="43">
        <v>65</v>
      </c>
      <c r="G124" s="43">
        <v>50</v>
      </c>
      <c r="H124" s="43">
        <v>13000</v>
      </c>
      <c r="I124" s="47">
        <f t="shared" si="4"/>
        <v>8190</v>
      </c>
      <c r="J124" s="93">
        <f t="shared" si="3"/>
        <v>7944.3</v>
      </c>
    </row>
    <row r="125" spans="1:10" ht="20.25" customHeight="1" x14ac:dyDescent="0.35">
      <c r="A125" s="43">
        <v>9</v>
      </c>
      <c r="B125" s="64" t="s">
        <v>231</v>
      </c>
      <c r="C125" s="67" t="s">
        <v>232</v>
      </c>
      <c r="D125" s="64">
        <v>3</v>
      </c>
      <c r="E125" s="43">
        <v>2.25</v>
      </c>
      <c r="F125" s="43">
        <v>65</v>
      </c>
      <c r="G125" s="43">
        <v>50</v>
      </c>
      <c r="H125" s="43">
        <v>12900</v>
      </c>
      <c r="I125" s="47">
        <f t="shared" si="4"/>
        <v>8127</v>
      </c>
      <c r="J125" s="93">
        <f t="shared" si="3"/>
        <v>7883.19</v>
      </c>
    </row>
    <row r="126" spans="1:10" ht="20.25" customHeight="1" x14ac:dyDescent="0.35">
      <c r="A126" s="43">
        <v>10</v>
      </c>
      <c r="B126" s="64" t="s">
        <v>233</v>
      </c>
      <c r="C126" s="67" t="s">
        <v>234</v>
      </c>
      <c r="D126" s="64">
        <v>3</v>
      </c>
      <c r="E126" s="43">
        <v>2.25</v>
      </c>
      <c r="F126" s="43">
        <v>65</v>
      </c>
      <c r="G126" s="43">
        <v>50</v>
      </c>
      <c r="H126" s="43">
        <v>19300</v>
      </c>
      <c r="I126" s="47">
        <f t="shared" si="4"/>
        <v>12159</v>
      </c>
      <c r="J126" s="93">
        <f t="shared" si="3"/>
        <v>11794.23</v>
      </c>
    </row>
    <row r="127" spans="1:10" ht="20.25" customHeight="1" x14ac:dyDescent="0.35">
      <c r="A127" s="43">
        <v>11</v>
      </c>
      <c r="B127" s="64" t="s">
        <v>235</v>
      </c>
      <c r="C127" s="67" t="s">
        <v>236</v>
      </c>
      <c r="D127" s="64">
        <v>5</v>
      </c>
      <c r="E127" s="56">
        <v>3.75</v>
      </c>
      <c r="F127" s="43">
        <v>65</v>
      </c>
      <c r="G127" s="43">
        <v>50</v>
      </c>
      <c r="H127" s="43">
        <v>18700</v>
      </c>
      <c r="I127" s="47">
        <f t="shared" si="4"/>
        <v>11781</v>
      </c>
      <c r="J127" s="93">
        <f t="shared" si="3"/>
        <v>11427.57</v>
      </c>
    </row>
    <row r="128" spans="1:10" ht="20.25" customHeight="1" x14ac:dyDescent="0.35">
      <c r="A128" s="43">
        <v>12</v>
      </c>
      <c r="B128" s="64" t="s">
        <v>237</v>
      </c>
      <c r="C128" s="67" t="s">
        <v>238</v>
      </c>
      <c r="D128" s="64">
        <v>5</v>
      </c>
      <c r="E128" s="56">
        <v>3.75</v>
      </c>
      <c r="F128" s="43">
        <v>65</v>
      </c>
      <c r="G128" s="43">
        <v>50</v>
      </c>
      <c r="H128" s="43">
        <v>22900</v>
      </c>
      <c r="I128" s="47">
        <f t="shared" si="4"/>
        <v>14427</v>
      </c>
      <c r="J128" s="93">
        <f t="shared" si="3"/>
        <v>13994.19</v>
      </c>
    </row>
    <row r="129" spans="1:10" ht="20.25" customHeight="1" x14ac:dyDescent="0.35">
      <c r="A129" s="284" t="s">
        <v>239</v>
      </c>
      <c r="B129" s="284"/>
      <c r="C129" s="284"/>
      <c r="D129" s="284"/>
      <c r="E129" s="284"/>
      <c r="F129" s="284"/>
      <c r="G129" s="284"/>
      <c r="H129" s="281" t="s">
        <v>109</v>
      </c>
      <c r="I129" s="308" t="s">
        <v>505</v>
      </c>
      <c r="J129" s="308"/>
    </row>
    <row r="130" spans="1:10" ht="20.25" customHeight="1" x14ac:dyDescent="0.35">
      <c r="A130" s="281" t="s">
        <v>2</v>
      </c>
      <c r="B130" s="281" t="s">
        <v>3</v>
      </c>
      <c r="C130" s="283" t="s">
        <v>4</v>
      </c>
      <c r="D130" s="281" t="s">
        <v>5</v>
      </c>
      <c r="E130" s="281"/>
      <c r="F130" s="281" t="s">
        <v>6</v>
      </c>
      <c r="G130" s="281"/>
      <c r="H130" s="281"/>
      <c r="I130" s="330">
        <v>0.37</v>
      </c>
      <c r="J130" s="328">
        <v>0.03</v>
      </c>
    </row>
    <row r="131" spans="1:10" ht="20.25" customHeight="1" x14ac:dyDescent="0.35">
      <c r="A131" s="281"/>
      <c r="B131" s="281"/>
      <c r="C131" s="283"/>
      <c r="D131" s="58" t="s">
        <v>9</v>
      </c>
      <c r="E131" s="58" t="s">
        <v>10</v>
      </c>
      <c r="F131" s="281"/>
      <c r="G131" s="281"/>
      <c r="H131" s="281"/>
      <c r="I131" s="331"/>
      <c r="J131" s="329"/>
    </row>
    <row r="132" spans="1:10" ht="20.25" customHeight="1" x14ac:dyDescent="0.35">
      <c r="A132" s="43">
        <v>1</v>
      </c>
      <c r="B132" s="43" t="s">
        <v>240</v>
      </c>
      <c r="C132" s="68" t="s">
        <v>241</v>
      </c>
      <c r="D132" s="43">
        <v>0.5</v>
      </c>
      <c r="E132" s="43"/>
      <c r="F132" s="279">
        <v>32</v>
      </c>
      <c r="G132" s="279"/>
      <c r="H132" s="43">
        <v>8240</v>
      </c>
      <c r="I132" s="47">
        <f t="shared" ref="I132:I154" si="5">H132*0.63</f>
        <v>5191.2</v>
      </c>
      <c r="J132" s="93">
        <f t="shared" si="3"/>
        <v>5035.4639999999999</v>
      </c>
    </row>
    <row r="133" spans="1:10" ht="20.25" customHeight="1" x14ac:dyDescent="0.35">
      <c r="A133" s="43">
        <v>2</v>
      </c>
      <c r="B133" s="43" t="s">
        <v>242</v>
      </c>
      <c r="C133" s="68" t="s">
        <v>243</v>
      </c>
      <c r="D133" s="43">
        <v>0.5</v>
      </c>
      <c r="E133" s="43"/>
      <c r="F133" s="279">
        <v>32</v>
      </c>
      <c r="G133" s="279"/>
      <c r="H133" s="43">
        <v>8450</v>
      </c>
      <c r="I133" s="47">
        <f t="shared" si="5"/>
        <v>5323.5</v>
      </c>
      <c r="J133" s="93">
        <f t="shared" si="3"/>
        <v>5163.7950000000001</v>
      </c>
    </row>
    <row r="134" spans="1:10" ht="20.25" customHeight="1" x14ac:dyDescent="0.35">
      <c r="A134" s="43">
        <v>3</v>
      </c>
      <c r="B134" s="43" t="s">
        <v>244</v>
      </c>
      <c r="C134" s="68" t="s">
        <v>245</v>
      </c>
      <c r="D134" s="43">
        <v>0.75</v>
      </c>
      <c r="E134" s="43"/>
      <c r="F134" s="279">
        <v>32</v>
      </c>
      <c r="G134" s="279"/>
      <c r="H134" s="43">
        <v>8550</v>
      </c>
      <c r="I134" s="47">
        <f t="shared" si="5"/>
        <v>5386.5</v>
      </c>
      <c r="J134" s="93">
        <f t="shared" si="3"/>
        <v>5224.9049999999997</v>
      </c>
    </row>
    <row r="135" spans="1:10" ht="20.25" customHeight="1" x14ac:dyDescent="0.35">
      <c r="A135" s="43">
        <v>4</v>
      </c>
      <c r="B135" s="43" t="s">
        <v>246</v>
      </c>
      <c r="C135" s="68" t="s">
        <v>247</v>
      </c>
      <c r="D135" s="43">
        <v>0.75</v>
      </c>
      <c r="E135" s="43"/>
      <c r="F135" s="279">
        <v>32</v>
      </c>
      <c r="G135" s="279"/>
      <c r="H135" s="43">
        <v>8750</v>
      </c>
      <c r="I135" s="47">
        <f t="shared" si="5"/>
        <v>5512.5</v>
      </c>
      <c r="J135" s="93">
        <f t="shared" si="3"/>
        <v>5347.125</v>
      </c>
    </row>
    <row r="136" spans="1:10" ht="20.25" customHeight="1" x14ac:dyDescent="0.35">
      <c r="A136" s="43">
        <v>5</v>
      </c>
      <c r="B136" s="43" t="s">
        <v>248</v>
      </c>
      <c r="C136" s="68" t="s">
        <v>249</v>
      </c>
      <c r="D136" s="43">
        <v>1</v>
      </c>
      <c r="E136" s="43"/>
      <c r="F136" s="279">
        <v>32</v>
      </c>
      <c r="G136" s="279"/>
      <c r="H136" s="47">
        <v>8800</v>
      </c>
      <c r="I136" s="47">
        <f t="shared" si="5"/>
        <v>5544</v>
      </c>
      <c r="J136" s="93">
        <f t="shared" si="3"/>
        <v>5377.68</v>
      </c>
    </row>
    <row r="137" spans="1:10" ht="20.25" customHeight="1" x14ac:dyDescent="0.35">
      <c r="A137" s="43">
        <v>6</v>
      </c>
      <c r="B137" s="43" t="s">
        <v>250</v>
      </c>
      <c r="C137" s="68" t="s">
        <v>251</v>
      </c>
      <c r="D137" s="43">
        <v>1</v>
      </c>
      <c r="E137" s="43"/>
      <c r="F137" s="279">
        <v>32</v>
      </c>
      <c r="G137" s="279"/>
      <c r="H137" s="47">
        <v>9000</v>
      </c>
      <c r="I137" s="47">
        <f t="shared" si="5"/>
        <v>5670</v>
      </c>
      <c r="J137" s="93">
        <f t="shared" si="3"/>
        <v>5499.9</v>
      </c>
    </row>
    <row r="138" spans="1:10" ht="20.25" customHeight="1" x14ac:dyDescent="0.35">
      <c r="A138" s="43">
        <v>7</v>
      </c>
      <c r="B138" s="43" t="s">
        <v>252</v>
      </c>
      <c r="C138" s="68" t="s">
        <v>253</v>
      </c>
      <c r="D138" s="43">
        <v>1</v>
      </c>
      <c r="E138" s="43"/>
      <c r="F138" s="279">
        <v>32</v>
      </c>
      <c r="G138" s="279"/>
      <c r="H138" s="43">
        <v>9480</v>
      </c>
      <c r="I138" s="47">
        <f t="shared" si="5"/>
        <v>5972.4</v>
      </c>
      <c r="J138" s="93">
        <f t="shared" si="3"/>
        <v>5793.2279999999992</v>
      </c>
    </row>
    <row r="139" spans="1:10" ht="20.25" customHeight="1" x14ac:dyDescent="0.35">
      <c r="A139" s="43">
        <v>8</v>
      </c>
      <c r="B139" s="43" t="s">
        <v>254</v>
      </c>
      <c r="C139" s="68" t="s">
        <v>255</v>
      </c>
      <c r="D139" s="43">
        <v>1</v>
      </c>
      <c r="E139" s="43"/>
      <c r="F139" s="279">
        <v>32</v>
      </c>
      <c r="G139" s="279"/>
      <c r="H139" s="43">
        <v>9790</v>
      </c>
      <c r="I139" s="47">
        <f t="shared" si="5"/>
        <v>6167.7</v>
      </c>
      <c r="J139" s="93">
        <f t="shared" si="3"/>
        <v>5982.6689999999999</v>
      </c>
    </row>
    <row r="140" spans="1:10" ht="20.25" customHeight="1" x14ac:dyDescent="0.35">
      <c r="A140" s="43">
        <v>9</v>
      </c>
      <c r="B140" s="43" t="s">
        <v>256</v>
      </c>
      <c r="C140" s="68" t="s">
        <v>257</v>
      </c>
      <c r="D140" s="43">
        <v>1.5</v>
      </c>
      <c r="E140" s="43"/>
      <c r="F140" s="279">
        <v>32</v>
      </c>
      <c r="G140" s="279"/>
      <c r="H140" s="43">
        <v>11330</v>
      </c>
      <c r="I140" s="47">
        <f t="shared" si="5"/>
        <v>7137.9</v>
      </c>
      <c r="J140" s="93">
        <f t="shared" ref="J140:J174" si="6">I140*0.97</f>
        <v>6923.762999999999</v>
      </c>
    </row>
    <row r="141" spans="1:10" ht="20.25" customHeight="1" x14ac:dyDescent="0.35">
      <c r="A141" s="43">
        <v>10</v>
      </c>
      <c r="B141" s="43" t="s">
        <v>258</v>
      </c>
      <c r="C141" s="68" t="s">
        <v>259</v>
      </c>
      <c r="D141" s="43">
        <v>1.5</v>
      </c>
      <c r="E141" s="43"/>
      <c r="F141" s="279">
        <v>32</v>
      </c>
      <c r="G141" s="279"/>
      <c r="H141" s="43">
        <v>11640</v>
      </c>
      <c r="I141" s="47">
        <f t="shared" si="5"/>
        <v>7333.2</v>
      </c>
      <c r="J141" s="93">
        <f t="shared" si="6"/>
        <v>7113.2039999999997</v>
      </c>
    </row>
    <row r="142" spans="1:10" ht="20.25" customHeight="1" x14ac:dyDescent="0.35">
      <c r="A142" s="43">
        <v>11</v>
      </c>
      <c r="B142" s="43" t="s">
        <v>260</v>
      </c>
      <c r="C142" s="68" t="s">
        <v>261</v>
      </c>
      <c r="D142" s="43">
        <v>1.5</v>
      </c>
      <c r="E142" s="43"/>
      <c r="F142" s="279">
        <v>32</v>
      </c>
      <c r="G142" s="279"/>
      <c r="H142" s="43">
        <v>11800</v>
      </c>
      <c r="I142" s="47">
        <f t="shared" si="5"/>
        <v>7434</v>
      </c>
      <c r="J142" s="93">
        <f t="shared" si="6"/>
        <v>7210.98</v>
      </c>
    </row>
    <row r="143" spans="1:10" ht="20.25" customHeight="1" x14ac:dyDescent="0.35">
      <c r="A143" s="43">
        <v>12</v>
      </c>
      <c r="B143" s="43" t="s">
        <v>262</v>
      </c>
      <c r="C143" s="68" t="s">
        <v>263</v>
      </c>
      <c r="D143" s="43">
        <v>1.5</v>
      </c>
      <c r="E143" s="43"/>
      <c r="F143" s="279">
        <v>32</v>
      </c>
      <c r="G143" s="279"/>
      <c r="H143" s="43">
        <v>12670</v>
      </c>
      <c r="I143" s="47">
        <f t="shared" si="5"/>
        <v>7982.1</v>
      </c>
      <c r="J143" s="93">
        <f t="shared" si="6"/>
        <v>7742.6369999999997</v>
      </c>
    </row>
    <row r="144" spans="1:10" ht="20.25" customHeight="1" x14ac:dyDescent="0.35">
      <c r="A144" s="43">
        <v>13</v>
      </c>
      <c r="B144" s="43" t="s">
        <v>264</v>
      </c>
      <c r="C144" s="68" t="s">
        <v>265</v>
      </c>
      <c r="D144" s="43">
        <v>2</v>
      </c>
      <c r="E144" s="43"/>
      <c r="F144" s="279">
        <v>40</v>
      </c>
      <c r="G144" s="279"/>
      <c r="H144" s="43">
        <v>14730</v>
      </c>
      <c r="I144" s="47">
        <f t="shared" si="5"/>
        <v>9279.9</v>
      </c>
      <c r="J144" s="93">
        <f t="shared" si="6"/>
        <v>9001.5029999999988</v>
      </c>
    </row>
    <row r="145" spans="1:10" ht="20.25" customHeight="1" x14ac:dyDescent="0.35">
      <c r="A145" s="43">
        <v>14</v>
      </c>
      <c r="B145" s="43" t="s">
        <v>266</v>
      </c>
      <c r="C145" s="68" t="s">
        <v>267</v>
      </c>
      <c r="D145" s="43">
        <v>2</v>
      </c>
      <c r="E145" s="43"/>
      <c r="F145" s="279">
        <v>32</v>
      </c>
      <c r="G145" s="279"/>
      <c r="H145" s="43">
        <v>15250</v>
      </c>
      <c r="I145" s="47">
        <f t="shared" si="5"/>
        <v>9607.5</v>
      </c>
      <c r="J145" s="93">
        <f t="shared" si="6"/>
        <v>9319.2749999999996</v>
      </c>
    </row>
    <row r="146" spans="1:10" ht="20.25" customHeight="1" x14ac:dyDescent="0.35">
      <c r="A146" s="43">
        <v>15</v>
      </c>
      <c r="B146" s="43" t="s">
        <v>268</v>
      </c>
      <c r="C146" s="68" t="s">
        <v>269</v>
      </c>
      <c r="D146" s="43">
        <v>2</v>
      </c>
      <c r="E146" s="43"/>
      <c r="F146" s="279">
        <v>32</v>
      </c>
      <c r="G146" s="279"/>
      <c r="H146" s="43">
        <v>15860</v>
      </c>
      <c r="I146" s="47">
        <f t="shared" si="5"/>
        <v>9991.7999999999993</v>
      </c>
      <c r="J146" s="93">
        <f t="shared" si="6"/>
        <v>9692.0459999999985</v>
      </c>
    </row>
    <row r="147" spans="1:10" ht="20.25" customHeight="1" x14ac:dyDescent="0.35">
      <c r="A147" s="43">
        <v>16</v>
      </c>
      <c r="B147" s="43" t="s">
        <v>270</v>
      </c>
      <c r="C147" s="68" t="s">
        <v>271</v>
      </c>
      <c r="D147" s="43">
        <v>2</v>
      </c>
      <c r="E147" s="43"/>
      <c r="F147" s="279">
        <v>32</v>
      </c>
      <c r="G147" s="279"/>
      <c r="H147" s="43">
        <v>15970</v>
      </c>
      <c r="I147" s="47">
        <f t="shared" si="5"/>
        <v>10061.1</v>
      </c>
      <c r="J147" s="93">
        <f t="shared" si="6"/>
        <v>9759.2669999999998</v>
      </c>
    </row>
    <row r="148" spans="1:10" ht="20.25" customHeight="1" x14ac:dyDescent="0.35">
      <c r="A148" s="43">
        <v>17</v>
      </c>
      <c r="B148" s="43" t="s">
        <v>272</v>
      </c>
      <c r="C148" s="68" t="s">
        <v>273</v>
      </c>
      <c r="D148" s="43">
        <v>2</v>
      </c>
      <c r="E148" s="43"/>
      <c r="F148" s="279">
        <v>32</v>
      </c>
      <c r="G148" s="279"/>
      <c r="H148" s="43">
        <v>16480</v>
      </c>
      <c r="I148" s="47">
        <f t="shared" si="5"/>
        <v>10382.4</v>
      </c>
      <c r="J148" s="93">
        <f t="shared" si="6"/>
        <v>10070.928</v>
      </c>
    </row>
    <row r="149" spans="1:10" ht="20.25" customHeight="1" x14ac:dyDescent="0.35">
      <c r="A149" s="43">
        <v>18</v>
      </c>
      <c r="B149" s="43" t="s">
        <v>274</v>
      </c>
      <c r="C149" s="68" t="s">
        <v>275</v>
      </c>
      <c r="D149" s="43">
        <v>2</v>
      </c>
      <c r="E149" s="43"/>
      <c r="F149" s="279">
        <v>65</v>
      </c>
      <c r="G149" s="279"/>
      <c r="H149" s="43">
        <v>14940</v>
      </c>
      <c r="I149" s="47">
        <f t="shared" si="5"/>
        <v>9412.2000000000007</v>
      </c>
      <c r="J149" s="93">
        <f t="shared" si="6"/>
        <v>9129.8340000000007</v>
      </c>
    </row>
    <row r="150" spans="1:10" ht="20.25" customHeight="1" x14ac:dyDescent="0.35">
      <c r="A150" s="43">
        <v>19</v>
      </c>
      <c r="B150" s="43" t="s">
        <v>276</v>
      </c>
      <c r="C150" s="68" t="s">
        <v>277</v>
      </c>
      <c r="D150" s="43">
        <v>3</v>
      </c>
      <c r="E150" s="43"/>
      <c r="F150" s="279">
        <v>32</v>
      </c>
      <c r="G150" s="279"/>
      <c r="H150" s="43">
        <v>23500</v>
      </c>
      <c r="I150" s="47">
        <f t="shared" si="5"/>
        <v>14805</v>
      </c>
      <c r="J150" s="93">
        <f t="shared" si="6"/>
        <v>14360.85</v>
      </c>
    </row>
    <row r="151" spans="1:10" ht="20.25" customHeight="1" x14ac:dyDescent="0.35">
      <c r="A151" s="43">
        <v>20</v>
      </c>
      <c r="B151" s="43" t="s">
        <v>278</v>
      </c>
      <c r="C151" s="68" t="s">
        <v>279</v>
      </c>
      <c r="D151" s="43">
        <v>3</v>
      </c>
      <c r="E151" s="43"/>
      <c r="F151" s="279">
        <v>32</v>
      </c>
      <c r="G151" s="279"/>
      <c r="H151" s="43">
        <v>24000</v>
      </c>
      <c r="I151" s="47">
        <f t="shared" si="5"/>
        <v>15120</v>
      </c>
      <c r="J151" s="93">
        <f t="shared" si="6"/>
        <v>14666.4</v>
      </c>
    </row>
    <row r="152" spans="1:10" ht="20.25" customHeight="1" x14ac:dyDescent="0.35">
      <c r="A152" s="43">
        <v>21</v>
      </c>
      <c r="B152" s="43" t="s">
        <v>280</v>
      </c>
      <c r="C152" s="68" t="s">
        <v>281</v>
      </c>
      <c r="D152" s="43">
        <v>3</v>
      </c>
      <c r="E152" s="43"/>
      <c r="F152" s="279">
        <v>32</v>
      </c>
      <c r="G152" s="279"/>
      <c r="H152" s="43">
        <v>24500</v>
      </c>
      <c r="I152" s="47">
        <f t="shared" si="5"/>
        <v>15435</v>
      </c>
      <c r="J152" s="93">
        <f t="shared" si="6"/>
        <v>14971.949999999999</v>
      </c>
    </row>
    <row r="153" spans="1:10" ht="20.25" customHeight="1" x14ac:dyDescent="0.35">
      <c r="A153" s="43">
        <v>22</v>
      </c>
      <c r="B153" s="43" t="s">
        <v>282</v>
      </c>
      <c r="C153" s="68" t="s">
        <v>283</v>
      </c>
      <c r="D153" s="43">
        <v>3</v>
      </c>
      <c r="E153" s="43"/>
      <c r="F153" s="279">
        <v>65</v>
      </c>
      <c r="G153" s="279"/>
      <c r="H153" s="43">
        <v>23690</v>
      </c>
      <c r="I153" s="47">
        <f t="shared" si="5"/>
        <v>14924.7</v>
      </c>
      <c r="J153" s="93">
        <f t="shared" si="6"/>
        <v>14476.959000000001</v>
      </c>
    </row>
    <row r="154" spans="1:10" ht="20.25" customHeight="1" x14ac:dyDescent="0.35">
      <c r="A154" s="43">
        <v>23</v>
      </c>
      <c r="B154" s="43" t="s">
        <v>284</v>
      </c>
      <c r="C154" s="68" t="s">
        <v>283</v>
      </c>
      <c r="D154" s="43">
        <v>3</v>
      </c>
      <c r="E154" s="43"/>
      <c r="F154" s="279">
        <v>65</v>
      </c>
      <c r="G154" s="279"/>
      <c r="H154" s="43">
        <v>15450</v>
      </c>
      <c r="I154" s="47">
        <f t="shared" si="5"/>
        <v>9733.5</v>
      </c>
      <c r="J154" s="93">
        <f t="shared" si="6"/>
        <v>9441.494999999999</v>
      </c>
    </row>
    <row r="155" spans="1:10" ht="20.25" customHeight="1" x14ac:dyDescent="0.35">
      <c r="A155" s="284" t="s">
        <v>285</v>
      </c>
      <c r="B155" s="284"/>
      <c r="C155" s="284"/>
      <c r="D155" s="284"/>
      <c r="E155" s="284"/>
      <c r="F155" s="284"/>
      <c r="G155" s="284"/>
      <c r="H155" s="281" t="s">
        <v>109</v>
      </c>
      <c r="I155" s="308" t="s">
        <v>505</v>
      </c>
      <c r="J155" s="308"/>
    </row>
    <row r="156" spans="1:10" ht="20.25" customHeight="1" x14ac:dyDescent="0.35">
      <c r="A156" s="281" t="s">
        <v>2</v>
      </c>
      <c r="B156" s="281" t="s">
        <v>3</v>
      </c>
      <c r="C156" s="283" t="s">
        <v>4</v>
      </c>
      <c r="D156" s="281" t="s">
        <v>5</v>
      </c>
      <c r="E156" s="281"/>
      <c r="F156" s="281" t="s">
        <v>6</v>
      </c>
      <c r="G156" s="281"/>
      <c r="H156" s="281"/>
      <c r="I156" s="330">
        <v>0.37</v>
      </c>
      <c r="J156" s="328">
        <v>0.03</v>
      </c>
    </row>
    <row r="157" spans="1:10" ht="20.25" customHeight="1" x14ac:dyDescent="0.35">
      <c r="A157" s="281"/>
      <c r="B157" s="281"/>
      <c r="C157" s="283"/>
      <c r="D157" s="58" t="s">
        <v>9</v>
      </c>
      <c r="E157" s="58" t="s">
        <v>10</v>
      </c>
      <c r="F157" s="58" t="s">
        <v>11</v>
      </c>
      <c r="G157" s="58" t="s">
        <v>12</v>
      </c>
      <c r="H157" s="281"/>
      <c r="I157" s="331"/>
      <c r="J157" s="329"/>
    </row>
    <row r="158" spans="1:10" ht="20.25" customHeight="1" x14ac:dyDescent="0.35">
      <c r="A158" s="43">
        <v>1</v>
      </c>
      <c r="B158" s="43" t="s">
        <v>286</v>
      </c>
      <c r="C158" s="68" t="s">
        <v>287</v>
      </c>
      <c r="D158" s="43">
        <v>0.5</v>
      </c>
      <c r="E158" s="43"/>
      <c r="F158" s="279">
        <v>32</v>
      </c>
      <c r="G158" s="279"/>
      <c r="H158" s="43">
        <v>6800</v>
      </c>
      <c r="I158" s="47">
        <f t="shared" ref="I158:I174" si="7">H158*0.63</f>
        <v>4284</v>
      </c>
      <c r="J158" s="93">
        <f t="shared" si="6"/>
        <v>4155.4799999999996</v>
      </c>
    </row>
    <row r="159" spans="1:10" ht="20.25" customHeight="1" x14ac:dyDescent="0.35">
      <c r="A159" s="43">
        <v>2</v>
      </c>
      <c r="B159" s="43" t="s">
        <v>288</v>
      </c>
      <c r="C159" s="68" t="s">
        <v>289</v>
      </c>
      <c r="D159" s="43">
        <v>0.5</v>
      </c>
      <c r="E159" s="43"/>
      <c r="F159" s="279">
        <v>32</v>
      </c>
      <c r="G159" s="279"/>
      <c r="H159" s="43">
        <v>7600</v>
      </c>
      <c r="I159" s="47">
        <f t="shared" si="7"/>
        <v>4788</v>
      </c>
      <c r="J159" s="93">
        <f t="shared" si="6"/>
        <v>4644.3599999999997</v>
      </c>
    </row>
    <row r="160" spans="1:10" ht="20.25" customHeight="1" x14ac:dyDescent="0.35">
      <c r="A160" s="43">
        <v>3</v>
      </c>
      <c r="B160" s="43" t="s">
        <v>290</v>
      </c>
      <c r="C160" s="68" t="s">
        <v>291</v>
      </c>
      <c r="D160" s="43">
        <v>0.75</v>
      </c>
      <c r="E160" s="43"/>
      <c r="F160" s="279">
        <v>32</v>
      </c>
      <c r="G160" s="279"/>
      <c r="H160" s="43">
        <v>7800</v>
      </c>
      <c r="I160" s="47">
        <f t="shared" si="7"/>
        <v>4914</v>
      </c>
      <c r="J160" s="93">
        <f t="shared" si="6"/>
        <v>4766.58</v>
      </c>
    </row>
    <row r="161" spans="1:10" ht="20.25" customHeight="1" x14ac:dyDescent="0.35">
      <c r="A161" s="43">
        <v>4</v>
      </c>
      <c r="B161" s="43" t="s">
        <v>292</v>
      </c>
      <c r="C161" s="68" t="s">
        <v>293</v>
      </c>
      <c r="D161" s="43">
        <v>0.75</v>
      </c>
      <c r="E161" s="43"/>
      <c r="F161" s="279">
        <v>32</v>
      </c>
      <c r="G161" s="279"/>
      <c r="H161" s="43">
        <v>8000</v>
      </c>
      <c r="I161" s="47">
        <f t="shared" si="7"/>
        <v>5040</v>
      </c>
      <c r="J161" s="93">
        <f t="shared" si="6"/>
        <v>4888.8</v>
      </c>
    </row>
    <row r="162" spans="1:10" ht="20.25" customHeight="1" x14ac:dyDescent="0.35">
      <c r="A162" s="43">
        <v>5</v>
      </c>
      <c r="B162" s="43" t="s">
        <v>294</v>
      </c>
      <c r="C162" s="68" t="s">
        <v>295</v>
      </c>
      <c r="D162" s="43">
        <v>1</v>
      </c>
      <c r="E162" s="43"/>
      <c r="F162" s="279">
        <v>32</v>
      </c>
      <c r="G162" s="279"/>
      <c r="H162" s="43">
        <v>8200</v>
      </c>
      <c r="I162" s="47">
        <f t="shared" si="7"/>
        <v>5166</v>
      </c>
      <c r="J162" s="93">
        <f t="shared" si="6"/>
        <v>5011.0199999999995</v>
      </c>
    </row>
    <row r="163" spans="1:10" ht="20.25" customHeight="1" x14ac:dyDescent="0.35">
      <c r="A163" s="43">
        <v>6</v>
      </c>
      <c r="B163" s="43" t="s">
        <v>296</v>
      </c>
      <c r="C163" s="68" t="s">
        <v>297</v>
      </c>
      <c r="D163" s="43">
        <v>1</v>
      </c>
      <c r="E163" s="43"/>
      <c r="F163" s="279">
        <v>32</v>
      </c>
      <c r="G163" s="279"/>
      <c r="H163" s="43">
        <v>8400</v>
      </c>
      <c r="I163" s="47">
        <f t="shared" si="7"/>
        <v>5292</v>
      </c>
      <c r="J163" s="93">
        <f t="shared" si="6"/>
        <v>5133.24</v>
      </c>
    </row>
    <row r="164" spans="1:10" ht="20.25" customHeight="1" x14ac:dyDescent="0.35">
      <c r="A164" s="43">
        <v>7</v>
      </c>
      <c r="B164" s="43" t="s">
        <v>298</v>
      </c>
      <c r="C164" s="68" t="s">
        <v>299</v>
      </c>
      <c r="D164" s="43">
        <v>1</v>
      </c>
      <c r="E164" s="43"/>
      <c r="F164" s="279">
        <v>32</v>
      </c>
      <c r="G164" s="279"/>
      <c r="H164" s="43">
        <v>8600</v>
      </c>
      <c r="I164" s="47">
        <f t="shared" si="7"/>
        <v>5418</v>
      </c>
      <c r="J164" s="93">
        <f t="shared" si="6"/>
        <v>5255.46</v>
      </c>
    </row>
    <row r="165" spans="1:10" ht="20.25" customHeight="1" x14ac:dyDescent="0.35">
      <c r="A165" s="43">
        <v>8</v>
      </c>
      <c r="B165" s="43" t="s">
        <v>300</v>
      </c>
      <c r="C165" s="68" t="s">
        <v>301</v>
      </c>
      <c r="D165" s="43">
        <v>1.5</v>
      </c>
      <c r="E165" s="43"/>
      <c r="F165" s="279">
        <v>32</v>
      </c>
      <c r="G165" s="279"/>
      <c r="H165" s="43">
        <v>9000</v>
      </c>
      <c r="I165" s="47">
        <f t="shared" si="7"/>
        <v>5670</v>
      </c>
      <c r="J165" s="93">
        <f t="shared" si="6"/>
        <v>5499.9</v>
      </c>
    </row>
    <row r="166" spans="1:10" ht="20.25" customHeight="1" x14ac:dyDescent="0.35">
      <c r="A166" s="43">
        <v>9</v>
      </c>
      <c r="B166" s="43" t="s">
        <v>302</v>
      </c>
      <c r="C166" s="68" t="s">
        <v>303</v>
      </c>
      <c r="D166" s="43">
        <v>1.5</v>
      </c>
      <c r="E166" s="43"/>
      <c r="F166" s="279">
        <v>32</v>
      </c>
      <c r="G166" s="279"/>
      <c r="H166" s="43">
        <v>10600</v>
      </c>
      <c r="I166" s="47">
        <f t="shared" si="7"/>
        <v>6678</v>
      </c>
      <c r="J166" s="93">
        <f t="shared" si="6"/>
        <v>6477.66</v>
      </c>
    </row>
    <row r="167" spans="1:10" ht="20.25" customHeight="1" x14ac:dyDescent="0.35">
      <c r="A167" s="43">
        <v>10</v>
      </c>
      <c r="B167" s="43" t="s">
        <v>304</v>
      </c>
      <c r="C167" s="68" t="s">
        <v>305</v>
      </c>
      <c r="D167" s="43">
        <v>1.5</v>
      </c>
      <c r="E167" s="43"/>
      <c r="F167" s="279">
        <v>32</v>
      </c>
      <c r="G167" s="279"/>
      <c r="H167" s="43">
        <v>11000</v>
      </c>
      <c r="I167" s="47">
        <f t="shared" si="7"/>
        <v>6930</v>
      </c>
      <c r="J167" s="93">
        <f t="shared" si="6"/>
        <v>6722.0999999999995</v>
      </c>
    </row>
    <row r="168" spans="1:10" ht="20.25" customHeight="1" x14ac:dyDescent="0.35">
      <c r="A168" s="43">
        <v>11</v>
      </c>
      <c r="B168" s="43" t="s">
        <v>306</v>
      </c>
      <c r="C168" s="68" t="s">
        <v>307</v>
      </c>
      <c r="D168" s="43">
        <v>2</v>
      </c>
      <c r="E168" s="43"/>
      <c r="F168" s="279">
        <v>32</v>
      </c>
      <c r="G168" s="279"/>
      <c r="H168" s="43">
        <v>13000</v>
      </c>
      <c r="I168" s="47">
        <f t="shared" si="7"/>
        <v>8190</v>
      </c>
      <c r="J168" s="93">
        <f t="shared" si="6"/>
        <v>7944.3</v>
      </c>
    </row>
    <row r="169" spans="1:10" ht="20.25" customHeight="1" x14ac:dyDescent="0.35">
      <c r="A169" s="43">
        <v>12</v>
      </c>
      <c r="B169" s="43" t="s">
        <v>308</v>
      </c>
      <c r="C169" s="68" t="s">
        <v>309</v>
      </c>
      <c r="D169" s="43">
        <v>2</v>
      </c>
      <c r="E169" s="43"/>
      <c r="F169" s="279">
        <v>32</v>
      </c>
      <c r="G169" s="279"/>
      <c r="H169" s="43">
        <v>15500</v>
      </c>
      <c r="I169" s="47">
        <f t="shared" si="7"/>
        <v>9765</v>
      </c>
      <c r="J169" s="93">
        <f t="shared" si="6"/>
        <v>9472.0499999999993</v>
      </c>
    </row>
    <row r="170" spans="1:10" ht="20.25" customHeight="1" x14ac:dyDescent="0.35">
      <c r="A170" s="43">
        <v>13</v>
      </c>
      <c r="B170" s="43" t="s">
        <v>310</v>
      </c>
      <c r="C170" s="68" t="s">
        <v>311</v>
      </c>
      <c r="D170" s="43">
        <v>3</v>
      </c>
      <c r="E170" s="43"/>
      <c r="F170" s="279">
        <v>32</v>
      </c>
      <c r="G170" s="279"/>
      <c r="H170" s="43">
        <v>19000</v>
      </c>
      <c r="I170" s="47">
        <f t="shared" si="7"/>
        <v>11970</v>
      </c>
      <c r="J170" s="93">
        <f t="shared" si="6"/>
        <v>11610.9</v>
      </c>
    </row>
    <row r="171" spans="1:10" ht="20.25" customHeight="1" x14ac:dyDescent="0.35">
      <c r="A171" s="43">
        <v>14</v>
      </c>
      <c r="B171" s="43" t="s">
        <v>312</v>
      </c>
      <c r="C171" s="68" t="s">
        <v>313</v>
      </c>
      <c r="D171" s="43">
        <v>3</v>
      </c>
      <c r="E171" s="43"/>
      <c r="F171" s="279">
        <v>32</v>
      </c>
      <c r="G171" s="279"/>
      <c r="H171" s="43">
        <v>20000</v>
      </c>
      <c r="I171" s="47">
        <f t="shared" si="7"/>
        <v>12600</v>
      </c>
      <c r="J171" s="93">
        <f t="shared" si="6"/>
        <v>12222</v>
      </c>
    </row>
    <row r="172" spans="1:10" ht="20.25" customHeight="1" x14ac:dyDescent="0.35">
      <c r="A172" s="43">
        <v>15</v>
      </c>
      <c r="B172" s="43" t="s">
        <v>314</v>
      </c>
      <c r="C172" s="68" t="s">
        <v>315</v>
      </c>
      <c r="D172" s="43">
        <v>3</v>
      </c>
      <c r="E172" s="43"/>
      <c r="F172" s="279">
        <v>32</v>
      </c>
      <c r="G172" s="279"/>
      <c r="H172" s="43">
        <v>20500</v>
      </c>
      <c r="I172" s="47">
        <f t="shared" si="7"/>
        <v>12915</v>
      </c>
      <c r="J172" s="93">
        <f t="shared" si="6"/>
        <v>12527.55</v>
      </c>
    </row>
    <row r="173" spans="1:10" ht="20.25" customHeight="1" x14ac:dyDescent="0.35">
      <c r="A173" s="69">
        <v>14</v>
      </c>
      <c r="B173" s="69" t="s">
        <v>312</v>
      </c>
      <c r="C173" s="70" t="s">
        <v>313</v>
      </c>
      <c r="D173" s="69">
        <v>3</v>
      </c>
      <c r="E173" s="69"/>
      <c r="F173" s="280">
        <v>32</v>
      </c>
      <c r="G173" s="280"/>
      <c r="H173" s="71">
        <v>12600</v>
      </c>
      <c r="I173" s="47">
        <f t="shared" si="7"/>
        <v>7938</v>
      </c>
      <c r="J173" s="93">
        <f t="shared" si="6"/>
        <v>7699.86</v>
      </c>
    </row>
    <row r="174" spans="1:10" ht="20.25" customHeight="1" x14ac:dyDescent="0.35">
      <c r="A174" s="69">
        <v>15</v>
      </c>
      <c r="B174" s="69" t="s">
        <v>314</v>
      </c>
      <c r="C174" s="70" t="s">
        <v>315</v>
      </c>
      <c r="D174" s="69">
        <v>3</v>
      </c>
      <c r="E174" s="69"/>
      <c r="F174" s="280">
        <v>32</v>
      </c>
      <c r="G174" s="280"/>
      <c r="H174" s="71">
        <v>12915</v>
      </c>
      <c r="I174" s="47">
        <f t="shared" si="7"/>
        <v>8136.45</v>
      </c>
      <c r="J174" s="93">
        <f t="shared" si="6"/>
        <v>7892.3564999999999</v>
      </c>
    </row>
  </sheetData>
  <mergeCells count="111">
    <mergeCell ref="A55:G55"/>
    <mergeCell ref="H55:H57"/>
    <mergeCell ref="A56:A57"/>
    <mergeCell ref="B56:B57"/>
    <mergeCell ref="C56:C57"/>
    <mergeCell ref="D56:E56"/>
    <mergeCell ref="F56:G56"/>
    <mergeCell ref="A5:A6"/>
    <mergeCell ref="B5:B6"/>
    <mergeCell ref="C5:C6"/>
    <mergeCell ref="D5:E5"/>
    <mergeCell ref="F5:G5"/>
    <mergeCell ref="H5:H6"/>
    <mergeCell ref="H114:H116"/>
    <mergeCell ref="D74:D91"/>
    <mergeCell ref="E74:E91"/>
    <mergeCell ref="D92:D103"/>
    <mergeCell ref="E92:E103"/>
    <mergeCell ref="D104:D106"/>
    <mergeCell ref="E104:E106"/>
    <mergeCell ref="D58:D59"/>
    <mergeCell ref="E58:E59"/>
    <mergeCell ref="D61:D66"/>
    <mergeCell ref="E61:E66"/>
    <mergeCell ref="D67:D73"/>
    <mergeCell ref="E67:E73"/>
    <mergeCell ref="A115:A116"/>
    <mergeCell ref="B115:B116"/>
    <mergeCell ref="C115:C116"/>
    <mergeCell ref="D115:E115"/>
    <mergeCell ref="F115:G115"/>
    <mergeCell ref="D108:D109"/>
    <mergeCell ref="E108:E109"/>
    <mergeCell ref="D110:D113"/>
    <mergeCell ref="E110:E113"/>
    <mergeCell ref="A114:G114"/>
    <mergeCell ref="F132:G132"/>
    <mergeCell ref="F133:G133"/>
    <mergeCell ref="F134:G134"/>
    <mergeCell ref="F135:G135"/>
    <mergeCell ref="F136:G136"/>
    <mergeCell ref="F137:G137"/>
    <mergeCell ref="A129:G129"/>
    <mergeCell ref="H129:H131"/>
    <mergeCell ref="A130:A131"/>
    <mergeCell ref="B130:B131"/>
    <mergeCell ref="C130:C131"/>
    <mergeCell ref="D130:E130"/>
    <mergeCell ref="F130:G131"/>
    <mergeCell ref="F144:G144"/>
    <mergeCell ref="F145:G145"/>
    <mergeCell ref="F146:G146"/>
    <mergeCell ref="F147:G147"/>
    <mergeCell ref="F148:G148"/>
    <mergeCell ref="F149:G149"/>
    <mergeCell ref="F138:G138"/>
    <mergeCell ref="F139:G139"/>
    <mergeCell ref="F140:G140"/>
    <mergeCell ref="F141:G141"/>
    <mergeCell ref="F142:G142"/>
    <mergeCell ref="F143:G143"/>
    <mergeCell ref="B156:B157"/>
    <mergeCell ref="C156:C157"/>
    <mergeCell ref="D156:E156"/>
    <mergeCell ref="F156:G156"/>
    <mergeCell ref="F150:G150"/>
    <mergeCell ref="F151:G151"/>
    <mergeCell ref="F152:G152"/>
    <mergeCell ref="F153:G153"/>
    <mergeCell ref="F154:G154"/>
    <mergeCell ref="A155:G155"/>
    <mergeCell ref="F170:G170"/>
    <mergeCell ref="F171:G171"/>
    <mergeCell ref="F172:G172"/>
    <mergeCell ref="F173:G173"/>
    <mergeCell ref="F174:G174"/>
    <mergeCell ref="A1:J3"/>
    <mergeCell ref="A4:J4"/>
    <mergeCell ref="I5:J5"/>
    <mergeCell ref="I7:J7"/>
    <mergeCell ref="I8:J8"/>
    <mergeCell ref="F164:G164"/>
    <mergeCell ref="F165:G165"/>
    <mergeCell ref="F166:G166"/>
    <mergeCell ref="F167:G167"/>
    <mergeCell ref="F168:G168"/>
    <mergeCell ref="F169:G169"/>
    <mergeCell ref="F158:G158"/>
    <mergeCell ref="F159:G159"/>
    <mergeCell ref="F160:G160"/>
    <mergeCell ref="F161:G161"/>
    <mergeCell ref="F162:G162"/>
    <mergeCell ref="F163:G163"/>
    <mergeCell ref="H155:H157"/>
    <mergeCell ref="A156:A157"/>
    <mergeCell ref="J115:J116"/>
    <mergeCell ref="I55:J55"/>
    <mergeCell ref="I56:I57"/>
    <mergeCell ref="J56:J57"/>
    <mergeCell ref="I9:J9"/>
    <mergeCell ref="I10:J10"/>
    <mergeCell ref="I155:J155"/>
    <mergeCell ref="I156:I157"/>
    <mergeCell ref="J156:J157"/>
    <mergeCell ref="I129:J129"/>
    <mergeCell ref="I130:I131"/>
    <mergeCell ref="J130:J131"/>
    <mergeCell ref="I114:J114"/>
    <mergeCell ref="I115:I116"/>
    <mergeCell ref="I117:J117"/>
    <mergeCell ref="I118:J118"/>
  </mergeCells>
  <conditionalFormatting sqref="B7:B172">
    <cfRule type="duplicateValues" dxfId="18" priority="1"/>
  </conditionalFormatting>
  <pageMargins left="0.7" right="0.7" top="0.75" bottom="0.75" header="0.3" footer="0.3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K172"/>
  <sheetViews>
    <sheetView topLeftCell="A115" workbookViewId="0">
      <selection activeCell="I118" sqref="I118:K118"/>
    </sheetView>
  </sheetViews>
  <sheetFormatPr defaultRowHeight="17.25" customHeight="1" x14ac:dyDescent="0.35"/>
  <cols>
    <col min="2" max="2" width="12.81640625" customWidth="1"/>
    <col min="3" max="3" width="15.81640625" customWidth="1"/>
  </cols>
  <sheetData>
    <row r="1" spans="1:11" ht="17.25" customHeight="1" x14ac:dyDescent="0.35">
      <c r="A1" s="203" t="s">
        <v>0</v>
      </c>
      <c r="B1" s="204"/>
      <c r="C1" s="204"/>
      <c r="D1" s="204"/>
      <c r="E1" s="204"/>
      <c r="F1" s="204"/>
      <c r="G1" s="204"/>
      <c r="H1" s="204"/>
      <c r="I1" s="204"/>
      <c r="J1" s="204"/>
      <c r="K1" s="204"/>
    </row>
    <row r="2" spans="1:11" ht="17.25" customHeight="1" x14ac:dyDescent="0.35">
      <c r="A2" s="203"/>
      <c r="B2" s="204"/>
      <c r="C2" s="204"/>
      <c r="D2" s="204"/>
      <c r="E2" s="204"/>
      <c r="F2" s="204"/>
      <c r="G2" s="204"/>
      <c r="H2" s="204"/>
      <c r="I2" s="204"/>
      <c r="J2" s="204"/>
      <c r="K2" s="204"/>
    </row>
    <row r="3" spans="1:11" ht="17.25" customHeight="1" x14ac:dyDescent="0.35">
      <c r="A3" s="203"/>
      <c r="B3" s="204"/>
      <c r="C3" s="204"/>
      <c r="D3" s="204"/>
      <c r="E3" s="204"/>
      <c r="F3" s="204"/>
      <c r="G3" s="204"/>
      <c r="H3" s="204"/>
      <c r="I3" s="204"/>
      <c r="J3" s="204"/>
      <c r="K3" s="204"/>
    </row>
    <row r="4" spans="1:11" ht="25.5" customHeight="1" x14ac:dyDescent="0.35">
      <c r="A4" s="313" t="s">
        <v>540</v>
      </c>
      <c r="B4" s="314"/>
      <c r="C4" s="314"/>
      <c r="D4" s="314"/>
      <c r="E4" s="314"/>
      <c r="F4" s="314"/>
      <c r="G4" s="314"/>
      <c r="H4" s="314"/>
      <c r="I4" s="314"/>
      <c r="J4" s="314"/>
      <c r="K4" s="314"/>
    </row>
    <row r="5" spans="1:11" ht="17.25" customHeight="1" x14ac:dyDescent="0.35">
      <c r="A5" s="287" t="s">
        <v>2</v>
      </c>
      <c r="B5" s="287" t="s">
        <v>3</v>
      </c>
      <c r="C5" s="287" t="s">
        <v>4</v>
      </c>
      <c r="D5" s="287" t="s">
        <v>5</v>
      </c>
      <c r="E5" s="287"/>
      <c r="F5" s="287" t="s">
        <v>6</v>
      </c>
      <c r="G5" s="287"/>
      <c r="H5" s="287" t="s">
        <v>7</v>
      </c>
      <c r="I5" s="315" t="s">
        <v>334</v>
      </c>
      <c r="J5" s="315"/>
      <c r="K5" s="315"/>
    </row>
    <row r="6" spans="1:11" ht="17.25" customHeight="1" x14ac:dyDescent="0.35">
      <c r="A6" s="287"/>
      <c r="B6" s="287"/>
      <c r="C6" s="287"/>
      <c r="D6" s="11" t="s">
        <v>9</v>
      </c>
      <c r="E6" s="11" t="s">
        <v>10</v>
      </c>
      <c r="F6" s="11" t="s">
        <v>11</v>
      </c>
      <c r="G6" s="11" t="s">
        <v>12</v>
      </c>
      <c r="H6" s="287"/>
      <c r="I6" s="41">
        <v>0.35</v>
      </c>
      <c r="J6" s="41">
        <v>0.03</v>
      </c>
      <c r="K6" s="41">
        <v>0.03</v>
      </c>
    </row>
    <row r="7" spans="1:11" ht="17.25" customHeight="1" x14ac:dyDescent="0.35">
      <c r="A7" s="6">
        <v>1</v>
      </c>
      <c r="B7" s="4" t="s">
        <v>13</v>
      </c>
      <c r="C7" s="12" t="s">
        <v>14</v>
      </c>
      <c r="D7" s="2">
        <v>0.5</v>
      </c>
      <c r="E7" s="2">
        <v>0.37</v>
      </c>
      <c r="F7" s="2">
        <v>25</v>
      </c>
      <c r="G7" s="2">
        <v>25</v>
      </c>
      <c r="H7" s="13">
        <v>2640</v>
      </c>
      <c r="I7" s="295">
        <f>H7*0.63</f>
        <v>1663.2</v>
      </c>
      <c r="J7" s="325"/>
      <c r="K7" s="325"/>
    </row>
    <row r="8" spans="1:11" ht="17.25" customHeight="1" x14ac:dyDescent="0.35">
      <c r="A8" s="6">
        <v>2</v>
      </c>
      <c r="B8" s="4" t="s">
        <v>15</v>
      </c>
      <c r="C8" s="12" t="s">
        <v>16</v>
      </c>
      <c r="D8" s="2">
        <v>1</v>
      </c>
      <c r="E8" s="2">
        <v>0.75</v>
      </c>
      <c r="F8" s="2">
        <v>25</v>
      </c>
      <c r="G8" s="2">
        <v>25</v>
      </c>
      <c r="H8" s="13">
        <v>3420</v>
      </c>
      <c r="I8" s="295">
        <f>H8*0.63</f>
        <v>2154.6</v>
      </c>
      <c r="J8" s="325"/>
      <c r="K8" s="325"/>
    </row>
    <row r="9" spans="1:11" ht="17.25" customHeight="1" x14ac:dyDescent="0.35">
      <c r="A9" s="4">
        <v>3</v>
      </c>
      <c r="B9" s="4" t="s">
        <v>17</v>
      </c>
      <c r="C9" s="12" t="s">
        <v>18</v>
      </c>
      <c r="D9" s="2">
        <v>0.5</v>
      </c>
      <c r="E9" s="2">
        <v>0.37</v>
      </c>
      <c r="F9" s="2">
        <v>25</v>
      </c>
      <c r="G9" s="2">
        <v>25</v>
      </c>
      <c r="H9" s="13">
        <v>2840</v>
      </c>
      <c r="I9" s="295">
        <f>H9*0.63</f>
        <v>1789.2</v>
      </c>
      <c r="J9" s="325"/>
      <c r="K9" s="325"/>
    </row>
    <row r="10" spans="1:11" ht="17.25" customHeight="1" x14ac:dyDescent="0.35">
      <c r="A10" s="6">
        <v>4</v>
      </c>
      <c r="B10" s="4" t="s">
        <v>19</v>
      </c>
      <c r="C10" s="12" t="s">
        <v>20</v>
      </c>
      <c r="D10" s="2">
        <v>1</v>
      </c>
      <c r="E10" s="2">
        <v>0.75</v>
      </c>
      <c r="F10" s="2">
        <v>25</v>
      </c>
      <c r="G10" s="2">
        <v>25</v>
      </c>
      <c r="H10" s="13">
        <v>3660</v>
      </c>
      <c r="I10" s="295">
        <f>H10*0.63</f>
        <v>2305.8000000000002</v>
      </c>
      <c r="J10" s="325"/>
      <c r="K10" s="325"/>
    </row>
    <row r="11" spans="1:11" ht="17.25" customHeight="1" x14ac:dyDescent="0.35">
      <c r="A11" s="6">
        <v>5</v>
      </c>
      <c r="B11" s="6" t="s">
        <v>21</v>
      </c>
      <c r="C11" s="14" t="s">
        <v>22</v>
      </c>
      <c r="D11" s="2">
        <v>0.5</v>
      </c>
      <c r="E11" s="2">
        <v>0.37</v>
      </c>
      <c r="F11" s="2">
        <v>25</v>
      </c>
      <c r="G11" s="2">
        <v>25</v>
      </c>
      <c r="H11" s="8">
        <v>3160</v>
      </c>
      <c r="I11" s="26">
        <f>H11*0.65</f>
        <v>2054</v>
      </c>
      <c r="J11" s="26">
        <f>I11*0.97</f>
        <v>1992.3799999999999</v>
      </c>
      <c r="K11" s="26">
        <f>J11*0.97</f>
        <v>1932.6085999999998</v>
      </c>
    </row>
    <row r="12" spans="1:11" ht="17.25" customHeight="1" x14ac:dyDescent="0.35">
      <c r="A12" s="6">
        <v>6</v>
      </c>
      <c r="B12" s="6" t="s">
        <v>23</v>
      </c>
      <c r="C12" s="14" t="s">
        <v>24</v>
      </c>
      <c r="D12" s="2">
        <v>1</v>
      </c>
      <c r="E12" s="2">
        <v>0.75</v>
      </c>
      <c r="F12" s="2">
        <v>25</v>
      </c>
      <c r="G12" s="2">
        <v>25</v>
      </c>
      <c r="H12" s="8">
        <v>4120</v>
      </c>
      <c r="I12" s="26">
        <f t="shared" ref="I12:I25" si="0">H12*0.65</f>
        <v>2678</v>
      </c>
      <c r="J12" s="26">
        <f t="shared" ref="J12:K25" si="1">I12*0.97</f>
        <v>2597.66</v>
      </c>
      <c r="K12" s="26">
        <f t="shared" si="1"/>
        <v>2519.7302</v>
      </c>
    </row>
    <row r="13" spans="1:11" ht="17.25" customHeight="1" x14ac:dyDescent="0.35">
      <c r="A13" s="4">
        <v>7</v>
      </c>
      <c r="B13" s="4" t="s">
        <v>25</v>
      </c>
      <c r="C13" s="12" t="s">
        <v>26</v>
      </c>
      <c r="D13" s="2">
        <v>1.5</v>
      </c>
      <c r="E13" s="2">
        <v>1</v>
      </c>
      <c r="F13" s="2">
        <v>25</v>
      </c>
      <c r="G13" s="2">
        <v>25</v>
      </c>
      <c r="H13" s="8">
        <v>5750</v>
      </c>
      <c r="I13" s="26">
        <f t="shared" si="0"/>
        <v>3737.5</v>
      </c>
      <c r="J13" s="26">
        <f t="shared" si="1"/>
        <v>3625.375</v>
      </c>
      <c r="K13" s="26">
        <f t="shared" si="1"/>
        <v>3516.61375</v>
      </c>
    </row>
    <row r="14" spans="1:11" ht="17.25" customHeight="1" x14ac:dyDescent="0.35">
      <c r="A14" s="6">
        <v>8</v>
      </c>
      <c r="B14" s="6" t="s">
        <v>27</v>
      </c>
      <c r="C14" s="14" t="s">
        <v>28</v>
      </c>
      <c r="D14" s="2">
        <v>0.5</v>
      </c>
      <c r="E14" s="2">
        <v>0.37</v>
      </c>
      <c r="F14" s="2">
        <v>25</v>
      </c>
      <c r="G14" s="2">
        <v>25</v>
      </c>
      <c r="H14" s="8">
        <v>3520</v>
      </c>
      <c r="I14" s="26">
        <f t="shared" si="0"/>
        <v>2288</v>
      </c>
      <c r="J14" s="26">
        <f t="shared" si="1"/>
        <v>2219.36</v>
      </c>
      <c r="K14" s="26">
        <f t="shared" si="1"/>
        <v>2152.7791999999999</v>
      </c>
    </row>
    <row r="15" spans="1:11" ht="17.25" customHeight="1" x14ac:dyDescent="0.35">
      <c r="A15" s="6">
        <v>9</v>
      </c>
      <c r="B15" s="4" t="s">
        <v>29</v>
      </c>
      <c r="C15" s="15" t="s">
        <v>30</v>
      </c>
      <c r="D15" s="2">
        <v>1</v>
      </c>
      <c r="E15" s="2">
        <v>0.75</v>
      </c>
      <c r="F15" s="2">
        <v>25</v>
      </c>
      <c r="G15" s="2">
        <v>25</v>
      </c>
      <c r="H15" s="8">
        <v>3660</v>
      </c>
      <c r="I15" s="26">
        <f t="shared" si="0"/>
        <v>2379</v>
      </c>
      <c r="J15" s="26">
        <f t="shared" si="1"/>
        <v>2307.63</v>
      </c>
      <c r="K15" s="26">
        <f t="shared" si="1"/>
        <v>2238.4011</v>
      </c>
    </row>
    <row r="16" spans="1:11" ht="17.25" customHeight="1" x14ac:dyDescent="0.35">
      <c r="A16" s="6">
        <v>10</v>
      </c>
      <c r="B16" s="4" t="s">
        <v>31</v>
      </c>
      <c r="C16" s="12" t="s">
        <v>32</v>
      </c>
      <c r="D16" s="2">
        <v>1</v>
      </c>
      <c r="E16" s="2">
        <v>0.75</v>
      </c>
      <c r="F16" s="2">
        <v>25</v>
      </c>
      <c r="G16" s="2">
        <v>25</v>
      </c>
      <c r="H16" s="8">
        <v>4220</v>
      </c>
      <c r="I16" s="26">
        <f t="shared" si="0"/>
        <v>2743</v>
      </c>
      <c r="J16" s="26">
        <f t="shared" si="1"/>
        <v>2660.71</v>
      </c>
      <c r="K16" s="26">
        <f t="shared" si="1"/>
        <v>2580.8887</v>
      </c>
    </row>
    <row r="17" spans="1:11" ht="17.25" customHeight="1" x14ac:dyDescent="0.35">
      <c r="A17" s="4">
        <v>11</v>
      </c>
      <c r="B17" s="6" t="s">
        <v>33</v>
      </c>
      <c r="C17" s="14" t="s">
        <v>34</v>
      </c>
      <c r="D17" s="2">
        <v>0.75</v>
      </c>
      <c r="E17" s="2">
        <v>0.56000000000000005</v>
      </c>
      <c r="F17" s="2">
        <v>25</v>
      </c>
      <c r="G17" s="2">
        <v>25</v>
      </c>
      <c r="H17" s="8">
        <v>4080</v>
      </c>
      <c r="I17" s="26">
        <f t="shared" si="0"/>
        <v>2652</v>
      </c>
      <c r="J17" s="26">
        <f t="shared" si="1"/>
        <v>2572.44</v>
      </c>
      <c r="K17" s="26">
        <f t="shared" si="1"/>
        <v>2495.2667999999999</v>
      </c>
    </row>
    <row r="18" spans="1:11" ht="17.25" customHeight="1" x14ac:dyDescent="0.35">
      <c r="A18" s="6">
        <v>12</v>
      </c>
      <c r="B18" s="4" t="s">
        <v>35</v>
      </c>
      <c r="C18" s="16" t="s">
        <v>36</v>
      </c>
      <c r="D18" s="2">
        <v>1</v>
      </c>
      <c r="E18" s="2">
        <v>0.75</v>
      </c>
      <c r="F18" s="2">
        <v>25</v>
      </c>
      <c r="G18" s="2">
        <v>25</v>
      </c>
      <c r="H18" s="8">
        <v>4730</v>
      </c>
      <c r="I18" s="26">
        <f t="shared" si="0"/>
        <v>3074.5</v>
      </c>
      <c r="J18" s="26">
        <f t="shared" si="1"/>
        <v>2982.2649999999999</v>
      </c>
      <c r="K18" s="26">
        <f t="shared" si="1"/>
        <v>2892.7970499999997</v>
      </c>
    </row>
    <row r="19" spans="1:11" ht="17.25" customHeight="1" x14ac:dyDescent="0.35">
      <c r="A19" s="6">
        <v>13</v>
      </c>
      <c r="B19" s="4" t="s">
        <v>37</v>
      </c>
      <c r="C19" s="16" t="s">
        <v>38</v>
      </c>
      <c r="D19" s="2">
        <v>1</v>
      </c>
      <c r="E19" s="2">
        <v>0.75</v>
      </c>
      <c r="F19" s="2">
        <v>25</v>
      </c>
      <c r="G19" s="2">
        <v>25</v>
      </c>
      <c r="H19" s="8">
        <v>4730</v>
      </c>
      <c r="I19" s="26">
        <f t="shared" si="0"/>
        <v>3074.5</v>
      </c>
      <c r="J19" s="26">
        <f t="shared" si="1"/>
        <v>2982.2649999999999</v>
      </c>
      <c r="K19" s="26">
        <f t="shared" si="1"/>
        <v>2892.7970499999997</v>
      </c>
    </row>
    <row r="20" spans="1:11" ht="17.25" customHeight="1" x14ac:dyDescent="0.35">
      <c r="A20" s="6">
        <v>14</v>
      </c>
      <c r="B20" s="6" t="s">
        <v>39</v>
      </c>
      <c r="C20" s="14" t="s">
        <v>40</v>
      </c>
      <c r="D20" s="2">
        <v>1</v>
      </c>
      <c r="E20" s="2">
        <v>0.75</v>
      </c>
      <c r="F20" s="2">
        <v>25</v>
      </c>
      <c r="G20" s="2">
        <v>25</v>
      </c>
      <c r="H20" s="8">
        <v>5170</v>
      </c>
      <c r="I20" s="26">
        <f t="shared" si="0"/>
        <v>3360.5</v>
      </c>
      <c r="J20" s="26">
        <f t="shared" si="1"/>
        <v>3259.6849999999999</v>
      </c>
      <c r="K20" s="26">
        <f t="shared" si="1"/>
        <v>3161.8944499999998</v>
      </c>
    </row>
    <row r="21" spans="1:11" ht="17.25" customHeight="1" x14ac:dyDescent="0.35">
      <c r="A21" s="4">
        <v>15</v>
      </c>
      <c r="B21" s="6" t="s">
        <v>41</v>
      </c>
      <c r="C21" s="14" t="s">
        <v>42</v>
      </c>
      <c r="D21" s="2">
        <v>1</v>
      </c>
      <c r="E21" s="2">
        <v>0.75</v>
      </c>
      <c r="F21" s="2">
        <v>25</v>
      </c>
      <c r="G21" s="2">
        <v>25</v>
      </c>
      <c r="H21" s="8">
        <v>4670</v>
      </c>
      <c r="I21" s="26">
        <f t="shared" si="0"/>
        <v>3035.5</v>
      </c>
      <c r="J21" s="26">
        <f t="shared" si="1"/>
        <v>2944.4349999999999</v>
      </c>
      <c r="K21" s="26">
        <f t="shared" si="1"/>
        <v>2856.1019499999998</v>
      </c>
    </row>
    <row r="22" spans="1:11" ht="17.25" customHeight="1" x14ac:dyDescent="0.35">
      <c r="A22" s="6">
        <v>16</v>
      </c>
      <c r="B22" s="4" t="s">
        <v>43</v>
      </c>
      <c r="C22" s="12" t="s">
        <v>44</v>
      </c>
      <c r="D22" s="2">
        <v>1.2</v>
      </c>
      <c r="E22" s="2">
        <v>0.9</v>
      </c>
      <c r="F22" s="2">
        <v>25</v>
      </c>
      <c r="G22" s="2">
        <v>25</v>
      </c>
      <c r="H22" s="8">
        <v>6650</v>
      </c>
      <c r="I22" s="26">
        <f t="shared" si="0"/>
        <v>4322.5</v>
      </c>
      <c r="J22" s="26">
        <f t="shared" si="1"/>
        <v>4192.8249999999998</v>
      </c>
      <c r="K22" s="26">
        <f t="shared" si="1"/>
        <v>4067.0402499999996</v>
      </c>
    </row>
    <row r="23" spans="1:11" ht="17.25" customHeight="1" x14ac:dyDescent="0.35">
      <c r="A23" s="6">
        <v>17</v>
      </c>
      <c r="B23" s="6" t="s">
        <v>45</v>
      </c>
      <c r="C23" s="14" t="s">
        <v>46</v>
      </c>
      <c r="D23" s="2">
        <v>1.5</v>
      </c>
      <c r="E23" s="2">
        <v>1.1000000000000001</v>
      </c>
      <c r="F23" s="2">
        <v>25</v>
      </c>
      <c r="G23" s="2">
        <v>25</v>
      </c>
      <c r="H23" s="8">
        <v>8150</v>
      </c>
      <c r="I23" s="26">
        <f t="shared" si="0"/>
        <v>5297.5</v>
      </c>
      <c r="J23" s="26">
        <f t="shared" si="1"/>
        <v>5138.5749999999998</v>
      </c>
      <c r="K23" s="26">
        <f t="shared" si="1"/>
        <v>4984.4177499999996</v>
      </c>
    </row>
    <row r="24" spans="1:11" ht="17.25" customHeight="1" x14ac:dyDescent="0.35">
      <c r="A24" s="6">
        <v>18</v>
      </c>
      <c r="B24" s="6" t="s">
        <v>47</v>
      </c>
      <c r="C24" s="14" t="s">
        <v>48</v>
      </c>
      <c r="D24" s="2">
        <v>2</v>
      </c>
      <c r="E24" s="2">
        <v>1.5</v>
      </c>
      <c r="F24" s="2">
        <v>25</v>
      </c>
      <c r="G24" s="2">
        <v>25</v>
      </c>
      <c r="H24" s="8">
        <v>9190</v>
      </c>
      <c r="I24" s="26">
        <f t="shared" si="0"/>
        <v>5973.5</v>
      </c>
      <c r="J24" s="26">
        <f t="shared" si="1"/>
        <v>5794.2950000000001</v>
      </c>
      <c r="K24" s="26">
        <f t="shared" si="1"/>
        <v>5620.4661500000002</v>
      </c>
    </row>
    <row r="25" spans="1:11" ht="17.25" customHeight="1" x14ac:dyDescent="0.35">
      <c r="A25" s="4">
        <v>19</v>
      </c>
      <c r="B25" s="6" t="s">
        <v>49</v>
      </c>
      <c r="C25" s="14" t="s">
        <v>50</v>
      </c>
      <c r="D25" s="2">
        <v>0.5</v>
      </c>
      <c r="E25" s="2">
        <v>0.37</v>
      </c>
      <c r="F25" s="2">
        <v>25</v>
      </c>
      <c r="G25" s="2">
        <v>25</v>
      </c>
      <c r="H25" s="8">
        <v>3310</v>
      </c>
      <c r="I25" s="26">
        <f t="shared" si="0"/>
        <v>2151.5</v>
      </c>
      <c r="J25" s="26">
        <f t="shared" si="1"/>
        <v>2086.9549999999999</v>
      </c>
      <c r="K25" s="26">
        <f t="shared" si="1"/>
        <v>2024.3463499999998</v>
      </c>
    </row>
    <row r="26" spans="1:11" ht="17.25" customHeight="1" x14ac:dyDescent="0.35">
      <c r="A26" s="6">
        <v>20</v>
      </c>
      <c r="B26" s="4" t="s">
        <v>51</v>
      </c>
      <c r="C26" s="12" t="s">
        <v>52</v>
      </c>
      <c r="D26" s="2">
        <v>0.5</v>
      </c>
      <c r="E26" s="2">
        <v>0.37</v>
      </c>
      <c r="F26" s="2">
        <v>25</v>
      </c>
      <c r="G26" s="2">
        <v>25</v>
      </c>
      <c r="H26" s="10">
        <v>4380</v>
      </c>
      <c r="I26" s="295">
        <f>H26*0.63</f>
        <v>2759.4</v>
      </c>
      <c r="J26" s="325"/>
      <c r="K26" s="325"/>
    </row>
    <row r="27" spans="1:11" ht="17.25" customHeight="1" x14ac:dyDescent="0.35">
      <c r="A27" s="6">
        <v>21</v>
      </c>
      <c r="B27" s="4" t="s">
        <v>53</v>
      </c>
      <c r="C27" s="12" t="s">
        <v>54</v>
      </c>
      <c r="D27" s="2">
        <v>1</v>
      </c>
      <c r="E27" s="2">
        <v>0.75</v>
      </c>
      <c r="F27" s="2">
        <v>25</v>
      </c>
      <c r="G27" s="2">
        <v>25</v>
      </c>
      <c r="H27" s="10">
        <v>5300</v>
      </c>
      <c r="I27" s="295">
        <f>H27*0.63</f>
        <v>3339</v>
      </c>
      <c r="J27" s="325"/>
      <c r="K27" s="325"/>
    </row>
    <row r="28" spans="1:11" ht="17.25" customHeight="1" x14ac:dyDescent="0.35">
      <c r="A28" s="6">
        <v>22</v>
      </c>
      <c r="B28" s="6" t="s">
        <v>55</v>
      </c>
      <c r="C28" s="14" t="s">
        <v>56</v>
      </c>
      <c r="D28" s="2">
        <v>1.1000000000000001</v>
      </c>
      <c r="E28" s="2">
        <v>0.8</v>
      </c>
      <c r="F28" s="2">
        <v>25</v>
      </c>
      <c r="G28" s="2">
        <v>25</v>
      </c>
      <c r="H28" s="8">
        <v>5040</v>
      </c>
      <c r="I28" s="26">
        <f t="shared" ref="I28:I30" si="2">H28*0.65</f>
        <v>3276</v>
      </c>
      <c r="J28" s="26">
        <f t="shared" ref="J28:K28" si="3">I28*0.97</f>
        <v>3177.72</v>
      </c>
      <c r="K28" s="26">
        <f t="shared" si="3"/>
        <v>3082.3883999999998</v>
      </c>
    </row>
    <row r="29" spans="1:11" ht="17.25" customHeight="1" x14ac:dyDescent="0.35">
      <c r="A29" s="4">
        <v>23</v>
      </c>
      <c r="B29" s="6" t="s">
        <v>57</v>
      </c>
      <c r="C29" s="14" t="s">
        <v>58</v>
      </c>
      <c r="D29" s="2">
        <v>1.1000000000000001</v>
      </c>
      <c r="E29" s="2">
        <v>0.8</v>
      </c>
      <c r="F29" s="2">
        <v>25</v>
      </c>
      <c r="G29" s="2">
        <v>25</v>
      </c>
      <c r="H29" s="8">
        <v>5150</v>
      </c>
      <c r="I29" s="26">
        <f t="shared" si="2"/>
        <v>3347.5</v>
      </c>
      <c r="J29" s="26">
        <f t="shared" ref="J29:K29" si="4">I29*0.97</f>
        <v>3247.0749999999998</v>
      </c>
      <c r="K29" s="26">
        <f t="shared" si="4"/>
        <v>3149.66275</v>
      </c>
    </row>
    <row r="30" spans="1:11" ht="17.25" customHeight="1" x14ac:dyDescent="0.35">
      <c r="A30" s="6">
        <v>24</v>
      </c>
      <c r="B30" s="4" t="s">
        <v>59</v>
      </c>
      <c r="C30" s="16" t="s">
        <v>60</v>
      </c>
      <c r="D30" s="2">
        <v>1.25</v>
      </c>
      <c r="E30" s="2">
        <v>0.94</v>
      </c>
      <c r="F30" s="2">
        <v>25</v>
      </c>
      <c r="G30" s="2">
        <v>25</v>
      </c>
      <c r="H30" s="8">
        <v>6630</v>
      </c>
      <c r="I30" s="26">
        <f t="shared" si="2"/>
        <v>4309.5</v>
      </c>
      <c r="J30" s="26">
        <f t="shared" ref="J30:K30" si="5">I30*0.97</f>
        <v>4180.2150000000001</v>
      </c>
      <c r="K30" s="26">
        <f t="shared" si="5"/>
        <v>4054.8085500000002</v>
      </c>
    </row>
    <row r="31" spans="1:11" ht="17.25" customHeight="1" x14ac:dyDescent="0.35">
      <c r="A31" s="6">
        <v>25</v>
      </c>
      <c r="B31" s="6" t="s">
        <v>61</v>
      </c>
      <c r="C31" s="14" t="s">
        <v>62</v>
      </c>
      <c r="D31" s="17">
        <v>0.5</v>
      </c>
      <c r="E31" s="17">
        <v>0.37</v>
      </c>
      <c r="F31" s="17">
        <v>25</v>
      </c>
      <c r="G31" s="17">
        <v>25</v>
      </c>
      <c r="H31" s="9">
        <v>4950</v>
      </c>
      <c r="I31" s="295">
        <f>H31*0.63</f>
        <v>3118.5</v>
      </c>
      <c r="J31" s="325"/>
      <c r="K31" s="325"/>
    </row>
    <row r="32" spans="1:11" ht="17.25" customHeight="1" x14ac:dyDescent="0.35">
      <c r="A32" s="6">
        <v>26</v>
      </c>
      <c r="B32" s="6" t="s">
        <v>63</v>
      </c>
      <c r="C32" s="14" t="s">
        <v>64</v>
      </c>
      <c r="D32" s="17">
        <v>0.5</v>
      </c>
      <c r="E32" s="17">
        <v>0.37</v>
      </c>
      <c r="F32" s="17">
        <v>25</v>
      </c>
      <c r="G32" s="17">
        <v>25</v>
      </c>
      <c r="H32" s="9">
        <v>5000</v>
      </c>
      <c r="I32" s="295">
        <f>H32*0.63</f>
        <v>3150</v>
      </c>
      <c r="J32" s="325"/>
      <c r="K32" s="325"/>
    </row>
    <row r="33" spans="1:11" ht="17.25" customHeight="1" x14ac:dyDescent="0.35">
      <c r="A33" s="4">
        <v>27</v>
      </c>
      <c r="B33" s="6" t="s">
        <v>65</v>
      </c>
      <c r="C33" s="14" t="s">
        <v>66</v>
      </c>
      <c r="D33" s="2">
        <v>1</v>
      </c>
      <c r="E33" s="2">
        <v>0.75</v>
      </c>
      <c r="F33" s="2">
        <v>25</v>
      </c>
      <c r="G33" s="2">
        <v>25</v>
      </c>
      <c r="H33" s="8">
        <v>5560</v>
      </c>
      <c r="I33" s="26">
        <f t="shared" ref="I33:I54" si="6">H33*0.65</f>
        <v>3614</v>
      </c>
      <c r="J33" s="26">
        <f t="shared" ref="J33:K33" si="7">I33*0.97</f>
        <v>3505.58</v>
      </c>
      <c r="K33" s="26">
        <f t="shared" si="7"/>
        <v>3400.4125999999997</v>
      </c>
    </row>
    <row r="34" spans="1:11" ht="17.25" customHeight="1" x14ac:dyDescent="0.35">
      <c r="A34" s="6">
        <v>28</v>
      </c>
      <c r="B34" s="6" t="s">
        <v>67</v>
      </c>
      <c r="C34" s="14" t="s">
        <v>68</v>
      </c>
      <c r="D34" s="2">
        <v>1</v>
      </c>
      <c r="E34" s="2">
        <v>0.75</v>
      </c>
      <c r="F34" s="2">
        <v>25</v>
      </c>
      <c r="G34" s="2">
        <v>25</v>
      </c>
      <c r="H34" s="8">
        <v>5650</v>
      </c>
      <c r="I34" s="26">
        <f t="shared" si="6"/>
        <v>3672.5</v>
      </c>
      <c r="J34" s="26">
        <f t="shared" ref="J34:K34" si="8">I34*0.97</f>
        <v>3562.3249999999998</v>
      </c>
      <c r="K34" s="26">
        <f t="shared" si="8"/>
        <v>3455.4552499999995</v>
      </c>
    </row>
    <row r="35" spans="1:11" ht="17.25" customHeight="1" x14ac:dyDescent="0.35">
      <c r="A35" s="6">
        <v>29</v>
      </c>
      <c r="B35" s="6" t="s">
        <v>69</v>
      </c>
      <c r="C35" s="14" t="s">
        <v>70</v>
      </c>
      <c r="D35" s="2">
        <v>1.5</v>
      </c>
      <c r="E35" s="2">
        <v>1.1000000000000001</v>
      </c>
      <c r="F35" s="2">
        <v>25</v>
      </c>
      <c r="G35" s="2">
        <v>25</v>
      </c>
      <c r="H35" s="8">
        <v>7840</v>
      </c>
      <c r="I35" s="26">
        <f t="shared" si="6"/>
        <v>5096</v>
      </c>
      <c r="J35" s="26">
        <f t="shared" ref="J35:K35" si="9">I35*0.97</f>
        <v>4943.12</v>
      </c>
      <c r="K35" s="26">
        <f t="shared" si="9"/>
        <v>4794.8263999999999</v>
      </c>
    </row>
    <row r="36" spans="1:11" ht="17.25" customHeight="1" x14ac:dyDescent="0.35">
      <c r="A36" s="6">
        <v>30</v>
      </c>
      <c r="B36" s="6" t="s">
        <v>71</v>
      </c>
      <c r="C36" s="14" t="s">
        <v>72</v>
      </c>
      <c r="D36" s="2">
        <v>1.5</v>
      </c>
      <c r="E36" s="2">
        <v>1.1000000000000001</v>
      </c>
      <c r="F36" s="2">
        <v>25</v>
      </c>
      <c r="G36" s="2">
        <v>25</v>
      </c>
      <c r="H36" s="8">
        <v>8170</v>
      </c>
      <c r="I36" s="26">
        <f t="shared" si="6"/>
        <v>5310.5</v>
      </c>
      <c r="J36" s="26">
        <f t="shared" ref="J36:K36" si="10">I36*0.97</f>
        <v>5151.1849999999995</v>
      </c>
      <c r="K36" s="26">
        <f t="shared" si="10"/>
        <v>4996.649449999999</v>
      </c>
    </row>
    <row r="37" spans="1:11" ht="17.25" customHeight="1" x14ac:dyDescent="0.35">
      <c r="A37" s="4">
        <v>31</v>
      </c>
      <c r="B37" s="4" t="s">
        <v>73</v>
      </c>
      <c r="C37" s="12" t="s">
        <v>74</v>
      </c>
      <c r="D37" s="2">
        <v>0.5</v>
      </c>
      <c r="E37" s="2">
        <v>0.37</v>
      </c>
      <c r="F37" s="2">
        <v>25</v>
      </c>
      <c r="G37" s="2">
        <v>25</v>
      </c>
      <c r="H37" s="8">
        <v>6450</v>
      </c>
      <c r="I37" s="26">
        <f t="shared" si="6"/>
        <v>4192.5</v>
      </c>
      <c r="J37" s="26">
        <f t="shared" ref="J37:K37" si="11">I37*0.97</f>
        <v>4066.7249999999999</v>
      </c>
      <c r="K37" s="26">
        <f t="shared" si="11"/>
        <v>3944.72325</v>
      </c>
    </row>
    <row r="38" spans="1:11" ht="17.25" customHeight="1" x14ac:dyDescent="0.35">
      <c r="A38" s="6">
        <v>32</v>
      </c>
      <c r="B38" s="6" t="s">
        <v>75</v>
      </c>
      <c r="C38" s="14" t="s">
        <v>76</v>
      </c>
      <c r="D38" s="3">
        <v>0.9</v>
      </c>
      <c r="E38" s="3">
        <v>0.7</v>
      </c>
      <c r="F38" s="3">
        <v>25</v>
      </c>
      <c r="G38" s="3">
        <v>25</v>
      </c>
      <c r="H38" s="8">
        <v>6640</v>
      </c>
      <c r="I38" s="26">
        <f t="shared" si="6"/>
        <v>4316</v>
      </c>
      <c r="J38" s="26">
        <f t="shared" ref="J38:K38" si="12">I38*0.97</f>
        <v>4186.5199999999995</v>
      </c>
      <c r="K38" s="26">
        <f t="shared" si="12"/>
        <v>4060.9243999999994</v>
      </c>
    </row>
    <row r="39" spans="1:11" ht="17.25" customHeight="1" x14ac:dyDescent="0.35">
      <c r="A39" s="6">
        <v>33</v>
      </c>
      <c r="B39" s="6" t="s">
        <v>77</v>
      </c>
      <c r="C39" s="14" t="s">
        <v>78</v>
      </c>
      <c r="D39" s="3">
        <v>1</v>
      </c>
      <c r="E39" s="3">
        <v>0.75</v>
      </c>
      <c r="F39" s="3">
        <v>25</v>
      </c>
      <c r="G39" s="3">
        <v>25</v>
      </c>
      <c r="H39" s="8">
        <v>7100</v>
      </c>
      <c r="I39" s="26">
        <f t="shared" si="6"/>
        <v>4615</v>
      </c>
      <c r="J39" s="26">
        <f t="shared" ref="J39:K39" si="13">I39*0.97</f>
        <v>4476.55</v>
      </c>
      <c r="K39" s="26">
        <f t="shared" si="13"/>
        <v>4342.2534999999998</v>
      </c>
    </row>
    <row r="40" spans="1:11" ht="17.25" customHeight="1" x14ac:dyDescent="0.35">
      <c r="A40" s="6">
        <v>34</v>
      </c>
      <c r="B40" s="4" t="s">
        <v>79</v>
      </c>
      <c r="C40" s="15" t="s">
        <v>80</v>
      </c>
      <c r="D40" s="3">
        <v>0.5</v>
      </c>
      <c r="E40" s="3">
        <v>0.37</v>
      </c>
      <c r="F40" s="3">
        <v>25</v>
      </c>
      <c r="G40" s="3">
        <v>25</v>
      </c>
      <c r="H40" s="8">
        <v>5500</v>
      </c>
      <c r="I40" s="26">
        <f t="shared" si="6"/>
        <v>3575</v>
      </c>
      <c r="J40" s="26">
        <f t="shared" ref="J40:K40" si="14">I40*0.97</f>
        <v>3467.75</v>
      </c>
      <c r="K40" s="26">
        <f t="shared" si="14"/>
        <v>3363.7174999999997</v>
      </c>
    </row>
    <row r="41" spans="1:11" ht="17.25" customHeight="1" x14ac:dyDescent="0.35">
      <c r="A41" s="4">
        <v>35</v>
      </c>
      <c r="B41" s="4"/>
      <c r="C41" s="15" t="s">
        <v>81</v>
      </c>
      <c r="D41" s="3">
        <v>1</v>
      </c>
      <c r="E41" s="3">
        <v>0.75</v>
      </c>
      <c r="F41" s="3">
        <v>25</v>
      </c>
      <c r="G41" s="3">
        <v>25</v>
      </c>
      <c r="H41" s="8">
        <v>6200</v>
      </c>
      <c r="I41" s="26">
        <f t="shared" si="6"/>
        <v>4030</v>
      </c>
      <c r="J41" s="26">
        <f t="shared" ref="J41:K41" si="15">I41*0.97</f>
        <v>3909.1</v>
      </c>
      <c r="K41" s="26">
        <f t="shared" si="15"/>
        <v>3791.8269999999998</v>
      </c>
    </row>
    <row r="42" spans="1:11" ht="17.25" customHeight="1" x14ac:dyDescent="0.35">
      <c r="A42" s="6">
        <v>36</v>
      </c>
      <c r="B42" s="4" t="s">
        <v>82</v>
      </c>
      <c r="C42" s="12" t="s">
        <v>83</v>
      </c>
      <c r="D42" s="1">
        <v>0.5</v>
      </c>
      <c r="E42" s="1">
        <v>0.37</v>
      </c>
      <c r="F42" s="1">
        <v>25</v>
      </c>
      <c r="G42" s="1">
        <v>25</v>
      </c>
      <c r="H42" s="8">
        <v>7140</v>
      </c>
      <c r="I42" s="26">
        <f t="shared" si="6"/>
        <v>4641</v>
      </c>
      <c r="J42" s="26">
        <f t="shared" ref="J42:K42" si="16">I42*0.97</f>
        <v>4501.7699999999995</v>
      </c>
      <c r="K42" s="26">
        <f t="shared" si="16"/>
        <v>4366.7168999999994</v>
      </c>
    </row>
    <row r="43" spans="1:11" ht="17.25" customHeight="1" x14ac:dyDescent="0.35">
      <c r="A43" s="6">
        <v>37</v>
      </c>
      <c r="B43" s="6" t="s">
        <v>84</v>
      </c>
      <c r="C43" s="14" t="s">
        <v>85</v>
      </c>
      <c r="D43" s="1">
        <v>1.1000000000000001</v>
      </c>
      <c r="E43" s="1">
        <v>0.8</v>
      </c>
      <c r="F43" s="1">
        <v>25</v>
      </c>
      <c r="G43" s="1">
        <v>25</v>
      </c>
      <c r="H43" s="8">
        <v>7700</v>
      </c>
      <c r="I43" s="26">
        <f t="shared" si="6"/>
        <v>5005</v>
      </c>
      <c r="J43" s="26">
        <f t="shared" ref="J43:K43" si="17">I43*0.97</f>
        <v>4854.8499999999995</v>
      </c>
      <c r="K43" s="26">
        <f t="shared" si="17"/>
        <v>4709.2044999999989</v>
      </c>
    </row>
    <row r="44" spans="1:11" ht="17.25" customHeight="1" x14ac:dyDescent="0.35">
      <c r="A44" s="6">
        <v>38</v>
      </c>
      <c r="B44" s="6" t="s">
        <v>86</v>
      </c>
      <c r="C44" s="14" t="s">
        <v>87</v>
      </c>
      <c r="D44" s="1">
        <v>1.5</v>
      </c>
      <c r="E44" s="1">
        <v>1.1000000000000001</v>
      </c>
      <c r="F44" s="1">
        <v>25</v>
      </c>
      <c r="G44" s="1">
        <v>25</v>
      </c>
      <c r="H44" s="8">
        <v>8690</v>
      </c>
      <c r="I44" s="26">
        <f t="shared" si="6"/>
        <v>5648.5</v>
      </c>
      <c r="J44" s="26">
        <f t="shared" ref="J44:K44" si="18">I44*0.97</f>
        <v>5479.0450000000001</v>
      </c>
      <c r="K44" s="26">
        <f t="shared" si="18"/>
        <v>5314.6736499999997</v>
      </c>
    </row>
    <row r="45" spans="1:11" ht="17.25" customHeight="1" x14ac:dyDescent="0.35">
      <c r="A45" s="4">
        <v>39</v>
      </c>
      <c r="B45" s="4" t="s">
        <v>88</v>
      </c>
      <c r="C45" s="12" t="s">
        <v>89</v>
      </c>
      <c r="D45" s="2">
        <v>0.5</v>
      </c>
      <c r="E45" s="2">
        <v>0.37</v>
      </c>
      <c r="F45" s="2">
        <v>25</v>
      </c>
      <c r="G45" s="2">
        <v>12</v>
      </c>
      <c r="H45" s="8">
        <v>4860</v>
      </c>
      <c r="I45" s="26">
        <f t="shared" si="6"/>
        <v>3159</v>
      </c>
      <c r="J45" s="26">
        <f t="shared" ref="J45:K45" si="19">I45*0.97</f>
        <v>3064.23</v>
      </c>
      <c r="K45" s="26">
        <f t="shared" si="19"/>
        <v>2972.3031000000001</v>
      </c>
    </row>
    <row r="46" spans="1:11" ht="17.25" customHeight="1" x14ac:dyDescent="0.35">
      <c r="A46" s="6">
        <v>40</v>
      </c>
      <c r="B46" s="4" t="s">
        <v>90</v>
      </c>
      <c r="C46" s="12" t="s">
        <v>91</v>
      </c>
      <c r="D46" s="2">
        <v>1</v>
      </c>
      <c r="E46" s="2">
        <v>0.75</v>
      </c>
      <c r="F46" s="2">
        <v>25</v>
      </c>
      <c r="G46" s="2">
        <v>25</v>
      </c>
      <c r="H46" s="8">
        <v>5600</v>
      </c>
      <c r="I46" s="26">
        <f t="shared" si="6"/>
        <v>3640</v>
      </c>
      <c r="J46" s="26">
        <f t="shared" ref="J46:K48" si="20">I46*0.97</f>
        <v>3530.7999999999997</v>
      </c>
      <c r="K46" s="26">
        <f t="shared" si="20"/>
        <v>3424.8759999999997</v>
      </c>
    </row>
    <row r="47" spans="1:11" ht="17.25" customHeight="1" x14ac:dyDescent="0.35">
      <c r="A47" s="6">
        <v>41</v>
      </c>
      <c r="B47" s="6" t="s">
        <v>92</v>
      </c>
      <c r="C47" s="14" t="s">
        <v>93</v>
      </c>
      <c r="D47" s="17">
        <v>1</v>
      </c>
      <c r="E47" s="17">
        <v>0.75</v>
      </c>
      <c r="F47" s="17">
        <v>25</v>
      </c>
      <c r="G47" s="17">
        <v>25</v>
      </c>
      <c r="H47" s="9">
        <v>8420</v>
      </c>
      <c r="I47" s="295">
        <f>H47*0.63</f>
        <v>5304.6</v>
      </c>
      <c r="J47" s="325"/>
      <c r="K47" s="325"/>
    </row>
    <row r="48" spans="1:11" ht="17.25" customHeight="1" x14ac:dyDescent="0.35">
      <c r="A48" s="6">
        <v>42</v>
      </c>
      <c r="B48" s="6" t="s">
        <v>94</v>
      </c>
      <c r="C48" s="14" t="s">
        <v>95</v>
      </c>
      <c r="D48" s="2">
        <v>1.1000000000000001</v>
      </c>
      <c r="E48" s="2">
        <v>0.8</v>
      </c>
      <c r="F48" s="2">
        <v>25</v>
      </c>
      <c r="G48" s="2">
        <v>25</v>
      </c>
      <c r="H48" s="8">
        <v>12020</v>
      </c>
      <c r="I48" s="26">
        <f t="shared" si="6"/>
        <v>7813</v>
      </c>
      <c r="J48" s="26">
        <f t="shared" si="20"/>
        <v>7578.61</v>
      </c>
      <c r="K48" s="26">
        <f t="shared" si="20"/>
        <v>7351.2516999999998</v>
      </c>
    </row>
    <row r="49" spans="1:11" ht="17.25" customHeight="1" x14ac:dyDescent="0.35">
      <c r="A49" s="4">
        <v>43</v>
      </c>
      <c r="B49" s="4" t="s">
        <v>96</v>
      </c>
      <c r="C49" s="12" t="s">
        <v>97</v>
      </c>
      <c r="D49" s="2">
        <v>0.5</v>
      </c>
      <c r="E49" s="2">
        <v>0.37</v>
      </c>
      <c r="F49" s="2">
        <v>25</v>
      </c>
      <c r="G49" s="2">
        <v>25</v>
      </c>
      <c r="H49" s="8">
        <v>7530</v>
      </c>
      <c r="I49" s="26">
        <f t="shared" si="6"/>
        <v>4894.5</v>
      </c>
      <c r="J49" s="26">
        <f t="shared" ref="J49:K49" si="21">I49*0.97</f>
        <v>4747.665</v>
      </c>
      <c r="K49" s="26">
        <f t="shared" si="21"/>
        <v>4605.2350500000002</v>
      </c>
    </row>
    <row r="50" spans="1:11" ht="17.25" customHeight="1" x14ac:dyDescent="0.35">
      <c r="A50" s="6">
        <v>44</v>
      </c>
      <c r="B50" s="4" t="s">
        <v>98</v>
      </c>
      <c r="C50" s="12" t="s">
        <v>99</v>
      </c>
      <c r="D50" s="2">
        <v>1</v>
      </c>
      <c r="E50" s="2">
        <v>0.75</v>
      </c>
      <c r="F50" s="2">
        <v>25</v>
      </c>
      <c r="G50" s="2">
        <v>25</v>
      </c>
      <c r="H50" s="8">
        <v>9150</v>
      </c>
      <c r="I50" s="26">
        <f t="shared" si="6"/>
        <v>5947.5</v>
      </c>
      <c r="J50" s="26">
        <f t="shared" ref="J50:K50" si="22">I50*0.97</f>
        <v>5769.0749999999998</v>
      </c>
      <c r="K50" s="26">
        <f t="shared" si="22"/>
        <v>5596.0027499999997</v>
      </c>
    </row>
    <row r="51" spans="1:11" ht="17.25" customHeight="1" x14ac:dyDescent="0.35">
      <c r="A51" s="6">
        <v>45</v>
      </c>
      <c r="B51" s="4" t="s">
        <v>100</v>
      </c>
      <c r="C51" s="12" t="s">
        <v>101</v>
      </c>
      <c r="D51" s="2">
        <v>1</v>
      </c>
      <c r="E51" s="2">
        <v>0.75</v>
      </c>
      <c r="F51" s="2">
        <v>25</v>
      </c>
      <c r="G51" s="2">
        <v>25</v>
      </c>
      <c r="H51" s="5">
        <v>16800</v>
      </c>
      <c r="I51" s="26">
        <f t="shared" si="6"/>
        <v>10920</v>
      </c>
      <c r="J51" s="26">
        <f t="shared" ref="J51:K51" si="23">I51*0.97</f>
        <v>10592.4</v>
      </c>
      <c r="K51" s="26">
        <f t="shared" si="23"/>
        <v>10274.627999999999</v>
      </c>
    </row>
    <row r="52" spans="1:11" ht="17.25" customHeight="1" x14ac:dyDescent="0.35">
      <c r="A52" s="6">
        <v>46</v>
      </c>
      <c r="B52" s="6" t="s">
        <v>102</v>
      </c>
      <c r="C52" s="14" t="s">
        <v>103</v>
      </c>
      <c r="D52" s="2">
        <v>0.5</v>
      </c>
      <c r="E52" s="2">
        <v>0.37</v>
      </c>
      <c r="F52" s="2">
        <v>25</v>
      </c>
      <c r="G52" s="2">
        <v>25</v>
      </c>
      <c r="H52" s="8">
        <v>17760</v>
      </c>
      <c r="I52" s="26">
        <f t="shared" si="6"/>
        <v>11544</v>
      </c>
      <c r="J52" s="26">
        <f t="shared" ref="J52:K52" si="24">I52*0.97</f>
        <v>11197.68</v>
      </c>
      <c r="K52" s="26">
        <f t="shared" si="24"/>
        <v>10861.749599999999</v>
      </c>
    </row>
    <row r="53" spans="1:11" ht="17.25" customHeight="1" x14ac:dyDescent="0.35">
      <c r="A53" s="4">
        <v>47</v>
      </c>
      <c r="B53" s="6" t="s">
        <v>104</v>
      </c>
      <c r="C53" s="14" t="s">
        <v>105</v>
      </c>
      <c r="D53" s="2">
        <v>1</v>
      </c>
      <c r="E53" s="2">
        <v>0.75</v>
      </c>
      <c r="F53" s="2">
        <v>25</v>
      </c>
      <c r="G53" s="2">
        <v>25</v>
      </c>
      <c r="H53" s="8">
        <v>19120</v>
      </c>
      <c r="I53" s="26">
        <f t="shared" si="6"/>
        <v>12428</v>
      </c>
      <c r="J53" s="26">
        <f t="shared" ref="J53:K53" si="25">I53*0.97</f>
        <v>12055.16</v>
      </c>
      <c r="K53" s="26">
        <f t="shared" si="25"/>
        <v>11693.5052</v>
      </c>
    </row>
    <row r="54" spans="1:11" ht="17.25" customHeight="1" x14ac:dyDescent="0.35">
      <c r="A54" s="6">
        <v>48</v>
      </c>
      <c r="B54" s="6" t="s">
        <v>106</v>
      </c>
      <c r="C54" s="14" t="s">
        <v>107</v>
      </c>
      <c r="D54" s="2">
        <v>1.1000000000000001</v>
      </c>
      <c r="E54" s="2">
        <v>0.8</v>
      </c>
      <c r="F54" s="2">
        <v>25</v>
      </c>
      <c r="G54" s="2">
        <v>25</v>
      </c>
      <c r="H54" s="8">
        <v>20900</v>
      </c>
      <c r="I54" s="26">
        <f t="shared" si="6"/>
        <v>13585</v>
      </c>
      <c r="J54" s="26">
        <f t="shared" ref="J54:K54" si="26">I54*0.97</f>
        <v>13177.449999999999</v>
      </c>
      <c r="K54" s="26">
        <f t="shared" si="26"/>
        <v>12782.126499999998</v>
      </c>
    </row>
    <row r="55" spans="1:11" ht="17.25" customHeight="1" x14ac:dyDescent="0.35">
      <c r="A55" s="267" t="s">
        <v>108</v>
      </c>
      <c r="B55" s="268"/>
      <c r="C55" s="268"/>
      <c r="D55" s="268"/>
      <c r="E55" s="268"/>
      <c r="F55" s="268"/>
      <c r="G55" s="269"/>
      <c r="H55" s="207" t="s">
        <v>109</v>
      </c>
      <c r="I55" s="315" t="s">
        <v>334</v>
      </c>
      <c r="J55" s="315"/>
      <c r="K55" s="315"/>
    </row>
    <row r="56" spans="1:11" ht="17.25" customHeight="1" x14ac:dyDescent="0.35">
      <c r="A56" s="207" t="s">
        <v>2</v>
      </c>
      <c r="B56" s="287" t="s">
        <v>3</v>
      </c>
      <c r="C56" s="260" t="s">
        <v>4</v>
      </c>
      <c r="D56" s="209" t="s">
        <v>5</v>
      </c>
      <c r="E56" s="210"/>
      <c r="F56" s="209" t="s">
        <v>6</v>
      </c>
      <c r="G56" s="210"/>
      <c r="H56" s="259"/>
      <c r="I56" s="323">
        <v>0.35</v>
      </c>
      <c r="J56" s="323">
        <v>0.03</v>
      </c>
      <c r="K56" s="323">
        <v>0.03</v>
      </c>
    </row>
    <row r="57" spans="1:11" ht="17.25" customHeight="1" x14ac:dyDescent="0.35">
      <c r="A57" s="208"/>
      <c r="B57" s="287"/>
      <c r="C57" s="261"/>
      <c r="D57" s="11" t="s">
        <v>9</v>
      </c>
      <c r="E57" s="11" t="s">
        <v>10</v>
      </c>
      <c r="F57" s="11" t="s">
        <v>11</v>
      </c>
      <c r="G57" s="11" t="s">
        <v>12</v>
      </c>
      <c r="H57" s="208"/>
      <c r="I57" s="324"/>
      <c r="J57" s="324"/>
      <c r="K57" s="324"/>
    </row>
    <row r="58" spans="1:11" ht="17.25" customHeight="1" x14ac:dyDescent="0.35">
      <c r="A58" s="6">
        <v>1</v>
      </c>
      <c r="B58" s="6" t="s">
        <v>110</v>
      </c>
      <c r="C58" s="14" t="s">
        <v>111</v>
      </c>
      <c r="D58" s="303">
        <v>0.5</v>
      </c>
      <c r="E58" s="303">
        <v>0.37</v>
      </c>
      <c r="F58" s="2">
        <v>25</v>
      </c>
      <c r="G58" s="2">
        <v>25</v>
      </c>
      <c r="H58" s="8">
        <v>4680</v>
      </c>
      <c r="I58" s="26">
        <f t="shared" ref="I58:I113" si="27">H58*0.65</f>
        <v>3042</v>
      </c>
      <c r="J58" s="26">
        <f t="shared" ref="J58:K58" si="28">I58*0.97</f>
        <v>2950.74</v>
      </c>
      <c r="K58" s="26">
        <f t="shared" si="28"/>
        <v>2862.2177999999999</v>
      </c>
    </row>
    <row r="59" spans="1:11" ht="17.25" customHeight="1" x14ac:dyDescent="0.35">
      <c r="A59" s="6">
        <v>2</v>
      </c>
      <c r="B59" s="6" t="s">
        <v>112</v>
      </c>
      <c r="C59" s="14" t="s">
        <v>113</v>
      </c>
      <c r="D59" s="303"/>
      <c r="E59" s="303"/>
      <c r="F59" s="2">
        <v>40</v>
      </c>
      <c r="G59" s="2">
        <v>40</v>
      </c>
      <c r="H59" s="8">
        <v>6430</v>
      </c>
      <c r="I59" s="26">
        <f t="shared" si="27"/>
        <v>4179.5</v>
      </c>
      <c r="J59" s="26">
        <f t="shared" ref="J59:K59" si="29">I59*0.97</f>
        <v>4054.1149999999998</v>
      </c>
      <c r="K59" s="26">
        <f t="shared" si="29"/>
        <v>3932.4915499999997</v>
      </c>
    </row>
    <row r="60" spans="1:11" ht="17.25" customHeight="1" x14ac:dyDescent="0.35">
      <c r="A60" s="4">
        <v>3</v>
      </c>
      <c r="B60" s="4" t="s">
        <v>114</v>
      </c>
      <c r="C60" s="18" t="s">
        <v>115</v>
      </c>
      <c r="D60" s="2">
        <v>0.75</v>
      </c>
      <c r="E60" s="2">
        <v>0.56000000000000005</v>
      </c>
      <c r="F60" s="2">
        <v>40</v>
      </c>
      <c r="G60" s="2">
        <v>40</v>
      </c>
      <c r="H60" s="5">
        <v>6240</v>
      </c>
      <c r="I60" s="26">
        <f t="shared" si="27"/>
        <v>4056</v>
      </c>
      <c r="J60" s="26">
        <f t="shared" ref="J60:K60" si="30">I60*0.97</f>
        <v>3934.3199999999997</v>
      </c>
      <c r="K60" s="26">
        <f t="shared" si="30"/>
        <v>3816.2903999999994</v>
      </c>
    </row>
    <row r="61" spans="1:11" ht="17.25" customHeight="1" x14ac:dyDescent="0.35">
      <c r="A61" s="6">
        <v>4</v>
      </c>
      <c r="B61" s="6" t="s">
        <v>116</v>
      </c>
      <c r="C61" s="14" t="s">
        <v>117</v>
      </c>
      <c r="D61" s="262">
        <v>1</v>
      </c>
      <c r="E61" s="262">
        <v>0.75</v>
      </c>
      <c r="F61" s="1">
        <v>25</v>
      </c>
      <c r="G61" s="1">
        <v>25</v>
      </c>
      <c r="H61" s="8">
        <v>7572</v>
      </c>
      <c r="I61" s="26">
        <f t="shared" si="27"/>
        <v>4921.8</v>
      </c>
      <c r="J61" s="26">
        <f t="shared" ref="J61:K61" si="31">I61*0.97</f>
        <v>4774.1459999999997</v>
      </c>
      <c r="K61" s="26">
        <f t="shared" si="31"/>
        <v>4630.9216199999992</v>
      </c>
    </row>
    <row r="62" spans="1:11" ht="17.25" customHeight="1" x14ac:dyDescent="0.35">
      <c r="A62" s="6">
        <v>5</v>
      </c>
      <c r="B62" s="6" t="s">
        <v>118</v>
      </c>
      <c r="C62" s="14" t="s">
        <v>119</v>
      </c>
      <c r="D62" s="266"/>
      <c r="E62" s="266"/>
      <c r="F62" s="1">
        <v>50</v>
      </c>
      <c r="G62" s="1">
        <v>50</v>
      </c>
      <c r="H62" s="8">
        <v>8900</v>
      </c>
      <c r="I62" s="26">
        <f t="shared" si="27"/>
        <v>5785</v>
      </c>
      <c r="J62" s="26">
        <f t="shared" ref="J62:K62" si="32">I62*0.97</f>
        <v>5611.45</v>
      </c>
      <c r="K62" s="26">
        <f t="shared" si="32"/>
        <v>5443.1064999999999</v>
      </c>
    </row>
    <row r="63" spans="1:11" ht="17.25" customHeight="1" x14ac:dyDescent="0.35">
      <c r="A63" s="4">
        <v>6</v>
      </c>
      <c r="B63" s="6" t="s">
        <v>120</v>
      </c>
      <c r="C63" s="14" t="s">
        <v>121</v>
      </c>
      <c r="D63" s="266"/>
      <c r="E63" s="266"/>
      <c r="F63" s="1">
        <v>50</v>
      </c>
      <c r="G63" s="1">
        <v>50</v>
      </c>
      <c r="H63" s="5">
        <v>9100</v>
      </c>
      <c r="I63" s="26">
        <f t="shared" si="27"/>
        <v>5915</v>
      </c>
      <c r="J63" s="26">
        <f t="shared" ref="J63:K63" si="33">I63*0.97</f>
        <v>5737.55</v>
      </c>
      <c r="K63" s="26">
        <f t="shared" si="33"/>
        <v>5565.4234999999999</v>
      </c>
    </row>
    <row r="64" spans="1:11" ht="17.25" customHeight="1" x14ac:dyDescent="0.35">
      <c r="A64" s="6">
        <v>7</v>
      </c>
      <c r="B64" s="4" t="s">
        <v>122</v>
      </c>
      <c r="C64" s="18" t="s">
        <v>123</v>
      </c>
      <c r="D64" s="266"/>
      <c r="E64" s="266"/>
      <c r="F64" s="1">
        <v>50</v>
      </c>
      <c r="G64" s="1">
        <v>50</v>
      </c>
      <c r="H64" s="5">
        <v>9000</v>
      </c>
      <c r="I64" s="26">
        <f t="shared" si="27"/>
        <v>5850</v>
      </c>
      <c r="J64" s="26">
        <f t="shared" ref="J64:K64" si="34">I64*0.97</f>
        <v>5674.5</v>
      </c>
      <c r="K64" s="26">
        <f t="shared" si="34"/>
        <v>5504.2649999999994</v>
      </c>
    </row>
    <row r="65" spans="1:11" ht="17.25" customHeight="1" x14ac:dyDescent="0.35">
      <c r="A65" s="6">
        <v>8</v>
      </c>
      <c r="B65" s="4" t="s">
        <v>124</v>
      </c>
      <c r="C65" s="19" t="s">
        <v>125</v>
      </c>
      <c r="D65" s="266"/>
      <c r="E65" s="266"/>
      <c r="F65" s="1">
        <v>75</v>
      </c>
      <c r="G65" s="1">
        <v>75</v>
      </c>
      <c r="H65" s="8">
        <v>10000</v>
      </c>
      <c r="I65" s="26">
        <f t="shared" si="27"/>
        <v>6500</v>
      </c>
      <c r="J65" s="26">
        <f t="shared" ref="J65:K65" si="35">I65*0.97</f>
        <v>6305</v>
      </c>
      <c r="K65" s="26">
        <f t="shared" si="35"/>
        <v>6115.8499999999995</v>
      </c>
    </row>
    <row r="66" spans="1:11" ht="17.25" customHeight="1" x14ac:dyDescent="0.35">
      <c r="A66" s="4">
        <v>9</v>
      </c>
      <c r="B66" s="4"/>
      <c r="C66" s="18" t="s">
        <v>126</v>
      </c>
      <c r="D66" s="263"/>
      <c r="E66" s="263"/>
      <c r="F66" s="1">
        <v>75</v>
      </c>
      <c r="G66" s="1">
        <v>75</v>
      </c>
      <c r="H66" s="5">
        <v>10200</v>
      </c>
      <c r="I66" s="26">
        <f t="shared" si="27"/>
        <v>6630</v>
      </c>
      <c r="J66" s="26">
        <f t="shared" ref="J66:K66" si="36">I66*0.97</f>
        <v>6431.0999999999995</v>
      </c>
      <c r="K66" s="26">
        <f t="shared" si="36"/>
        <v>6238.1669999999995</v>
      </c>
    </row>
    <row r="67" spans="1:11" ht="17.25" customHeight="1" x14ac:dyDescent="0.35">
      <c r="A67" s="6">
        <v>10</v>
      </c>
      <c r="B67" s="4" t="s">
        <v>127</v>
      </c>
      <c r="C67" s="19" t="s">
        <v>128</v>
      </c>
      <c r="D67" s="262">
        <v>1.5</v>
      </c>
      <c r="E67" s="262">
        <v>1.1000000000000001</v>
      </c>
      <c r="F67" s="1">
        <v>50</v>
      </c>
      <c r="G67" s="1">
        <v>50</v>
      </c>
      <c r="H67" s="5">
        <v>10420</v>
      </c>
      <c r="I67" s="26">
        <f t="shared" si="27"/>
        <v>6773</v>
      </c>
      <c r="J67" s="26">
        <f t="shared" ref="J67:K67" si="37">I67*0.97</f>
        <v>6569.8099999999995</v>
      </c>
      <c r="K67" s="26">
        <f t="shared" si="37"/>
        <v>6372.7156999999997</v>
      </c>
    </row>
    <row r="68" spans="1:11" ht="17.25" customHeight="1" x14ac:dyDescent="0.35">
      <c r="A68" s="6">
        <v>11</v>
      </c>
      <c r="B68" s="4" t="s">
        <v>129</v>
      </c>
      <c r="C68" s="18" t="s">
        <v>130</v>
      </c>
      <c r="D68" s="266"/>
      <c r="E68" s="266"/>
      <c r="F68" s="1">
        <v>50</v>
      </c>
      <c r="G68" s="1">
        <v>50</v>
      </c>
      <c r="H68" s="5">
        <v>10600</v>
      </c>
      <c r="I68" s="26">
        <f t="shared" si="27"/>
        <v>6890</v>
      </c>
      <c r="J68" s="26">
        <f t="shared" ref="J68:K68" si="38">I68*0.97</f>
        <v>6683.3</v>
      </c>
      <c r="K68" s="26">
        <f t="shared" si="38"/>
        <v>6482.8010000000004</v>
      </c>
    </row>
    <row r="69" spans="1:11" ht="17.25" customHeight="1" x14ac:dyDescent="0.35">
      <c r="A69" s="4">
        <v>12</v>
      </c>
      <c r="B69" s="4" t="s">
        <v>131</v>
      </c>
      <c r="C69" s="19" t="s">
        <v>132</v>
      </c>
      <c r="D69" s="266"/>
      <c r="E69" s="266"/>
      <c r="F69" s="1">
        <v>65</v>
      </c>
      <c r="G69" s="1">
        <v>50</v>
      </c>
      <c r="H69" s="5">
        <v>10600</v>
      </c>
      <c r="I69" s="26">
        <f t="shared" si="27"/>
        <v>6890</v>
      </c>
      <c r="J69" s="26">
        <f t="shared" ref="J69:K69" si="39">I69*0.97</f>
        <v>6683.3</v>
      </c>
      <c r="K69" s="26">
        <f t="shared" si="39"/>
        <v>6482.8010000000004</v>
      </c>
    </row>
    <row r="70" spans="1:11" ht="17.25" customHeight="1" x14ac:dyDescent="0.35">
      <c r="A70" s="6">
        <v>13</v>
      </c>
      <c r="B70" s="4" t="s">
        <v>133</v>
      </c>
      <c r="C70" s="18" t="s">
        <v>134</v>
      </c>
      <c r="D70" s="266"/>
      <c r="E70" s="266"/>
      <c r="F70" s="1">
        <v>65</v>
      </c>
      <c r="G70" s="1">
        <v>50</v>
      </c>
      <c r="H70" s="5">
        <v>10800</v>
      </c>
      <c r="I70" s="26">
        <f t="shared" si="27"/>
        <v>7020</v>
      </c>
      <c r="J70" s="26">
        <f t="shared" ref="J70:K70" si="40">I70*0.97</f>
        <v>6809.4</v>
      </c>
      <c r="K70" s="26">
        <f t="shared" si="40"/>
        <v>6605.1179999999995</v>
      </c>
    </row>
    <row r="71" spans="1:11" ht="17.25" customHeight="1" x14ac:dyDescent="0.35">
      <c r="A71" s="6">
        <v>14</v>
      </c>
      <c r="B71" s="4" t="s">
        <v>135</v>
      </c>
      <c r="C71" s="19" t="s">
        <v>136</v>
      </c>
      <c r="D71" s="266"/>
      <c r="E71" s="266"/>
      <c r="F71" s="1">
        <v>75</v>
      </c>
      <c r="G71" s="1">
        <v>75</v>
      </c>
      <c r="H71" s="8">
        <v>11000</v>
      </c>
      <c r="I71" s="26">
        <f t="shared" si="27"/>
        <v>7150</v>
      </c>
      <c r="J71" s="26">
        <f t="shared" ref="J71:K71" si="41">I71*0.97</f>
        <v>6935.5</v>
      </c>
      <c r="K71" s="26">
        <f t="shared" si="41"/>
        <v>6727.4349999999995</v>
      </c>
    </row>
    <row r="72" spans="1:11" ht="17.25" customHeight="1" x14ac:dyDescent="0.35">
      <c r="A72" s="4">
        <v>15</v>
      </c>
      <c r="B72" s="4" t="s">
        <v>137</v>
      </c>
      <c r="C72" s="18" t="s">
        <v>138</v>
      </c>
      <c r="D72" s="266"/>
      <c r="E72" s="266"/>
      <c r="F72" s="1">
        <v>75</v>
      </c>
      <c r="G72" s="1">
        <v>75</v>
      </c>
      <c r="H72" s="5">
        <v>11200</v>
      </c>
      <c r="I72" s="26">
        <f t="shared" si="27"/>
        <v>7280</v>
      </c>
      <c r="J72" s="26">
        <f t="shared" ref="J72:K72" si="42">I72*0.97</f>
        <v>7061.5999999999995</v>
      </c>
      <c r="K72" s="26">
        <f t="shared" si="42"/>
        <v>6849.7519999999995</v>
      </c>
    </row>
    <row r="73" spans="1:11" ht="17.25" customHeight="1" x14ac:dyDescent="0.35">
      <c r="A73" s="6">
        <v>16</v>
      </c>
      <c r="B73" s="4" t="s">
        <v>139</v>
      </c>
      <c r="C73" s="18" t="s">
        <v>140</v>
      </c>
      <c r="D73" s="263"/>
      <c r="E73" s="263"/>
      <c r="F73" s="1">
        <v>75</v>
      </c>
      <c r="G73" s="1">
        <v>75</v>
      </c>
      <c r="H73" s="5">
        <v>11200</v>
      </c>
      <c r="I73" s="26">
        <f t="shared" si="27"/>
        <v>7280</v>
      </c>
      <c r="J73" s="26">
        <f t="shared" ref="J73:K73" si="43">I73*0.97</f>
        <v>7061.5999999999995</v>
      </c>
      <c r="K73" s="26">
        <f t="shared" si="43"/>
        <v>6849.7519999999995</v>
      </c>
    </row>
    <row r="74" spans="1:11" ht="17.25" customHeight="1" x14ac:dyDescent="0.35">
      <c r="A74" s="6">
        <v>17</v>
      </c>
      <c r="B74" s="4" t="s">
        <v>141</v>
      </c>
      <c r="C74" s="19" t="s">
        <v>142</v>
      </c>
      <c r="D74" s="262">
        <v>2</v>
      </c>
      <c r="E74" s="262">
        <v>1.5</v>
      </c>
      <c r="F74" s="1">
        <v>50</v>
      </c>
      <c r="G74" s="1">
        <v>40</v>
      </c>
      <c r="H74" s="8">
        <v>15000</v>
      </c>
      <c r="I74" s="26">
        <f t="shared" si="27"/>
        <v>9750</v>
      </c>
      <c r="J74" s="26">
        <f t="shared" ref="J74:K74" si="44">I74*0.97</f>
        <v>9457.5</v>
      </c>
      <c r="K74" s="26">
        <f t="shared" si="44"/>
        <v>9173.7749999999996</v>
      </c>
    </row>
    <row r="75" spans="1:11" ht="17.25" customHeight="1" x14ac:dyDescent="0.35">
      <c r="A75" s="4">
        <v>18</v>
      </c>
      <c r="B75" s="4" t="s">
        <v>143</v>
      </c>
      <c r="C75" s="18" t="s">
        <v>144</v>
      </c>
      <c r="D75" s="266"/>
      <c r="E75" s="266"/>
      <c r="F75" s="1">
        <v>50</v>
      </c>
      <c r="G75" s="1">
        <v>40</v>
      </c>
      <c r="H75" s="5">
        <v>15200</v>
      </c>
      <c r="I75" s="26">
        <f t="shared" si="27"/>
        <v>9880</v>
      </c>
      <c r="J75" s="26">
        <f t="shared" ref="J75:K75" si="45">I75*0.97</f>
        <v>9583.6</v>
      </c>
      <c r="K75" s="26">
        <f t="shared" si="45"/>
        <v>9296.0920000000006</v>
      </c>
    </row>
    <row r="76" spans="1:11" ht="17.25" customHeight="1" x14ac:dyDescent="0.35">
      <c r="A76" s="6">
        <v>19</v>
      </c>
      <c r="B76" s="6" t="s">
        <v>145</v>
      </c>
      <c r="C76" s="14" t="s">
        <v>146</v>
      </c>
      <c r="D76" s="266"/>
      <c r="E76" s="266"/>
      <c r="F76" s="1">
        <v>50</v>
      </c>
      <c r="G76" s="1">
        <v>50</v>
      </c>
      <c r="H76" s="8">
        <v>13000</v>
      </c>
      <c r="I76" s="26">
        <f t="shared" si="27"/>
        <v>8450</v>
      </c>
      <c r="J76" s="26">
        <f t="shared" ref="J76:K76" si="46">I76*0.97</f>
        <v>8196.5</v>
      </c>
      <c r="K76" s="26">
        <f t="shared" si="46"/>
        <v>7950.6049999999996</v>
      </c>
    </row>
    <row r="77" spans="1:11" ht="17.25" customHeight="1" x14ac:dyDescent="0.35">
      <c r="A77" s="6">
        <v>20</v>
      </c>
      <c r="B77" s="4" t="s">
        <v>147</v>
      </c>
      <c r="C77" s="18" t="s">
        <v>148</v>
      </c>
      <c r="D77" s="266"/>
      <c r="E77" s="266"/>
      <c r="F77" s="1">
        <v>50</v>
      </c>
      <c r="G77" s="1">
        <v>50</v>
      </c>
      <c r="H77" s="5">
        <v>13200</v>
      </c>
      <c r="I77" s="26">
        <f t="shared" si="27"/>
        <v>8580</v>
      </c>
      <c r="J77" s="26">
        <f t="shared" ref="J77:K77" si="47">I77*0.97</f>
        <v>8322.6</v>
      </c>
      <c r="K77" s="26">
        <f t="shared" si="47"/>
        <v>8072.9220000000005</v>
      </c>
    </row>
    <row r="78" spans="1:11" ht="17.25" customHeight="1" x14ac:dyDescent="0.35">
      <c r="A78" s="4">
        <v>21</v>
      </c>
      <c r="B78" s="6" t="s">
        <v>149</v>
      </c>
      <c r="C78" s="14" t="s">
        <v>150</v>
      </c>
      <c r="D78" s="266"/>
      <c r="E78" s="266"/>
      <c r="F78" s="1">
        <v>65</v>
      </c>
      <c r="G78" s="1">
        <v>50</v>
      </c>
      <c r="H78" s="8">
        <v>13300</v>
      </c>
      <c r="I78" s="26">
        <f t="shared" si="27"/>
        <v>8645</v>
      </c>
      <c r="J78" s="26">
        <f t="shared" ref="J78:K78" si="48">I78*0.97</f>
        <v>8385.65</v>
      </c>
      <c r="K78" s="26">
        <f t="shared" si="48"/>
        <v>8134.0804999999991</v>
      </c>
    </row>
    <row r="79" spans="1:11" ht="17.25" customHeight="1" x14ac:dyDescent="0.35">
      <c r="A79" s="6">
        <v>22</v>
      </c>
      <c r="B79" s="6" t="s">
        <v>151</v>
      </c>
      <c r="C79" s="14" t="s">
        <v>152</v>
      </c>
      <c r="D79" s="266"/>
      <c r="E79" s="266"/>
      <c r="F79" s="1">
        <v>65</v>
      </c>
      <c r="G79" s="1">
        <v>50</v>
      </c>
      <c r="H79" s="5">
        <v>13500</v>
      </c>
      <c r="I79" s="26">
        <f t="shared" si="27"/>
        <v>8775</v>
      </c>
      <c r="J79" s="26">
        <f t="shared" ref="J79:K79" si="49">I79*0.97</f>
        <v>8511.75</v>
      </c>
      <c r="K79" s="26">
        <f t="shared" si="49"/>
        <v>8256.3974999999991</v>
      </c>
    </row>
    <row r="80" spans="1:11" ht="17.25" customHeight="1" x14ac:dyDescent="0.35">
      <c r="A80" s="6">
        <v>23</v>
      </c>
      <c r="B80" s="4" t="s">
        <v>153</v>
      </c>
      <c r="C80" s="18" t="s">
        <v>154</v>
      </c>
      <c r="D80" s="266"/>
      <c r="E80" s="266"/>
      <c r="F80" s="1">
        <v>65</v>
      </c>
      <c r="G80" s="1">
        <v>50</v>
      </c>
      <c r="H80" s="5">
        <v>13340</v>
      </c>
      <c r="I80" s="26">
        <f t="shared" si="27"/>
        <v>8671</v>
      </c>
      <c r="J80" s="26">
        <f t="shared" ref="J80:K80" si="50">I80*0.97</f>
        <v>8410.869999999999</v>
      </c>
      <c r="K80" s="26">
        <f t="shared" si="50"/>
        <v>8158.5438999999988</v>
      </c>
    </row>
    <row r="81" spans="1:11" ht="17.25" customHeight="1" x14ac:dyDescent="0.35">
      <c r="A81" s="4">
        <v>24</v>
      </c>
      <c r="B81" s="6"/>
      <c r="C81" s="14" t="s">
        <v>155</v>
      </c>
      <c r="D81" s="266"/>
      <c r="E81" s="266"/>
      <c r="F81" s="1">
        <v>65</v>
      </c>
      <c r="G81" s="1">
        <v>50</v>
      </c>
      <c r="H81" s="8">
        <v>13300</v>
      </c>
      <c r="I81" s="26">
        <f t="shared" si="27"/>
        <v>8645</v>
      </c>
      <c r="J81" s="26">
        <f t="shared" ref="J81:K81" si="51">I81*0.97</f>
        <v>8385.65</v>
      </c>
      <c r="K81" s="26">
        <f t="shared" si="51"/>
        <v>8134.0804999999991</v>
      </c>
    </row>
    <row r="82" spans="1:11" ht="17.25" customHeight="1" x14ac:dyDescent="0.35">
      <c r="A82" s="6">
        <v>25</v>
      </c>
      <c r="B82" s="4" t="s">
        <v>156</v>
      </c>
      <c r="C82" s="18" t="s">
        <v>157</v>
      </c>
      <c r="D82" s="266"/>
      <c r="E82" s="266"/>
      <c r="F82" s="1">
        <v>75</v>
      </c>
      <c r="G82" s="1">
        <v>75</v>
      </c>
      <c r="H82" s="5">
        <v>13600</v>
      </c>
      <c r="I82" s="26">
        <f t="shared" si="27"/>
        <v>8840</v>
      </c>
      <c r="J82" s="26">
        <f t="shared" ref="J82:K82" si="52">I82*0.97</f>
        <v>8574.7999999999993</v>
      </c>
      <c r="K82" s="26">
        <f t="shared" si="52"/>
        <v>8317.5559999999987</v>
      </c>
    </row>
    <row r="83" spans="1:11" ht="17.25" customHeight="1" x14ac:dyDescent="0.35">
      <c r="A83" s="6">
        <v>26</v>
      </c>
      <c r="B83" s="6" t="s">
        <v>158</v>
      </c>
      <c r="C83" s="14" t="s">
        <v>159</v>
      </c>
      <c r="D83" s="266"/>
      <c r="E83" s="266"/>
      <c r="F83" s="1">
        <v>75</v>
      </c>
      <c r="G83" s="1">
        <v>75</v>
      </c>
      <c r="H83" s="8">
        <v>13450</v>
      </c>
      <c r="I83" s="26">
        <f t="shared" si="27"/>
        <v>8742.5</v>
      </c>
      <c r="J83" s="26">
        <f t="shared" ref="J83:K83" si="53">I83*0.97</f>
        <v>8480.2250000000004</v>
      </c>
      <c r="K83" s="26">
        <f t="shared" si="53"/>
        <v>8225.8182500000003</v>
      </c>
    </row>
    <row r="84" spans="1:11" ht="17.25" customHeight="1" x14ac:dyDescent="0.35">
      <c r="A84" s="4">
        <v>27</v>
      </c>
      <c r="B84" s="6" t="s">
        <v>160</v>
      </c>
      <c r="C84" s="14" t="s">
        <v>161</v>
      </c>
      <c r="D84" s="266"/>
      <c r="E84" s="266"/>
      <c r="F84" s="1">
        <v>75</v>
      </c>
      <c r="G84" s="1">
        <v>75</v>
      </c>
      <c r="H84" s="5">
        <v>13800</v>
      </c>
      <c r="I84" s="26">
        <f t="shared" si="27"/>
        <v>8970</v>
      </c>
      <c r="J84" s="26">
        <f t="shared" ref="J84:K84" si="54">I84*0.97</f>
        <v>8700.9</v>
      </c>
      <c r="K84" s="26">
        <f t="shared" si="54"/>
        <v>8439.8729999999996</v>
      </c>
    </row>
    <row r="85" spans="1:11" ht="17.25" customHeight="1" x14ac:dyDescent="0.35">
      <c r="A85" s="6">
        <v>28</v>
      </c>
      <c r="B85" s="6" t="s">
        <v>162</v>
      </c>
      <c r="C85" s="14" t="s">
        <v>163</v>
      </c>
      <c r="D85" s="266"/>
      <c r="E85" s="266"/>
      <c r="F85" s="1">
        <v>75</v>
      </c>
      <c r="G85" s="1">
        <v>75</v>
      </c>
      <c r="H85" s="5">
        <v>14000</v>
      </c>
      <c r="I85" s="26">
        <f t="shared" si="27"/>
        <v>9100</v>
      </c>
      <c r="J85" s="26">
        <f t="shared" ref="J85:K85" si="55">I85*0.97</f>
        <v>8827</v>
      </c>
      <c r="K85" s="26">
        <f t="shared" si="55"/>
        <v>8562.19</v>
      </c>
    </row>
    <row r="86" spans="1:11" ht="17.25" customHeight="1" x14ac:dyDescent="0.35">
      <c r="A86" s="6">
        <v>29</v>
      </c>
      <c r="B86" s="6" t="s">
        <v>164</v>
      </c>
      <c r="C86" s="14" t="s">
        <v>165</v>
      </c>
      <c r="D86" s="266"/>
      <c r="E86" s="266"/>
      <c r="F86" s="1">
        <v>75</v>
      </c>
      <c r="G86" s="1">
        <v>75</v>
      </c>
      <c r="H86" s="5">
        <v>14500</v>
      </c>
      <c r="I86" s="26">
        <f t="shared" si="27"/>
        <v>9425</v>
      </c>
      <c r="J86" s="26">
        <f t="shared" ref="J86:K86" si="56">I86*0.97</f>
        <v>9142.25</v>
      </c>
      <c r="K86" s="26">
        <f t="shared" si="56"/>
        <v>8867.9825000000001</v>
      </c>
    </row>
    <row r="87" spans="1:11" ht="17.25" customHeight="1" x14ac:dyDescent="0.35">
      <c r="A87" s="4">
        <v>30</v>
      </c>
      <c r="B87" s="4" t="s">
        <v>166</v>
      </c>
      <c r="C87" s="18" t="s">
        <v>167</v>
      </c>
      <c r="D87" s="266"/>
      <c r="E87" s="266"/>
      <c r="F87" s="1">
        <v>75</v>
      </c>
      <c r="G87" s="1">
        <v>75</v>
      </c>
      <c r="H87" s="5">
        <v>13550</v>
      </c>
      <c r="I87" s="26">
        <f t="shared" si="27"/>
        <v>8807.5</v>
      </c>
      <c r="J87" s="26">
        <f t="shared" ref="J87:K87" si="57">I87*0.97</f>
        <v>8543.2749999999996</v>
      </c>
      <c r="K87" s="26">
        <f t="shared" si="57"/>
        <v>8286.9767499999998</v>
      </c>
    </row>
    <row r="88" spans="1:11" ht="17.25" customHeight="1" x14ac:dyDescent="0.35">
      <c r="A88" s="6">
        <v>31</v>
      </c>
      <c r="B88" s="6" t="s">
        <v>168</v>
      </c>
      <c r="C88" s="14" t="s">
        <v>169</v>
      </c>
      <c r="D88" s="266"/>
      <c r="E88" s="266"/>
      <c r="F88" s="1">
        <v>75</v>
      </c>
      <c r="G88" s="1">
        <v>65</v>
      </c>
      <c r="H88" s="8">
        <v>13450</v>
      </c>
      <c r="I88" s="26">
        <f t="shared" si="27"/>
        <v>8742.5</v>
      </c>
      <c r="J88" s="26">
        <f t="shared" ref="J88:K88" si="58">I88*0.97</f>
        <v>8480.2250000000004</v>
      </c>
      <c r="K88" s="26">
        <f t="shared" si="58"/>
        <v>8225.8182500000003</v>
      </c>
    </row>
    <row r="89" spans="1:11" ht="17.25" customHeight="1" x14ac:dyDescent="0.35">
      <c r="A89" s="6">
        <v>32</v>
      </c>
      <c r="B89" s="6" t="s">
        <v>170</v>
      </c>
      <c r="C89" s="14" t="s">
        <v>171</v>
      </c>
      <c r="D89" s="266"/>
      <c r="E89" s="266"/>
      <c r="F89" s="1">
        <v>75</v>
      </c>
      <c r="G89" s="1">
        <v>65</v>
      </c>
      <c r="H89" s="5">
        <v>13740</v>
      </c>
      <c r="I89" s="26">
        <f t="shared" si="27"/>
        <v>8931</v>
      </c>
      <c r="J89" s="26">
        <f t="shared" ref="J89:K89" si="59">I89*0.97</f>
        <v>8663.07</v>
      </c>
      <c r="K89" s="26">
        <f t="shared" si="59"/>
        <v>8403.1778999999988</v>
      </c>
    </row>
    <row r="90" spans="1:11" ht="17.25" customHeight="1" x14ac:dyDescent="0.35">
      <c r="A90" s="4">
        <v>33</v>
      </c>
      <c r="B90" s="4"/>
      <c r="C90" s="19" t="s">
        <v>172</v>
      </c>
      <c r="D90" s="266"/>
      <c r="E90" s="266"/>
      <c r="F90" s="1">
        <v>100</v>
      </c>
      <c r="G90" s="1">
        <v>100</v>
      </c>
      <c r="H90" s="8">
        <v>15000</v>
      </c>
      <c r="I90" s="26">
        <f t="shared" si="27"/>
        <v>9750</v>
      </c>
      <c r="J90" s="26">
        <f t="shared" ref="J90:K90" si="60">I90*0.97</f>
        <v>9457.5</v>
      </c>
      <c r="K90" s="26">
        <f t="shared" si="60"/>
        <v>9173.7749999999996</v>
      </c>
    </row>
    <row r="91" spans="1:11" ht="17.25" customHeight="1" x14ac:dyDescent="0.35">
      <c r="A91" s="6">
        <v>34</v>
      </c>
      <c r="B91" s="4"/>
      <c r="C91" s="18" t="s">
        <v>173</v>
      </c>
      <c r="D91" s="263"/>
      <c r="E91" s="263"/>
      <c r="F91" s="1">
        <v>100</v>
      </c>
      <c r="G91" s="1">
        <v>100</v>
      </c>
      <c r="H91" s="5">
        <v>15200</v>
      </c>
      <c r="I91" s="26">
        <f t="shared" si="27"/>
        <v>9880</v>
      </c>
      <c r="J91" s="26">
        <f t="shared" ref="J91:K91" si="61">I91*0.97</f>
        <v>9583.6</v>
      </c>
      <c r="K91" s="26">
        <f t="shared" si="61"/>
        <v>9296.0920000000006</v>
      </c>
    </row>
    <row r="92" spans="1:11" ht="17.25" customHeight="1" x14ac:dyDescent="0.35">
      <c r="A92" s="6">
        <v>35</v>
      </c>
      <c r="B92" s="4"/>
      <c r="C92" s="19" t="s">
        <v>174</v>
      </c>
      <c r="D92" s="262">
        <v>3</v>
      </c>
      <c r="E92" s="262">
        <v>2.25</v>
      </c>
      <c r="F92" s="1">
        <v>50</v>
      </c>
      <c r="G92" s="1">
        <v>40</v>
      </c>
      <c r="H92" s="8">
        <v>18000</v>
      </c>
      <c r="I92" s="26">
        <f t="shared" si="27"/>
        <v>11700</v>
      </c>
      <c r="J92" s="26">
        <f t="shared" ref="J92:K92" si="62">I92*0.97</f>
        <v>11349</v>
      </c>
      <c r="K92" s="26">
        <f t="shared" si="62"/>
        <v>11008.529999999999</v>
      </c>
    </row>
    <row r="93" spans="1:11" ht="17.25" customHeight="1" x14ac:dyDescent="0.35">
      <c r="A93" s="4">
        <v>36</v>
      </c>
      <c r="B93" s="4" t="s">
        <v>175</v>
      </c>
      <c r="C93" s="18" t="s">
        <v>176</v>
      </c>
      <c r="D93" s="266"/>
      <c r="E93" s="266"/>
      <c r="F93" s="1">
        <v>50</v>
      </c>
      <c r="G93" s="1">
        <v>40</v>
      </c>
      <c r="H93" s="5">
        <v>18560</v>
      </c>
      <c r="I93" s="26">
        <f t="shared" si="27"/>
        <v>12064</v>
      </c>
      <c r="J93" s="26">
        <f t="shared" ref="J93:K93" si="63">I93*0.97</f>
        <v>11702.08</v>
      </c>
      <c r="K93" s="26">
        <f t="shared" si="63"/>
        <v>11351.017599999999</v>
      </c>
    </row>
    <row r="94" spans="1:11" ht="17.25" customHeight="1" x14ac:dyDescent="0.35">
      <c r="A94" s="6">
        <v>37</v>
      </c>
      <c r="B94" s="4" t="s">
        <v>177</v>
      </c>
      <c r="C94" s="19" t="s">
        <v>178</v>
      </c>
      <c r="D94" s="266"/>
      <c r="E94" s="266"/>
      <c r="F94" s="1">
        <v>50</v>
      </c>
      <c r="G94" s="1">
        <v>50</v>
      </c>
      <c r="H94" s="8">
        <v>18250</v>
      </c>
      <c r="I94" s="26">
        <f t="shared" si="27"/>
        <v>11862.5</v>
      </c>
      <c r="J94" s="26">
        <f t="shared" ref="J94:K94" si="64">I94*0.97</f>
        <v>11506.625</v>
      </c>
      <c r="K94" s="26">
        <f t="shared" si="64"/>
        <v>11161.42625</v>
      </c>
    </row>
    <row r="95" spans="1:11" ht="17.25" customHeight="1" x14ac:dyDescent="0.35">
      <c r="A95" s="6">
        <v>38</v>
      </c>
      <c r="B95" s="4" t="s">
        <v>179</v>
      </c>
      <c r="C95" s="18" t="s">
        <v>180</v>
      </c>
      <c r="D95" s="266"/>
      <c r="E95" s="266"/>
      <c r="F95" s="1">
        <v>50</v>
      </c>
      <c r="G95" s="1">
        <v>50</v>
      </c>
      <c r="H95" s="5">
        <v>18670</v>
      </c>
      <c r="I95" s="26">
        <f t="shared" si="27"/>
        <v>12135.5</v>
      </c>
      <c r="J95" s="26">
        <f t="shared" ref="J95:K95" si="65">I95*0.97</f>
        <v>11771.434999999999</v>
      </c>
      <c r="K95" s="26">
        <f t="shared" si="65"/>
        <v>11418.291949999999</v>
      </c>
    </row>
    <row r="96" spans="1:11" ht="17.25" customHeight="1" x14ac:dyDescent="0.35">
      <c r="A96" s="4">
        <v>39</v>
      </c>
      <c r="B96" s="6" t="s">
        <v>181</v>
      </c>
      <c r="C96" s="14" t="s">
        <v>182</v>
      </c>
      <c r="D96" s="266"/>
      <c r="E96" s="266"/>
      <c r="F96" s="1">
        <v>65</v>
      </c>
      <c r="G96" s="1">
        <v>50</v>
      </c>
      <c r="H96" s="8">
        <v>18100</v>
      </c>
      <c r="I96" s="26">
        <f t="shared" si="27"/>
        <v>11765</v>
      </c>
      <c r="J96" s="26">
        <f t="shared" ref="J96:K96" si="66">I96*0.97</f>
        <v>11412.05</v>
      </c>
      <c r="K96" s="26">
        <f t="shared" si="66"/>
        <v>11069.688499999998</v>
      </c>
    </row>
    <row r="97" spans="1:11" ht="17.25" customHeight="1" x14ac:dyDescent="0.35">
      <c r="A97" s="6">
        <v>40</v>
      </c>
      <c r="B97" s="6" t="s">
        <v>183</v>
      </c>
      <c r="C97" s="14" t="s">
        <v>184</v>
      </c>
      <c r="D97" s="266"/>
      <c r="E97" s="266"/>
      <c r="F97" s="1">
        <v>65</v>
      </c>
      <c r="G97" s="1">
        <v>50</v>
      </c>
      <c r="H97" s="5">
        <v>18770</v>
      </c>
      <c r="I97" s="26">
        <f t="shared" si="27"/>
        <v>12200.5</v>
      </c>
      <c r="J97" s="26">
        <f t="shared" ref="J97:K97" si="67">I97*0.97</f>
        <v>11834.485000000001</v>
      </c>
      <c r="K97" s="26">
        <f t="shared" si="67"/>
        <v>11479.45045</v>
      </c>
    </row>
    <row r="98" spans="1:11" ht="17.25" customHeight="1" x14ac:dyDescent="0.35">
      <c r="A98" s="6">
        <v>41</v>
      </c>
      <c r="B98" s="6" t="s">
        <v>185</v>
      </c>
      <c r="C98" s="14" t="s">
        <v>186</v>
      </c>
      <c r="D98" s="266"/>
      <c r="E98" s="266"/>
      <c r="F98" s="1">
        <v>75</v>
      </c>
      <c r="G98" s="1">
        <v>75</v>
      </c>
      <c r="H98" s="8">
        <v>18020</v>
      </c>
      <c r="I98" s="26">
        <f t="shared" si="27"/>
        <v>11713</v>
      </c>
      <c r="J98" s="26">
        <f t="shared" ref="J98:K98" si="68">I98*0.97</f>
        <v>11361.61</v>
      </c>
      <c r="K98" s="26">
        <f t="shared" si="68"/>
        <v>11020.761700000001</v>
      </c>
    </row>
    <row r="99" spans="1:11" ht="17.25" customHeight="1" x14ac:dyDescent="0.35">
      <c r="A99" s="4">
        <v>42</v>
      </c>
      <c r="B99" s="6" t="s">
        <v>187</v>
      </c>
      <c r="C99" s="14" t="s">
        <v>188</v>
      </c>
      <c r="D99" s="266"/>
      <c r="E99" s="266"/>
      <c r="F99" s="1">
        <v>75</v>
      </c>
      <c r="G99" s="1">
        <v>75</v>
      </c>
      <c r="H99" s="5">
        <v>18680</v>
      </c>
      <c r="I99" s="26">
        <f t="shared" si="27"/>
        <v>12142</v>
      </c>
      <c r="J99" s="26">
        <f t="shared" ref="J99:K99" si="69">I99*0.97</f>
        <v>11777.74</v>
      </c>
      <c r="K99" s="26">
        <f t="shared" si="69"/>
        <v>11424.407799999999</v>
      </c>
    </row>
    <row r="100" spans="1:11" ht="17.25" customHeight="1" x14ac:dyDescent="0.35">
      <c r="A100" s="6">
        <v>43</v>
      </c>
      <c r="B100" s="6" t="s">
        <v>189</v>
      </c>
      <c r="C100" s="14" t="s">
        <v>190</v>
      </c>
      <c r="D100" s="266"/>
      <c r="E100" s="266"/>
      <c r="F100" s="1">
        <v>100</v>
      </c>
      <c r="G100" s="1">
        <v>100</v>
      </c>
      <c r="H100" s="8">
        <v>19100</v>
      </c>
      <c r="I100" s="26">
        <f t="shared" si="27"/>
        <v>12415</v>
      </c>
      <c r="J100" s="26">
        <f t="shared" ref="J100:K100" si="70">I100*0.97</f>
        <v>12042.55</v>
      </c>
      <c r="K100" s="26">
        <f t="shared" si="70"/>
        <v>11681.273499999999</v>
      </c>
    </row>
    <row r="101" spans="1:11" ht="17.25" customHeight="1" x14ac:dyDescent="0.35">
      <c r="A101" s="6">
        <v>44</v>
      </c>
      <c r="B101" s="6" t="s">
        <v>191</v>
      </c>
      <c r="C101" s="14" t="s">
        <v>192</v>
      </c>
      <c r="D101" s="266"/>
      <c r="E101" s="266"/>
      <c r="F101" s="1">
        <v>100</v>
      </c>
      <c r="G101" s="1">
        <v>100</v>
      </c>
      <c r="H101" s="5">
        <v>19500</v>
      </c>
      <c r="I101" s="26">
        <f t="shared" si="27"/>
        <v>12675</v>
      </c>
      <c r="J101" s="26">
        <f t="shared" ref="J101:K101" si="71">I101*0.97</f>
        <v>12294.75</v>
      </c>
      <c r="K101" s="26">
        <f t="shared" si="71"/>
        <v>11925.907499999999</v>
      </c>
    </row>
    <row r="102" spans="1:11" ht="17.25" customHeight="1" x14ac:dyDescent="0.35">
      <c r="A102" s="4">
        <v>45</v>
      </c>
      <c r="B102" s="6" t="s">
        <v>193</v>
      </c>
      <c r="C102" s="14" t="s">
        <v>194</v>
      </c>
      <c r="D102" s="266"/>
      <c r="E102" s="266"/>
      <c r="F102" s="1">
        <v>100</v>
      </c>
      <c r="G102" s="1">
        <v>100</v>
      </c>
      <c r="H102" s="5">
        <v>14800</v>
      </c>
      <c r="I102" s="26">
        <f t="shared" si="27"/>
        <v>9620</v>
      </c>
      <c r="J102" s="26">
        <f t="shared" ref="J102:K102" si="72">I102*0.97</f>
        <v>9331.4</v>
      </c>
      <c r="K102" s="26">
        <f t="shared" si="72"/>
        <v>9051.4579999999987</v>
      </c>
    </row>
    <row r="103" spans="1:11" ht="17.25" customHeight="1" x14ac:dyDescent="0.35">
      <c r="A103" s="6">
        <v>46</v>
      </c>
      <c r="B103" s="4" t="s">
        <v>195</v>
      </c>
      <c r="C103" s="18" t="s">
        <v>196</v>
      </c>
      <c r="D103" s="263"/>
      <c r="E103" s="263"/>
      <c r="F103" s="1">
        <v>100</v>
      </c>
      <c r="G103" s="1">
        <v>100</v>
      </c>
      <c r="H103" s="5">
        <v>15000</v>
      </c>
      <c r="I103" s="26">
        <f t="shared" si="27"/>
        <v>9750</v>
      </c>
      <c r="J103" s="26">
        <f t="shared" ref="J103:K103" si="73">I103*0.97</f>
        <v>9457.5</v>
      </c>
      <c r="K103" s="26">
        <f t="shared" si="73"/>
        <v>9173.7749999999996</v>
      </c>
    </row>
    <row r="104" spans="1:11" ht="17.25" customHeight="1" x14ac:dyDescent="0.35">
      <c r="A104" s="6">
        <v>47</v>
      </c>
      <c r="B104" s="6" t="s">
        <v>197</v>
      </c>
      <c r="C104" s="14" t="s">
        <v>198</v>
      </c>
      <c r="D104" s="262">
        <v>5</v>
      </c>
      <c r="E104" s="262">
        <v>3.75</v>
      </c>
      <c r="F104" s="1">
        <v>80</v>
      </c>
      <c r="G104" s="1">
        <v>65</v>
      </c>
      <c r="H104" s="5">
        <v>24600</v>
      </c>
      <c r="I104" s="26">
        <f t="shared" si="27"/>
        <v>15990</v>
      </c>
      <c r="J104" s="26">
        <f t="shared" ref="J104:K104" si="74">I104*0.97</f>
        <v>15510.3</v>
      </c>
      <c r="K104" s="26">
        <f t="shared" si="74"/>
        <v>15044.990999999998</v>
      </c>
    </row>
    <row r="105" spans="1:11" ht="17.25" customHeight="1" x14ac:dyDescent="0.35">
      <c r="A105" s="4">
        <v>48</v>
      </c>
      <c r="B105" s="4"/>
      <c r="C105" s="20" t="s">
        <v>199</v>
      </c>
      <c r="D105" s="266"/>
      <c r="E105" s="266"/>
      <c r="F105" s="1">
        <v>80</v>
      </c>
      <c r="G105" s="1">
        <v>65</v>
      </c>
      <c r="H105" s="5">
        <v>26000</v>
      </c>
      <c r="I105" s="26">
        <f t="shared" si="27"/>
        <v>16900</v>
      </c>
      <c r="J105" s="26">
        <f t="shared" ref="J105:K105" si="75">I105*0.97</f>
        <v>16393</v>
      </c>
      <c r="K105" s="26">
        <f t="shared" si="75"/>
        <v>15901.21</v>
      </c>
    </row>
    <row r="106" spans="1:11" ht="17.25" customHeight="1" x14ac:dyDescent="0.35">
      <c r="A106" s="6">
        <v>49</v>
      </c>
      <c r="B106" s="6" t="s">
        <v>200</v>
      </c>
      <c r="C106" s="20" t="s">
        <v>201</v>
      </c>
      <c r="D106" s="263"/>
      <c r="E106" s="263"/>
      <c r="F106" s="1">
        <v>80</v>
      </c>
      <c r="G106" s="1">
        <v>65</v>
      </c>
      <c r="H106" s="5">
        <v>23600</v>
      </c>
      <c r="I106" s="26">
        <f t="shared" si="27"/>
        <v>15340</v>
      </c>
      <c r="J106" s="26">
        <f t="shared" ref="J106:K106" si="76">I106*0.97</f>
        <v>14879.8</v>
      </c>
      <c r="K106" s="26">
        <f t="shared" si="76"/>
        <v>14433.405999999999</v>
      </c>
    </row>
    <row r="107" spans="1:11" ht="17.25" customHeight="1" x14ac:dyDescent="0.35">
      <c r="A107" s="6">
        <v>50</v>
      </c>
      <c r="B107" s="4" t="s">
        <v>202</v>
      </c>
      <c r="C107" s="18" t="s">
        <v>203</v>
      </c>
      <c r="D107" s="7">
        <v>0.75</v>
      </c>
      <c r="E107" s="7">
        <v>0.56000000000000005</v>
      </c>
      <c r="F107" s="2">
        <v>25</v>
      </c>
      <c r="G107" s="2">
        <v>25</v>
      </c>
      <c r="H107" s="5">
        <v>5170</v>
      </c>
      <c r="I107" s="26">
        <f t="shared" si="27"/>
        <v>3360.5</v>
      </c>
      <c r="J107" s="26">
        <f t="shared" ref="J107:K107" si="77">I107*0.97</f>
        <v>3259.6849999999999</v>
      </c>
      <c r="K107" s="26">
        <f t="shared" si="77"/>
        <v>3161.8944499999998</v>
      </c>
    </row>
    <row r="108" spans="1:11" ht="17.25" customHeight="1" x14ac:dyDescent="0.35">
      <c r="A108" s="4">
        <v>51</v>
      </c>
      <c r="B108" s="4" t="s">
        <v>204</v>
      </c>
      <c r="C108" s="18" t="s">
        <v>205</v>
      </c>
      <c r="D108" s="262">
        <v>1</v>
      </c>
      <c r="E108" s="262">
        <v>0.75</v>
      </c>
      <c r="F108" s="1">
        <v>40</v>
      </c>
      <c r="G108" s="1">
        <v>40</v>
      </c>
      <c r="H108" s="5">
        <v>9000</v>
      </c>
      <c r="I108" s="26">
        <f t="shared" si="27"/>
        <v>5850</v>
      </c>
      <c r="J108" s="26">
        <f t="shared" ref="J108:K108" si="78">I108*0.97</f>
        <v>5674.5</v>
      </c>
      <c r="K108" s="26">
        <f t="shared" si="78"/>
        <v>5504.2649999999994</v>
      </c>
    </row>
    <row r="109" spans="1:11" ht="17.25" customHeight="1" x14ac:dyDescent="0.35">
      <c r="A109" s="6">
        <v>52</v>
      </c>
      <c r="B109" s="4"/>
      <c r="C109" s="18" t="s">
        <v>206</v>
      </c>
      <c r="D109" s="263"/>
      <c r="E109" s="263"/>
      <c r="F109" s="1">
        <v>40</v>
      </c>
      <c r="G109" s="1">
        <v>40</v>
      </c>
      <c r="H109" s="5">
        <v>9000</v>
      </c>
      <c r="I109" s="26">
        <f t="shared" si="27"/>
        <v>5850</v>
      </c>
      <c r="J109" s="26">
        <f t="shared" ref="J109:K109" si="79">I109*0.97</f>
        <v>5674.5</v>
      </c>
      <c r="K109" s="26">
        <f t="shared" si="79"/>
        <v>5504.2649999999994</v>
      </c>
    </row>
    <row r="110" spans="1:11" ht="17.25" customHeight="1" x14ac:dyDescent="0.35">
      <c r="A110" s="6">
        <v>53</v>
      </c>
      <c r="B110" s="4"/>
      <c r="C110" s="20" t="s">
        <v>207</v>
      </c>
      <c r="D110" s="262">
        <v>2</v>
      </c>
      <c r="E110" s="262">
        <v>1.5</v>
      </c>
      <c r="F110" s="1">
        <v>75</v>
      </c>
      <c r="G110" s="1">
        <v>75</v>
      </c>
      <c r="H110" s="5">
        <v>12500</v>
      </c>
      <c r="I110" s="26">
        <f t="shared" si="27"/>
        <v>8125</v>
      </c>
      <c r="J110" s="26">
        <f t="shared" ref="J110:K110" si="80">I110*0.97</f>
        <v>7881.25</v>
      </c>
      <c r="K110" s="26">
        <f t="shared" si="80"/>
        <v>7644.8125</v>
      </c>
    </row>
    <row r="111" spans="1:11" ht="17.25" customHeight="1" x14ac:dyDescent="0.35">
      <c r="A111" s="4">
        <v>54</v>
      </c>
      <c r="B111" s="4" t="s">
        <v>208</v>
      </c>
      <c r="C111" s="20" t="s">
        <v>209</v>
      </c>
      <c r="D111" s="266"/>
      <c r="E111" s="266"/>
      <c r="F111" s="1">
        <v>75</v>
      </c>
      <c r="G111" s="1">
        <v>75</v>
      </c>
      <c r="H111" s="5">
        <v>12500</v>
      </c>
      <c r="I111" s="26">
        <f t="shared" si="27"/>
        <v>8125</v>
      </c>
      <c r="J111" s="26">
        <f t="shared" ref="J111:K111" si="81">I111*0.97</f>
        <v>7881.25</v>
      </c>
      <c r="K111" s="26">
        <f t="shared" si="81"/>
        <v>7644.8125</v>
      </c>
    </row>
    <row r="112" spans="1:11" ht="17.25" customHeight="1" x14ac:dyDescent="0.35">
      <c r="A112" s="6">
        <v>55</v>
      </c>
      <c r="B112" s="4" t="s">
        <v>210</v>
      </c>
      <c r="C112" s="20" t="s">
        <v>211</v>
      </c>
      <c r="D112" s="266"/>
      <c r="E112" s="266"/>
      <c r="F112" s="1">
        <v>65</v>
      </c>
      <c r="G112" s="1">
        <v>50</v>
      </c>
      <c r="H112" s="5">
        <v>12200</v>
      </c>
      <c r="I112" s="26">
        <f t="shared" si="27"/>
        <v>7930</v>
      </c>
      <c r="J112" s="26">
        <f t="shared" ref="J112:K112" si="82">I112*0.97</f>
        <v>7692.0999999999995</v>
      </c>
      <c r="K112" s="26">
        <f t="shared" si="82"/>
        <v>7461.3369999999995</v>
      </c>
    </row>
    <row r="113" spans="1:11" ht="17.25" customHeight="1" x14ac:dyDescent="0.35">
      <c r="A113" s="6">
        <v>56</v>
      </c>
      <c r="B113" s="4" t="s">
        <v>212</v>
      </c>
      <c r="C113" s="20" t="s">
        <v>213</v>
      </c>
      <c r="D113" s="263"/>
      <c r="E113" s="263"/>
      <c r="F113" s="1">
        <v>50</v>
      </c>
      <c r="G113" s="1">
        <v>50</v>
      </c>
      <c r="H113" s="5">
        <v>12200</v>
      </c>
      <c r="I113" s="26">
        <f t="shared" si="27"/>
        <v>7930</v>
      </c>
      <c r="J113" s="26">
        <f t="shared" ref="J113:K113" si="83">I113*0.97</f>
        <v>7692.0999999999995</v>
      </c>
      <c r="K113" s="26">
        <f t="shared" si="83"/>
        <v>7461.3369999999995</v>
      </c>
    </row>
    <row r="114" spans="1:11" ht="17.25" customHeight="1" x14ac:dyDescent="0.35">
      <c r="A114" s="300" t="s">
        <v>214</v>
      </c>
      <c r="B114" s="300"/>
      <c r="C114" s="300"/>
      <c r="D114" s="300"/>
      <c r="E114" s="300"/>
      <c r="F114" s="300"/>
      <c r="G114" s="300"/>
      <c r="H114" s="207" t="s">
        <v>109</v>
      </c>
      <c r="I114" s="315" t="s">
        <v>334</v>
      </c>
      <c r="J114" s="315"/>
      <c r="K114" s="315"/>
    </row>
    <row r="115" spans="1:11" ht="17.25" customHeight="1" x14ac:dyDescent="0.35">
      <c r="A115" s="207" t="s">
        <v>2</v>
      </c>
      <c r="B115" s="287" t="s">
        <v>3</v>
      </c>
      <c r="C115" s="298" t="s">
        <v>4</v>
      </c>
      <c r="D115" s="287" t="s">
        <v>5</v>
      </c>
      <c r="E115" s="287"/>
      <c r="F115" s="287" t="s">
        <v>6</v>
      </c>
      <c r="G115" s="287"/>
      <c r="H115" s="259"/>
      <c r="I115" s="323">
        <v>0.35</v>
      </c>
      <c r="J115" s="323">
        <v>0.03</v>
      </c>
      <c r="K115" s="323">
        <v>0.03</v>
      </c>
    </row>
    <row r="116" spans="1:11" ht="17.25" customHeight="1" x14ac:dyDescent="0.35">
      <c r="A116" s="208"/>
      <c r="B116" s="287"/>
      <c r="C116" s="298"/>
      <c r="D116" s="11" t="s">
        <v>9</v>
      </c>
      <c r="E116" s="11" t="s">
        <v>10</v>
      </c>
      <c r="F116" s="11" t="s">
        <v>11</v>
      </c>
      <c r="G116" s="11" t="s">
        <v>12</v>
      </c>
      <c r="H116" s="208"/>
      <c r="I116" s="324"/>
      <c r="J116" s="324"/>
      <c r="K116" s="324"/>
    </row>
    <row r="117" spans="1:11" ht="17.25" customHeight="1" x14ac:dyDescent="0.35">
      <c r="A117" s="4">
        <v>1</v>
      </c>
      <c r="B117" s="4" t="s">
        <v>215</v>
      </c>
      <c r="C117" s="12" t="s">
        <v>216</v>
      </c>
      <c r="D117" s="2">
        <v>0.5</v>
      </c>
      <c r="E117" s="2">
        <v>0.37</v>
      </c>
      <c r="F117" s="2">
        <v>25</v>
      </c>
      <c r="G117" s="2">
        <v>25</v>
      </c>
      <c r="H117" s="13">
        <v>5370</v>
      </c>
      <c r="I117" s="295">
        <f>H117*0.63</f>
        <v>3383.1</v>
      </c>
      <c r="J117" s="325"/>
      <c r="K117" s="325"/>
    </row>
    <row r="118" spans="1:11" ht="17.25" customHeight="1" x14ac:dyDescent="0.35">
      <c r="A118" s="4">
        <v>2</v>
      </c>
      <c r="B118" s="4" t="s">
        <v>217</v>
      </c>
      <c r="C118" s="12" t="s">
        <v>218</v>
      </c>
      <c r="D118" s="2">
        <v>1</v>
      </c>
      <c r="E118" s="2">
        <v>0.75</v>
      </c>
      <c r="F118" s="2">
        <v>25</v>
      </c>
      <c r="G118" s="2">
        <v>25</v>
      </c>
      <c r="H118" s="13">
        <v>7070</v>
      </c>
      <c r="I118" s="336">
        <v>4793</v>
      </c>
      <c r="J118" s="337"/>
      <c r="K118" s="337"/>
    </row>
    <row r="119" spans="1:11" ht="17.25" customHeight="1" x14ac:dyDescent="0.35">
      <c r="A119" s="4">
        <v>3</v>
      </c>
      <c r="B119" s="21" t="s">
        <v>219</v>
      </c>
      <c r="C119" s="22" t="s">
        <v>220</v>
      </c>
      <c r="D119" s="23">
        <v>2</v>
      </c>
      <c r="E119" s="4">
        <v>1.5</v>
      </c>
      <c r="F119" s="4">
        <v>50</v>
      </c>
      <c r="G119" s="4">
        <v>50</v>
      </c>
      <c r="H119" s="4">
        <v>12200</v>
      </c>
      <c r="I119" s="26">
        <f t="shared" ref="I119:I128" si="84">H119*0.65</f>
        <v>7930</v>
      </c>
      <c r="J119" s="26">
        <f t="shared" ref="J119:K119" si="85">I119*0.97</f>
        <v>7692.0999999999995</v>
      </c>
      <c r="K119" s="26">
        <f t="shared" si="85"/>
        <v>7461.3369999999995</v>
      </c>
    </row>
    <row r="120" spans="1:11" ht="17.25" customHeight="1" x14ac:dyDescent="0.35">
      <c r="A120" s="4">
        <v>4</v>
      </c>
      <c r="B120" s="21" t="s">
        <v>221</v>
      </c>
      <c r="C120" s="22" t="s">
        <v>222</v>
      </c>
      <c r="D120" s="23">
        <v>2</v>
      </c>
      <c r="E120" s="4">
        <v>1.5</v>
      </c>
      <c r="F120" s="4">
        <v>50</v>
      </c>
      <c r="G120" s="4">
        <v>50</v>
      </c>
      <c r="H120" s="4">
        <v>12200</v>
      </c>
      <c r="I120" s="26">
        <f t="shared" si="84"/>
        <v>7930</v>
      </c>
      <c r="J120" s="26">
        <f t="shared" ref="J120:K120" si="86">I120*0.97</f>
        <v>7692.0999999999995</v>
      </c>
      <c r="K120" s="26">
        <f t="shared" si="86"/>
        <v>7461.3369999999995</v>
      </c>
    </row>
    <row r="121" spans="1:11" ht="17.25" customHeight="1" x14ac:dyDescent="0.35">
      <c r="A121" s="4">
        <v>5</v>
      </c>
      <c r="B121" s="21" t="s">
        <v>223</v>
      </c>
      <c r="C121" s="22" t="s">
        <v>224</v>
      </c>
      <c r="D121" s="23">
        <v>2</v>
      </c>
      <c r="E121" s="4">
        <v>1.5</v>
      </c>
      <c r="F121" s="4">
        <v>65</v>
      </c>
      <c r="G121" s="4">
        <v>50</v>
      </c>
      <c r="H121" s="4">
        <v>12300</v>
      </c>
      <c r="I121" s="26">
        <f t="shared" si="84"/>
        <v>7995</v>
      </c>
      <c r="J121" s="26">
        <f t="shared" ref="J121:K121" si="87">I121*0.97</f>
        <v>7755.15</v>
      </c>
      <c r="K121" s="26">
        <f t="shared" si="87"/>
        <v>7522.4954999999991</v>
      </c>
    </row>
    <row r="122" spans="1:11" ht="17.25" customHeight="1" x14ac:dyDescent="0.35">
      <c r="A122" s="4">
        <v>6</v>
      </c>
      <c r="B122" s="21" t="s">
        <v>225</v>
      </c>
      <c r="C122" s="22" t="s">
        <v>226</v>
      </c>
      <c r="D122" s="23">
        <v>2</v>
      </c>
      <c r="E122" s="4">
        <v>1.5</v>
      </c>
      <c r="F122" s="4">
        <v>65</v>
      </c>
      <c r="G122" s="4">
        <v>50</v>
      </c>
      <c r="H122" s="4">
        <v>12300</v>
      </c>
      <c r="I122" s="26">
        <f t="shared" si="84"/>
        <v>7995</v>
      </c>
      <c r="J122" s="26">
        <f t="shared" ref="J122:K122" si="88">I122*0.97</f>
        <v>7755.15</v>
      </c>
      <c r="K122" s="26">
        <f t="shared" si="88"/>
        <v>7522.4954999999991</v>
      </c>
    </row>
    <row r="123" spans="1:11" ht="17.25" customHeight="1" x14ac:dyDescent="0.35">
      <c r="A123" s="4">
        <v>7</v>
      </c>
      <c r="B123" s="21" t="s">
        <v>227</v>
      </c>
      <c r="C123" s="22" t="s">
        <v>228</v>
      </c>
      <c r="D123" s="21">
        <v>3</v>
      </c>
      <c r="E123" s="4">
        <v>2.25</v>
      </c>
      <c r="F123" s="4">
        <v>65</v>
      </c>
      <c r="G123" s="4">
        <v>50</v>
      </c>
      <c r="H123" s="4">
        <v>12900</v>
      </c>
      <c r="I123" s="26">
        <f t="shared" si="84"/>
        <v>8385</v>
      </c>
      <c r="J123" s="26">
        <f t="shared" ref="J123:K123" si="89">I123*0.97</f>
        <v>8133.45</v>
      </c>
      <c r="K123" s="26">
        <f t="shared" si="89"/>
        <v>7889.4465</v>
      </c>
    </row>
    <row r="124" spans="1:11" ht="17.25" customHeight="1" x14ac:dyDescent="0.35">
      <c r="A124" s="4">
        <v>8</v>
      </c>
      <c r="B124" s="21" t="s">
        <v>229</v>
      </c>
      <c r="C124" s="24" t="s">
        <v>230</v>
      </c>
      <c r="D124" s="21">
        <v>3</v>
      </c>
      <c r="E124" s="4">
        <v>2.25</v>
      </c>
      <c r="F124" s="4">
        <v>65</v>
      </c>
      <c r="G124" s="4">
        <v>50</v>
      </c>
      <c r="H124" s="4">
        <v>13000</v>
      </c>
      <c r="I124" s="26">
        <f t="shared" si="84"/>
        <v>8450</v>
      </c>
      <c r="J124" s="26">
        <f t="shared" ref="J124:K124" si="90">I124*0.97</f>
        <v>8196.5</v>
      </c>
      <c r="K124" s="26">
        <f t="shared" si="90"/>
        <v>7950.6049999999996</v>
      </c>
    </row>
    <row r="125" spans="1:11" ht="17.25" customHeight="1" x14ac:dyDescent="0.35">
      <c r="A125" s="4">
        <v>9</v>
      </c>
      <c r="B125" s="21" t="s">
        <v>231</v>
      </c>
      <c r="C125" s="24" t="s">
        <v>232</v>
      </c>
      <c r="D125" s="21">
        <v>3</v>
      </c>
      <c r="E125" s="4">
        <v>2.25</v>
      </c>
      <c r="F125" s="4">
        <v>65</v>
      </c>
      <c r="G125" s="4">
        <v>50</v>
      </c>
      <c r="H125" s="4">
        <v>12900</v>
      </c>
      <c r="I125" s="26">
        <f t="shared" si="84"/>
        <v>8385</v>
      </c>
      <c r="J125" s="26">
        <f t="shared" ref="J125:K125" si="91">I125*0.97</f>
        <v>8133.45</v>
      </c>
      <c r="K125" s="26">
        <f t="shared" si="91"/>
        <v>7889.4465</v>
      </c>
    </row>
    <row r="126" spans="1:11" ht="17.25" customHeight="1" x14ac:dyDescent="0.35">
      <c r="A126" s="4">
        <v>10</v>
      </c>
      <c r="B126" s="21" t="s">
        <v>233</v>
      </c>
      <c r="C126" s="24" t="s">
        <v>234</v>
      </c>
      <c r="D126" s="21">
        <v>3</v>
      </c>
      <c r="E126" s="4">
        <v>2.25</v>
      </c>
      <c r="F126" s="4">
        <v>65</v>
      </c>
      <c r="G126" s="4">
        <v>50</v>
      </c>
      <c r="H126" s="4">
        <v>19300</v>
      </c>
      <c r="I126" s="26">
        <f t="shared" si="84"/>
        <v>12545</v>
      </c>
      <c r="J126" s="26">
        <f t="shared" ref="J126:K126" si="92">I126*0.97</f>
        <v>12168.65</v>
      </c>
      <c r="K126" s="26">
        <f t="shared" si="92"/>
        <v>11803.590499999998</v>
      </c>
    </row>
    <row r="127" spans="1:11" ht="17.25" customHeight="1" x14ac:dyDescent="0.35">
      <c r="A127" s="4">
        <v>11</v>
      </c>
      <c r="B127" s="21" t="s">
        <v>235</v>
      </c>
      <c r="C127" s="24" t="s">
        <v>236</v>
      </c>
      <c r="D127" s="21">
        <v>5</v>
      </c>
      <c r="E127" s="1">
        <v>3.75</v>
      </c>
      <c r="F127" s="4">
        <v>65</v>
      </c>
      <c r="G127" s="4">
        <v>50</v>
      </c>
      <c r="H127" s="4">
        <v>18700</v>
      </c>
      <c r="I127" s="26">
        <f t="shared" si="84"/>
        <v>12155</v>
      </c>
      <c r="J127" s="26">
        <f t="shared" ref="J127:K127" si="93">I127*0.97</f>
        <v>11790.35</v>
      </c>
      <c r="K127" s="26">
        <f t="shared" si="93"/>
        <v>11436.639499999999</v>
      </c>
    </row>
    <row r="128" spans="1:11" ht="17.25" customHeight="1" x14ac:dyDescent="0.35">
      <c r="A128" s="4">
        <v>12</v>
      </c>
      <c r="B128" s="21" t="s">
        <v>237</v>
      </c>
      <c r="C128" s="24" t="s">
        <v>238</v>
      </c>
      <c r="D128" s="21">
        <v>5</v>
      </c>
      <c r="E128" s="1">
        <v>3.75</v>
      </c>
      <c r="F128" s="4">
        <v>65</v>
      </c>
      <c r="G128" s="4">
        <v>50</v>
      </c>
      <c r="H128" s="4">
        <v>22900</v>
      </c>
      <c r="I128" s="26">
        <f t="shared" si="84"/>
        <v>14885</v>
      </c>
      <c r="J128" s="26">
        <f t="shared" ref="J128:K128" si="94">I128*0.97</f>
        <v>14438.449999999999</v>
      </c>
      <c r="K128" s="26">
        <f t="shared" si="94"/>
        <v>14005.296499999999</v>
      </c>
    </row>
    <row r="129" spans="1:11" ht="17.25" customHeight="1" x14ac:dyDescent="0.35">
      <c r="A129" s="300" t="s">
        <v>239</v>
      </c>
      <c r="B129" s="300"/>
      <c r="C129" s="300"/>
      <c r="D129" s="300"/>
      <c r="E129" s="300"/>
      <c r="F129" s="300"/>
      <c r="G129" s="300"/>
      <c r="H129" s="207" t="s">
        <v>109</v>
      </c>
      <c r="I129" s="315" t="s">
        <v>334</v>
      </c>
      <c r="J129" s="315"/>
      <c r="K129" s="315"/>
    </row>
    <row r="130" spans="1:11" ht="17.25" customHeight="1" x14ac:dyDescent="0.35">
      <c r="A130" s="287" t="s">
        <v>2</v>
      </c>
      <c r="B130" s="287" t="s">
        <v>3</v>
      </c>
      <c r="C130" s="298" t="s">
        <v>4</v>
      </c>
      <c r="D130" s="287" t="s">
        <v>5</v>
      </c>
      <c r="E130" s="287"/>
      <c r="F130" s="272" t="s">
        <v>6</v>
      </c>
      <c r="G130" s="273"/>
      <c r="H130" s="259"/>
      <c r="I130" s="323">
        <v>0.35</v>
      </c>
      <c r="J130" s="323">
        <v>0.03</v>
      </c>
      <c r="K130" s="323">
        <v>0.03</v>
      </c>
    </row>
    <row r="131" spans="1:11" ht="17.25" customHeight="1" x14ac:dyDescent="0.35">
      <c r="A131" s="287"/>
      <c r="B131" s="287"/>
      <c r="C131" s="298"/>
      <c r="D131" s="11" t="s">
        <v>9</v>
      </c>
      <c r="E131" s="11" t="s">
        <v>10</v>
      </c>
      <c r="F131" s="274"/>
      <c r="G131" s="275"/>
      <c r="H131" s="208"/>
      <c r="I131" s="324"/>
      <c r="J131" s="324"/>
      <c r="K131" s="324"/>
    </row>
    <row r="132" spans="1:11" ht="17.25" customHeight="1" x14ac:dyDescent="0.35">
      <c r="A132" s="4">
        <v>1</v>
      </c>
      <c r="B132" s="4" t="s">
        <v>240</v>
      </c>
      <c r="C132" s="25" t="s">
        <v>241</v>
      </c>
      <c r="D132" s="4">
        <v>0.5</v>
      </c>
      <c r="E132" s="4"/>
      <c r="F132" s="292">
        <v>32</v>
      </c>
      <c r="G132" s="292"/>
      <c r="H132" s="4">
        <v>8240</v>
      </c>
      <c r="I132" s="26">
        <f t="shared" ref="I132:I154" si="95">H132*0.65</f>
        <v>5356</v>
      </c>
      <c r="J132" s="26">
        <f t="shared" ref="J132:K132" si="96">I132*0.97</f>
        <v>5195.32</v>
      </c>
      <c r="K132" s="26">
        <f t="shared" si="96"/>
        <v>5039.4603999999999</v>
      </c>
    </row>
    <row r="133" spans="1:11" ht="17.25" customHeight="1" x14ac:dyDescent="0.35">
      <c r="A133" s="4">
        <v>2</v>
      </c>
      <c r="B133" s="4" t="s">
        <v>242</v>
      </c>
      <c r="C133" s="25" t="s">
        <v>243</v>
      </c>
      <c r="D133" s="4">
        <v>0.5</v>
      </c>
      <c r="E133" s="4"/>
      <c r="F133" s="292">
        <v>32</v>
      </c>
      <c r="G133" s="292"/>
      <c r="H133" s="4">
        <v>8450</v>
      </c>
      <c r="I133" s="26">
        <f t="shared" si="95"/>
        <v>5492.5</v>
      </c>
      <c r="J133" s="26">
        <f t="shared" ref="J133:K133" si="97">I133*0.97</f>
        <v>5327.7249999999995</v>
      </c>
      <c r="K133" s="26">
        <f t="shared" si="97"/>
        <v>5167.8932499999992</v>
      </c>
    </row>
    <row r="134" spans="1:11" ht="17.25" customHeight="1" x14ac:dyDescent="0.35">
      <c r="A134" s="4">
        <v>3</v>
      </c>
      <c r="B134" s="4" t="s">
        <v>244</v>
      </c>
      <c r="C134" s="25" t="s">
        <v>245</v>
      </c>
      <c r="D134" s="4">
        <v>0.75</v>
      </c>
      <c r="E134" s="4"/>
      <c r="F134" s="292">
        <v>32</v>
      </c>
      <c r="G134" s="292"/>
      <c r="H134" s="4">
        <v>8550</v>
      </c>
      <c r="I134" s="26">
        <f t="shared" si="95"/>
        <v>5557.5</v>
      </c>
      <c r="J134" s="26">
        <f t="shared" ref="J134:K134" si="98">I134*0.97</f>
        <v>5390.7749999999996</v>
      </c>
      <c r="K134" s="26">
        <f t="shared" si="98"/>
        <v>5229.0517499999996</v>
      </c>
    </row>
    <row r="135" spans="1:11" ht="17.25" customHeight="1" x14ac:dyDescent="0.35">
      <c r="A135" s="4">
        <v>4</v>
      </c>
      <c r="B135" s="4" t="s">
        <v>246</v>
      </c>
      <c r="C135" s="25" t="s">
        <v>247</v>
      </c>
      <c r="D135" s="4">
        <v>0.75</v>
      </c>
      <c r="E135" s="4"/>
      <c r="F135" s="292">
        <v>32</v>
      </c>
      <c r="G135" s="292"/>
      <c r="H135" s="4">
        <v>8750</v>
      </c>
      <c r="I135" s="26">
        <f t="shared" si="95"/>
        <v>5687.5</v>
      </c>
      <c r="J135" s="26">
        <f t="shared" ref="J135:K135" si="99">I135*0.97</f>
        <v>5516.875</v>
      </c>
      <c r="K135" s="26">
        <f t="shared" si="99"/>
        <v>5351.3687499999996</v>
      </c>
    </row>
    <row r="136" spans="1:11" ht="17.25" customHeight="1" x14ac:dyDescent="0.35">
      <c r="A136" s="4">
        <v>5</v>
      </c>
      <c r="B136" s="4" t="s">
        <v>248</v>
      </c>
      <c r="C136" s="25" t="s">
        <v>249</v>
      </c>
      <c r="D136" s="4">
        <v>1</v>
      </c>
      <c r="E136" s="4"/>
      <c r="F136" s="292">
        <v>32</v>
      </c>
      <c r="G136" s="292"/>
      <c r="H136" s="26">
        <v>8800</v>
      </c>
      <c r="I136" s="26">
        <f t="shared" si="95"/>
        <v>5720</v>
      </c>
      <c r="J136" s="26">
        <f t="shared" ref="J136:K136" si="100">I136*0.97</f>
        <v>5548.4</v>
      </c>
      <c r="K136" s="26">
        <f t="shared" si="100"/>
        <v>5381.9479999999994</v>
      </c>
    </row>
    <row r="137" spans="1:11" ht="17.25" customHeight="1" x14ac:dyDescent="0.35">
      <c r="A137" s="4">
        <v>6</v>
      </c>
      <c r="B137" s="4" t="s">
        <v>250</v>
      </c>
      <c r="C137" s="25" t="s">
        <v>251</v>
      </c>
      <c r="D137" s="4">
        <v>1</v>
      </c>
      <c r="E137" s="4"/>
      <c r="F137" s="292">
        <v>32</v>
      </c>
      <c r="G137" s="292"/>
      <c r="H137" s="26">
        <v>9000</v>
      </c>
      <c r="I137" s="26">
        <f t="shared" si="95"/>
        <v>5850</v>
      </c>
      <c r="J137" s="26">
        <f t="shared" ref="J137:K137" si="101">I137*0.97</f>
        <v>5674.5</v>
      </c>
      <c r="K137" s="26">
        <f t="shared" si="101"/>
        <v>5504.2649999999994</v>
      </c>
    </row>
    <row r="138" spans="1:11" ht="17.25" customHeight="1" x14ac:dyDescent="0.35">
      <c r="A138" s="4">
        <v>7</v>
      </c>
      <c r="B138" s="4" t="s">
        <v>252</v>
      </c>
      <c r="C138" s="25" t="s">
        <v>253</v>
      </c>
      <c r="D138" s="4">
        <v>1</v>
      </c>
      <c r="E138" s="4"/>
      <c r="F138" s="292">
        <v>32</v>
      </c>
      <c r="G138" s="292"/>
      <c r="H138" s="4">
        <v>9480</v>
      </c>
      <c r="I138" s="26">
        <f t="shared" si="95"/>
        <v>6162</v>
      </c>
      <c r="J138" s="26">
        <f t="shared" ref="J138:K138" si="102">I138*0.97</f>
        <v>5977.1399999999994</v>
      </c>
      <c r="K138" s="26">
        <f t="shared" si="102"/>
        <v>5797.8257999999996</v>
      </c>
    </row>
    <row r="139" spans="1:11" ht="17.25" customHeight="1" x14ac:dyDescent="0.35">
      <c r="A139" s="4">
        <v>8</v>
      </c>
      <c r="B139" s="4" t="s">
        <v>254</v>
      </c>
      <c r="C139" s="25" t="s">
        <v>255</v>
      </c>
      <c r="D139" s="4">
        <v>1</v>
      </c>
      <c r="E139" s="4"/>
      <c r="F139" s="292">
        <v>32</v>
      </c>
      <c r="G139" s="292"/>
      <c r="H139" s="4">
        <v>9790</v>
      </c>
      <c r="I139" s="26">
        <f t="shared" si="95"/>
        <v>6363.5</v>
      </c>
      <c r="J139" s="26">
        <f t="shared" ref="J139:K139" si="103">I139*0.97</f>
        <v>6172.5950000000003</v>
      </c>
      <c r="K139" s="26">
        <f t="shared" si="103"/>
        <v>5987.4171500000002</v>
      </c>
    </row>
    <row r="140" spans="1:11" ht="17.25" customHeight="1" x14ac:dyDescent="0.35">
      <c r="A140" s="4">
        <v>9</v>
      </c>
      <c r="B140" s="4" t="s">
        <v>256</v>
      </c>
      <c r="C140" s="25" t="s">
        <v>257</v>
      </c>
      <c r="D140" s="4">
        <v>1.5</v>
      </c>
      <c r="E140" s="4"/>
      <c r="F140" s="292">
        <v>32</v>
      </c>
      <c r="G140" s="292"/>
      <c r="H140" s="4">
        <v>11330</v>
      </c>
      <c r="I140" s="26">
        <f t="shared" si="95"/>
        <v>7364.5</v>
      </c>
      <c r="J140" s="26">
        <f t="shared" ref="J140:K140" si="104">I140*0.97</f>
        <v>7143.5649999999996</v>
      </c>
      <c r="K140" s="26">
        <f t="shared" si="104"/>
        <v>6929.2580499999995</v>
      </c>
    </row>
    <row r="141" spans="1:11" ht="17.25" customHeight="1" x14ac:dyDescent="0.35">
      <c r="A141" s="4">
        <v>10</v>
      </c>
      <c r="B141" s="4" t="s">
        <v>258</v>
      </c>
      <c r="C141" s="25" t="s">
        <v>259</v>
      </c>
      <c r="D141" s="4">
        <v>1.5</v>
      </c>
      <c r="E141" s="4"/>
      <c r="F141" s="292">
        <v>32</v>
      </c>
      <c r="G141" s="292"/>
      <c r="H141" s="4">
        <v>11640</v>
      </c>
      <c r="I141" s="26">
        <f t="shared" si="95"/>
        <v>7566</v>
      </c>
      <c r="J141" s="26">
        <f t="shared" ref="J141:K141" si="105">I141*0.97</f>
        <v>7339.0199999999995</v>
      </c>
      <c r="K141" s="26">
        <f t="shared" si="105"/>
        <v>7118.8493999999992</v>
      </c>
    </row>
    <row r="142" spans="1:11" ht="17.25" customHeight="1" x14ac:dyDescent="0.35">
      <c r="A142" s="4">
        <v>11</v>
      </c>
      <c r="B142" s="4" t="s">
        <v>260</v>
      </c>
      <c r="C142" s="25" t="s">
        <v>261</v>
      </c>
      <c r="D142" s="4">
        <v>1.5</v>
      </c>
      <c r="E142" s="4"/>
      <c r="F142" s="292">
        <v>32</v>
      </c>
      <c r="G142" s="292"/>
      <c r="H142" s="4">
        <v>11800</v>
      </c>
      <c r="I142" s="26">
        <f t="shared" si="95"/>
        <v>7670</v>
      </c>
      <c r="J142" s="26">
        <f t="shared" ref="J142:K142" si="106">I142*0.97</f>
        <v>7439.9</v>
      </c>
      <c r="K142" s="26">
        <f t="shared" si="106"/>
        <v>7216.7029999999995</v>
      </c>
    </row>
    <row r="143" spans="1:11" ht="17.25" customHeight="1" x14ac:dyDescent="0.35">
      <c r="A143" s="4">
        <v>12</v>
      </c>
      <c r="B143" s="4" t="s">
        <v>262</v>
      </c>
      <c r="C143" s="25" t="s">
        <v>263</v>
      </c>
      <c r="D143" s="4">
        <v>1.5</v>
      </c>
      <c r="E143" s="4"/>
      <c r="F143" s="292">
        <v>32</v>
      </c>
      <c r="G143" s="292"/>
      <c r="H143" s="4">
        <v>12670</v>
      </c>
      <c r="I143" s="26">
        <f t="shared" si="95"/>
        <v>8235.5</v>
      </c>
      <c r="J143" s="26">
        <f t="shared" ref="J143:K143" si="107">I143*0.97</f>
        <v>7988.4349999999995</v>
      </c>
      <c r="K143" s="26">
        <f t="shared" si="107"/>
        <v>7748.7819499999996</v>
      </c>
    </row>
    <row r="144" spans="1:11" ht="17.25" customHeight="1" x14ac:dyDescent="0.35">
      <c r="A144" s="4">
        <v>13</v>
      </c>
      <c r="B144" s="4" t="s">
        <v>264</v>
      </c>
      <c r="C144" s="25" t="s">
        <v>265</v>
      </c>
      <c r="D144" s="4">
        <v>2</v>
      </c>
      <c r="E144" s="4"/>
      <c r="F144" s="292">
        <v>40</v>
      </c>
      <c r="G144" s="292"/>
      <c r="H144" s="4">
        <v>14730</v>
      </c>
      <c r="I144" s="26">
        <f t="shared" si="95"/>
        <v>9574.5</v>
      </c>
      <c r="J144" s="26">
        <f t="shared" ref="J144:K144" si="108">I144*0.97</f>
        <v>9287.2649999999994</v>
      </c>
      <c r="K144" s="26">
        <f t="shared" si="108"/>
        <v>9008.6470499999996</v>
      </c>
    </row>
    <row r="145" spans="1:11" ht="17.25" customHeight="1" x14ac:dyDescent="0.35">
      <c r="A145" s="4">
        <v>14</v>
      </c>
      <c r="B145" s="4" t="s">
        <v>266</v>
      </c>
      <c r="C145" s="25" t="s">
        <v>267</v>
      </c>
      <c r="D145" s="4">
        <v>2</v>
      </c>
      <c r="E145" s="4"/>
      <c r="F145" s="292">
        <v>32</v>
      </c>
      <c r="G145" s="292"/>
      <c r="H145" s="4">
        <v>15250</v>
      </c>
      <c r="I145" s="26">
        <f t="shared" si="95"/>
        <v>9912.5</v>
      </c>
      <c r="J145" s="26">
        <f t="shared" ref="J145:K145" si="109">I145*0.97</f>
        <v>9615.125</v>
      </c>
      <c r="K145" s="26">
        <f t="shared" si="109"/>
        <v>9326.6712499999994</v>
      </c>
    </row>
    <row r="146" spans="1:11" ht="17.25" customHeight="1" x14ac:dyDescent="0.35">
      <c r="A146" s="4">
        <v>15</v>
      </c>
      <c r="B146" s="4" t="s">
        <v>268</v>
      </c>
      <c r="C146" s="25" t="s">
        <v>269</v>
      </c>
      <c r="D146" s="4">
        <v>2</v>
      </c>
      <c r="E146" s="4"/>
      <c r="F146" s="292">
        <v>32</v>
      </c>
      <c r="G146" s="292"/>
      <c r="H146" s="4">
        <v>15860</v>
      </c>
      <c r="I146" s="26">
        <f t="shared" si="95"/>
        <v>10309</v>
      </c>
      <c r="J146" s="26">
        <f t="shared" ref="J146:K146" si="110">I146*0.97</f>
        <v>9999.73</v>
      </c>
      <c r="K146" s="26">
        <f t="shared" si="110"/>
        <v>9699.7380999999987</v>
      </c>
    </row>
    <row r="147" spans="1:11" ht="17.25" customHeight="1" x14ac:dyDescent="0.35">
      <c r="A147" s="4">
        <v>16</v>
      </c>
      <c r="B147" s="4" t="s">
        <v>270</v>
      </c>
      <c r="C147" s="25" t="s">
        <v>271</v>
      </c>
      <c r="D147" s="4">
        <v>2</v>
      </c>
      <c r="E147" s="4"/>
      <c r="F147" s="292">
        <v>32</v>
      </c>
      <c r="G147" s="292"/>
      <c r="H147" s="4">
        <v>15970</v>
      </c>
      <c r="I147" s="26">
        <f t="shared" si="95"/>
        <v>10380.5</v>
      </c>
      <c r="J147" s="26">
        <f t="shared" ref="J147:K147" si="111">I147*0.97</f>
        <v>10069.084999999999</v>
      </c>
      <c r="K147" s="26">
        <f t="shared" si="111"/>
        <v>9767.0124499999984</v>
      </c>
    </row>
    <row r="148" spans="1:11" ht="17.25" customHeight="1" x14ac:dyDescent="0.35">
      <c r="A148" s="4">
        <v>17</v>
      </c>
      <c r="B148" s="4" t="s">
        <v>272</v>
      </c>
      <c r="C148" s="25" t="s">
        <v>273</v>
      </c>
      <c r="D148" s="4">
        <v>2</v>
      </c>
      <c r="E148" s="4"/>
      <c r="F148" s="292">
        <v>32</v>
      </c>
      <c r="G148" s="292"/>
      <c r="H148" s="4">
        <v>16480</v>
      </c>
      <c r="I148" s="26">
        <f t="shared" si="95"/>
        <v>10712</v>
      </c>
      <c r="J148" s="26">
        <f t="shared" ref="J148:K148" si="112">I148*0.97</f>
        <v>10390.64</v>
      </c>
      <c r="K148" s="26">
        <f t="shared" si="112"/>
        <v>10078.9208</v>
      </c>
    </row>
    <row r="149" spans="1:11" ht="17.25" customHeight="1" x14ac:dyDescent="0.35">
      <c r="A149" s="4">
        <v>18</v>
      </c>
      <c r="B149" s="4" t="s">
        <v>274</v>
      </c>
      <c r="C149" s="25" t="s">
        <v>275</v>
      </c>
      <c r="D149" s="4">
        <v>2</v>
      </c>
      <c r="E149" s="4"/>
      <c r="F149" s="292">
        <v>65</v>
      </c>
      <c r="G149" s="292"/>
      <c r="H149" s="4">
        <v>14940</v>
      </c>
      <c r="I149" s="26">
        <f t="shared" si="95"/>
        <v>9711</v>
      </c>
      <c r="J149" s="26">
        <f t="shared" ref="J149:K149" si="113">I149*0.97</f>
        <v>9419.67</v>
      </c>
      <c r="K149" s="26">
        <f t="shared" si="113"/>
        <v>9137.0799000000006</v>
      </c>
    </row>
    <row r="150" spans="1:11" ht="17.25" customHeight="1" x14ac:dyDescent="0.35">
      <c r="A150" s="4">
        <v>19</v>
      </c>
      <c r="B150" s="4" t="s">
        <v>276</v>
      </c>
      <c r="C150" s="25" t="s">
        <v>277</v>
      </c>
      <c r="D150" s="4">
        <v>3</v>
      </c>
      <c r="E150" s="4"/>
      <c r="F150" s="292">
        <v>32</v>
      </c>
      <c r="G150" s="292"/>
      <c r="H150" s="4">
        <v>23500</v>
      </c>
      <c r="I150" s="26">
        <f t="shared" si="95"/>
        <v>15275</v>
      </c>
      <c r="J150" s="26">
        <f t="shared" ref="J150:K150" si="114">I150*0.97</f>
        <v>14816.75</v>
      </c>
      <c r="K150" s="26">
        <f t="shared" si="114"/>
        <v>14372.247499999999</v>
      </c>
    </row>
    <row r="151" spans="1:11" ht="17.25" customHeight="1" x14ac:dyDescent="0.35">
      <c r="A151" s="4">
        <v>20</v>
      </c>
      <c r="B151" s="4" t="s">
        <v>278</v>
      </c>
      <c r="C151" s="25" t="s">
        <v>279</v>
      </c>
      <c r="D151" s="4">
        <v>3</v>
      </c>
      <c r="E151" s="4"/>
      <c r="F151" s="292">
        <v>32</v>
      </c>
      <c r="G151" s="292"/>
      <c r="H151" s="4">
        <v>24000</v>
      </c>
      <c r="I151" s="26">
        <f t="shared" si="95"/>
        <v>15600</v>
      </c>
      <c r="J151" s="26">
        <f t="shared" ref="J151:K151" si="115">I151*0.97</f>
        <v>15132</v>
      </c>
      <c r="K151" s="26">
        <f t="shared" si="115"/>
        <v>14678.039999999999</v>
      </c>
    </row>
    <row r="152" spans="1:11" ht="17.25" customHeight="1" x14ac:dyDescent="0.35">
      <c r="A152" s="4">
        <v>21</v>
      </c>
      <c r="B152" s="4" t="s">
        <v>280</v>
      </c>
      <c r="C152" s="25" t="s">
        <v>281</v>
      </c>
      <c r="D152" s="4">
        <v>3</v>
      </c>
      <c r="E152" s="4"/>
      <c r="F152" s="292">
        <v>32</v>
      </c>
      <c r="G152" s="292"/>
      <c r="H152" s="4">
        <v>24500</v>
      </c>
      <c r="I152" s="26">
        <f t="shared" si="95"/>
        <v>15925</v>
      </c>
      <c r="J152" s="26">
        <f t="shared" ref="J152:K152" si="116">I152*0.97</f>
        <v>15447.25</v>
      </c>
      <c r="K152" s="26">
        <f t="shared" si="116"/>
        <v>14983.8325</v>
      </c>
    </row>
    <row r="153" spans="1:11" ht="17.25" customHeight="1" x14ac:dyDescent="0.35">
      <c r="A153" s="4">
        <v>22</v>
      </c>
      <c r="B153" s="4" t="s">
        <v>282</v>
      </c>
      <c r="C153" s="25" t="s">
        <v>283</v>
      </c>
      <c r="D153" s="4">
        <v>3</v>
      </c>
      <c r="E153" s="4"/>
      <c r="F153" s="292">
        <v>65</v>
      </c>
      <c r="G153" s="292"/>
      <c r="H153" s="4">
        <v>23690</v>
      </c>
      <c r="I153" s="26">
        <f t="shared" si="95"/>
        <v>15398.5</v>
      </c>
      <c r="J153" s="26">
        <f t="shared" ref="J153:K153" si="117">I153*0.97</f>
        <v>14936.545</v>
      </c>
      <c r="K153" s="26">
        <f t="shared" si="117"/>
        <v>14488.44865</v>
      </c>
    </row>
    <row r="154" spans="1:11" ht="17.25" customHeight="1" x14ac:dyDescent="0.35">
      <c r="A154" s="4">
        <v>23</v>
      </c>
      <c r="B154" s="4" t="s">
        <v>284</v>
      </c>
      <c r="C154" s="25" t="s">
        <v>283</v>
      </c>
      <c r="D154" s="4">
        <v>3</v>
      </c>
      <c r="E154" s="4"/>
      <c r="F154" s="292">
        <v>65</v>
      </c>
      <c r="G154" s="292"/>
      <c r="H154" s="4">
        <v>15450</v>
      </c>
      <c r="I154" s="26">
        <f t="shared" si="95"/>
        <v>10042.5</v>
      </c>
      <c r="J154" s="26">
        <f t="shared" ref="J154:K154" si="118">I154*0.97</f>
        <v>9741.2250000000004</v>
      </c>
      <c r="K154" s="26">
        <f t="shared" si="118"/>
        <v>9448.9882500000003</v>
      </c>
    </row>
    <row r="155" spans="1:11" ht="17.25" customHeight="1" x14ac:dyDescent="0.35">
      <c r="A155" s="300" t="s">
        <v>285</v>
      </c>
      <c r="B155" s="300"/>
      <c r="C155" s="300"/>
      <c r="D155" s="300"/>
      <c r="E155" s="300"/>
      <c r="F155" s="300"/>
      <c r="G155" s="300"/>
      <c r="H155" s="207" t="s">
        <v>109</v>
      </c>
      <c r="I155" s="315" t="s">
        <v>334</v>
      </c>
      <c r="J155" s="315"/>
      <c r="K155" s="315"/>
    </row>
    <row r="156" spans="1:11" ht="17.25" customHeight="1" x14ac:dyDescent="0.35">
      <c r="A156" s="287" t="s">
        <v>2</v>
      </c>
      <c r="B156" s="287" t="s">
        <v>3</v>
      </c>
      <c r="C156" s="298" t="s">
        <v>4</v>
      </c>
      <c r="D156" s="287" t="s">
        <v>5</v>
      </c>
      <c r="E156" s="287"/>
      <c r="F156" s="287" t="s">
        <v>6</v>
      </c>
      <c r="G156" s="287"/>
      <c r="H156" s="259"/>
      <c r="I156" s="323">
        <v>0.35</v>
      </c>
      <c r="J156" s="323">
        <v>0.03</v>
      </c>
      <c r="K156" s="323">
        <v>0.03</v>
      </c>
    </row>
    <row r="157" spans="1:11" ht="17.25" customHeight="1" x14ac:dyDescent="0.35">
      <c r="A157" s="287"/>
      <c r="B157" s="287"/>
      <c r="C157" s="298"/>
      <c r="D157" s="11" t="s">
        <v>9</v>
      </c>
      <c r="E157" s="11" t="s">
        <v>10</v>
      </c>
      <c r="F157" s="11" t="s">
        <v>11</v>
      </c>
      <c r="G157" s="11" t="s">
        <v>12</v>
      </c>
      <c r="H157" s="208"/>
      <c r="I157" s="324"/>
      <c r="J157" s="324"/>
      <c r="K157" s="324"/>
    </row>
    <row r="158" spans="1:11" ht="17.25" customHeight="1" x14ac:dyDescent="0.35">
      <c r="A158" s="4">
        <v>1</v>
      </c>
      <c r="B158" s="4" t="s">
        <v>286</v>
      </c>
      <c r="C158" s="25" t="s">
        <v>287</v>
      </c>
      <c r="D158" s="4">
        <v>0.5</v>
      </c>
      <c r="E158" s="4"/>
      <c r="F158" s="292">
        <v>32</v>
      </c>
      <c r="G158" s="292"/>
      <c r="H158" s="4">
        <v>6800</v>
      </c>
      <c r="I158" s="26">
        <f t="shared" ref="I158:I172" si="119">H158*0.65</f>
        <v>4420</v>
      </c>
      <c r="J158" s="26">
        <f t="shared" ref="J158:K158" si="120">I158*0.97</f>
        <v>4287.3999999999996</v>
      </c>
      <c r="K158" s="26">
        <f t="shared" si="120"/>
        <v>4158.7779999999993</v>
      </c>
    </row>
    <row r="159" spans="1:11" ht="17.25" customHeight="1" x14ac:dyDescent="0.35">
      <c r="A159" s="4">
        <v>2</v>
      </c>
      <c r="B159" s="4" t="s">
        <v>288</v>
      </c>
      <c r="C159" s="25" t="s">
        <v>289</v>
      </c>
      <c r="D159" s="4">
        <v>0.5</v>
      </c>
      <c r="E159" s="4"/>
      <c r="F159" s="292">
        <v>32</v>
      </c>
      <c r="G159" s="292"/>
      <c r="H159" s="4">
        <v>7600</v>
      </c>
      <c r="I159" s="26">
        <f t="shared" si="119"/>
        <v>4940</v>
      </c>
      <c r="J159" s="26">
        <f t="shared" ref="J159:K159" si="121">I159*0.97</f>
        <v>4791.8</v>
      </c>
      <c r="K159" s="26">
        <f t="shared" si="121"/>
        <v>4648.0460000000003</v>
      </c>
    </row>
    <row r="160" spans="1:11" ht="17.25" customHeight="1" x14ac:dyDescent="0.35">
      <c r="A160" s="4">
        <v>3</v>
      </c>
      <c r="B160" s="4" t="s">
        <v>290</v>
      </c>
      <c r="C160" s="25" t="s">
        <v>291</v>
      </c>
      <c r="D160" s="4">
        <v>0.75</v>
      </c>
      <c r="E160" s="4"/>
      <c r="F160" s="292">
        <v>32</v>
      </c>
      <c r="G160" s="292"/>
      <c r="H160" s="4">
        <v>7800</v>
      </c>
      <c r="I160" s="26">
        <f t="shared" si="119"/>
        <v>5070</v>
      </c>
      <c r="J160" s="26">
        <f t="shared" ref="J160:K160" si="122">I160*0.97</f>
        <v>4917.8999999999996</v>
      </c>
      <c r="K160" s="26">
        <f t="shared" si="122"/>
        <v>4770.3629999999994</v>
      </c>
    </row>
    <row r="161" spans="1:11" ht="17.25" customHeight="1" x14ac:dyDescent="0.35">
      <c r="A161" s="4">
        <v>4</v>
      </c>
      <c r="B161" s="4" t="s">
        <v>292</v>
      </c>
      <c r="C161" s="25" t="s">
        <v>293</v>
      </c>
      <c r="D161" s="4">
        <v>0.75</v>
      </c>
      <c r="E161" s="4"/>
      <c r="F161" s="292">
        <v>32</v>
      </c>
      <c r="G161" s="292"/>
      <c r="H161" s="4">
        <v>8000</v>
      </c>
      <c r="I161" s="26">
        <f t="shared" si="119"/>
        <v>5200</v>
      </c>
      <c r="J161" s="26">
        <f t="shared" ref="J161:K161" si="123">I161*0.97</f>
        <v>5044</v>
      </c>
      <c r="K161" s="26">
        <f t="shared" si="123"/>
        <v>4892.68</v>
      </c>
    </row>
    <row r="162" spans="1:11" ht="17.25" customHeight="1" x14ac:dyDescent="0.35">
      <c r="A162" s="4">
        <v>5</v>
      </c>
      <c r="B162" s="4" t="s">
        <v>294</v>
      </c>
      <c r="C162" s="25" t="s">
        <v>295</v>
      </c>
      <c r="D162" s="4">
        <v>1</v>
      </c>
      <c r="E162" s="4"/>
      <c r="F162" s="292">
        <v>32</v>
      </c>
      <c r="G162" s="292"/>
      <c r="H162" s="4">
        <v>8200</v>
      </c>
      <c r="I162" s="26">
        <f t="shared" si="119"/>
        <v>5330</v>
      </c>
      <c r="J162" s="26">
        <f t="shared" ref="J162:K162" si="124">I162*0.97</f>
        <v>5170.0999999999995</v>
      </c>
      <c r="K162" s="26">
        <f t="shared" si="124"/>
        <v>5014.9969999999994</v>
      </c>
    </row>
    <row r="163" spans="1:11" ht="17.25" customHeight="1" x14ac:dyDescent="0.35">
      <c r="A163" s="4">
        <v>6</v>
      </c>
      <c r="B163" s="4" t="s">
        <v>296</v>
      </c>
      <c r="C163" s="25" t="s">
        <v>297</v>
      </c>
      <c r="D163" s="4">
        <v>1</v>
      </c>
      <c r="E163" s="4"/>
      <c r="F163" s="292">
        <v>32</v>
      </c>
      <c r="G163" s="292"/>
      <c r="H163" s="4">
        <v>8400</v>
      </c>
      <c r="I163" s="26">
        <f t="shared" si="119"/>
        <v>5460</v>
      </c>
      <c r="J163" s="26">
        <f t="shared" ref="J163:K163" si="125">I163*0.97</f>
        <v>5296.2</v>
      </c>
      <c r="K163" s="26">
        <f t="shared" si="125"/>
        <v>5137.3139999999994</v>
      </c>
    </row>
    <row r="164" spans="1:11" ht="17.25" customHeight="1" x14ac:dyDescent="0.35">
      <c r="A164" s="4">
        <v>7</v>
      </c>
      <c r="B164" s="4" t="s">
        <v>298</v>
      </c>
      <c r="C164" s="25" t="s">
        <v>299</v>
      </c>
      <c r="D164" s="4">
        <v>1</v>
      </c>
      <c r="E164" s="4"/>
      <c r="F164" s="292">
        <v>32</v>
      </c>
      <c r="G164" s="292"/>
      <c r="H164" s="4">
        <v>8600</v>
      </c>
      <c r="I164" s="26">
        <f t="shared" si="119"/>
        <v>5590</v>
      </c>
      <c r="J164" s="26">
        <f t="shared" ref="J164:K164" si="126">I164*0.97</f>
        <v>5422.3</v>
      </c>
      <c r="K164" s="26">
        <f t="shared" si="126"/>
        <v>5259.6310000000003</v>
      </c>
    </row>
    <row r="165" spans="1:11" ht="17.25" customHeight="1" x14ac:dyDescent="0.35">
      <c r="A165" s="4">
        <v>8</v>
      </c>
      <c r="B165" s="4" t="s">
        <v>300</v>
      </c>
      <c r="C165" s="25" t="s">
        <v>301</v>
      </c>
      <c r="D165" s="4">
        <v>1.5</v>
      </c>
      <c r="E165" s="4"/>
      <c r="F165" s="292">
        <v>32</v>
      </c>
      <c r="G165" s="292"/>
      <c r="H165" s="4">
        <v>9000</v>
      </c>
      <c r="I165" s="26">
        <f t="shared" si="119"/>
        <v>5850</v>
      </c>
      <c r="J165" s="26">
        <f t="shared" ref="J165:K165" si="127">I165*0.97</f>
        <v>5674.5</v>
      </c>
      <c r="K165" s="26">
        <f t="shared" si="127"/>
        <v>5504.2649999999994</v>
      </c>
    </row>
    <row r="166" spans="1:11" ht="17.25" customHeight="1" x14ac:dyDescent="0.35">
      <c r="A166" s="4">
        <v>9</v>
      </c>
      <c r="B166" s="4" t="s">
        <v>302</v>
      </c>
      <c r="C166" s="25" t="s">
        <v>303</v>
      </c>
      <c r="D166" s="4">
        <v>1.5</v>
      </c>
      <c r="E166" s="4"/>
      <c r="F166" s="292">
        <v>32</v>
      </c>
      <c r="G166" s="292"/>
      <c r="H166" s="4">
        <v>10600</v>
      </c>
      <c r="I166" s="26">
        <f t="shared" si="119"/>
        <v>6890</v>
      </c>
      <c r="J166" s="26">
        <f t="shared" ref="J166:K166" si="128">I166*0.97</f>
        <v>6683.3</v>
      </c>
      <c r="K166" s="26">
        <f t="shared" si="128"/>
        <v>6482.8010000000004</v>
      </c>
    </row>
    <row r="167" spans="1:11" ht="17.25" customHeight="1" x14ac:dyDescent="0.35">
      <c r="A167" s="4">
        <v>10</v>
      </c>
      <c r="B167" s="4" t="s">
        <v>304</v>
      </c>
      <c r="C167" s="25" t="s">
        <v>305</v>
      </c>
      <c r="D167" s="4">
        <v>1.5</v>
      </c>
      <c r="E167" s="4"/>
      <c r="F167" s="292">
        <v>32</v>
      </c>
      <c r="G167" s="292"/>
      <c r="H167" s="4">
        <v>11000</v>
      </c>
      <c r="I167" s="26">
        <f t="shared" si="119"/>
        <v>7150</v>
      </c>
      <c r="J167" s="26">
        <f t="shared" ref="J167:K167" si="129">I167*0.97</f>
        <v>6935.5</v>
      </c>
      <c r="K167" s="26">
        <f t="shared" si="129"/>
        <v>6727.4349999999995</v>
      </c>
    </row>
    <row r="168" spans="1:11" ht="17.25" customHeight="1" x14ac:dyDescent="0.35">
      <c r="A168" s="4">
        <v>11</v>
      </c>
      <c r="B168" s="4" t="s">
        <v>306</v>
      </c>
      <c r="C168" s="25" t="s">
        <v>307</v>
      </c>
      <c r="D168" s="4">
        <v>2</v>
      </c>
      <c r="E168" s="4"/>
      <c r="F168" s="292">
        <v>32</v>
      </c>
      <c r="G168" s="292"/>
      <c r="H168" s="4">
        <v>13000</v>
      </c>
      <c r="I168" s="26">
        <f t="shared" si="119"/>
        <v>8450</v>
      </c>
      <c r="J168" s="26">
        <f t="shared" ref="J168:K168" si="130">I168*0.97</f>
        <v>8196.5</v>
      </c>
      <c r="K168" s="26">
        <f t="shared" si="130"/>
        <v>7950.6049999999996</v>
      </c>
    </row>
    <row r="169" spans="1:11" ht="17.25" customHeight="1" x14ac:dyDescent="0.35">
      <c r="A169" s="4">
        <v>12</v>
      </c>
      <c r="B169" s="4" t="s">
        <v>308</v>
      </c>
      <c r="C169" s="25" t="s">
        <v>309</v>
      </c>
      <c r="D169" s="4">
        <v>2</v>
      </c>
      <c r="E169" s="4"/>
      <c r="F169" s="292">
        <v>32</v>
      </c>
      <c r="G169" s="292"/>
      <c r="H169" s="4">
        <v>15500</v>
      </c>
      <c r="I169" s="26">
        <f t="shared" si="119"/>
        <v>10075</v>
      </c>
      <c r="J169" s="26">
        <f t="shared" ref="J169:K169" si="131">I169*0.97</f>
        <v>9772.75</v>
      </c>
      <c r="K169" s="26">
        <f t="shared" si="131"/>
        <v>9479.5674999999992</v>
      </c>
    </row>
    <row r="170" spans="1:11" ht="17.25" customHeight="1" x14ac:dyDescent="0.35">
      <c r="A170" s="4">
        <v>13</v>
      </c>
      <c r="B170" s="4" t="s">
        <v>310</v>
      </c>
      <c r="C170" s="25" t="s">
        <v>311</v>
      </c>
      <c r="D170" s="4">
        <v>3</v>
      </c>
      <c r="E170" s="4"/>
      <c r="F170" s="292">
        <v>32</v>
      </c>
      <c r="G170" s="292"/>
      <c r="H170" s="4">
        <v>19000</v>
      </c>
      <c r="I170" s="26">
        <f t="shared" si="119"/>
        <v>12350</v>
      </c>
      <c r="J170" s="26">
        <f t="shared" ref="J170:K170" si="132">I170*0.97</f>
        <v>11979.5</v>
      </c>
      <c r="K170" s="26">
        <f t="shared" si="132"/>
        <v>11620.115</v>
      </c>
    </row>
    <row r="171" spans="1:11" ht="17.25" customHeight="1" x14ac:dyDescent="0.35">
      <c r="A171" s="4">
        <v>14</v>
      </c>
      <c r="B171" s="4" t="s">
        <v>312</v>
      </c>
      <c r="C171" s="25" t="s">
        <v>313</v>
      </c>
      <c r="D171" s="4">
        <v>3</v>
      </c>
      <c r="E171" s="4"/>
      <c r="F171" s="292">
        <v>32</v>
      </c>
      <c r="G171" s="292"/>
      <c r="H171" s="4">
        <v>20000</v>
      </c>
      <c r="I171" s="26">
        <f t="shared" si="119"/>
        <v>13000</v>
      </c>
      <c r="J171" s="26">
        <f t="shared" ref="J171:K171" si="133">I171*0.97</f>
        <v>12610</v>
      </c>
      <c r="K171" s="26">
        <f t="shared" si="133"/>
        <v>12231.699999999999</v>
      </c>
    </row>
    <row r="172" spans="1:11" ht="17.25" customHeight="1" x14ac:dyDescent="0.35">
      <c r="A172" s="4">
        <v>15</v>
      </c>
      <c r="B172" s="4" t="s">
        <v>314</v>
      </c>
      <c r="C172" s="25" t="s">
        <v>315</v>
      </c>
      <c r="D172" s="4">
        <v>3</v>
      </c>
      <c r="E172" s="4"/>
      <c r="F172" s="292">
        <v>32</v>
      </c>
      <c r="G172" s="292"/>
      <c r="H172" s="4">
        <v>20500</v>
      </c>
      <c r="I172" s="26">
        <f t="shared" si="119"/>
        <v>13325</v>
      </c>
      <c r="J172" s="26">
        <f t="shared" ref="J172:K172" si="134">I172*0.97</f>
        <v>12925.25</v>
      </c>
      <c r="K172" s="26">
        <f t="shared" si="134"/>
        <v>12537.4925</v>
      </c>
    </row>
  </sheetData>
  <mergeCells count="118">
    <mergeCell ref="I7:K7"/>
    <mergeCell ref="I8:K8"/>
    <mergeCell ref="I9:K9"/>
    <mergeCell ref="I10:K10"/>
    <mergeCell ref="I26:K26"/>
    <mergeCell ref="I27:K27"/>
    <mergeCell ref="A1:K3"/>
    <mergeCell ref="A4:K4"/>
    <mergeCell ref="A5:A6"/>
    <mergeCell ref="B5:B6"/>
    <mergeCell ref="C5:C6"/>
    <mergeCell ref="D5:E5"/>
    <mergeCell ref="F5:G5"/>
    <mergeCell ref="H5:H6"/>
    <mergeCell ref="I5:K5"/>
    <mergeCell ref="I56:I57"/>
    <mergeCell ref="J56:J57"/>
    <mergeCell ref="K56:K57"/>
    <mergeCell ref="D58:D59"/>
    <mergeCell ref="E58:E59"/>
    <mergeCell ref="I32:K32"/>
    <mergeCell ref="I47:K47"/>
    <mergeCell ref="A55:G55"/>
    <mergeCell ref="H55:H57"/>
    <mergeCell ref="I55:K55"/>
    <mergeCell ref="A56:A57"/>
    <mergeCell ref="B56:B57"/>
    <mergeCell ref="C56:C57"/>
    <mergeCell ref="D56:E56"/>
    <mergeCell ref="F56:G56"/>
    <mergeCell ref="D92:D103"/>
    <mergeCell ref="E92:E103"/>
    <mergeCell ref="D104:D106"/>
    <mergeCell ref="E104:E106"/>
    <mergeCell ref="D108:D109"/>
    <mergeCell ref="E108:E109"/>
    <mergeCell ref="D61:D66"/>
    <mergeCell ref="E61:E66"/>
    <mergeCell ref="D67:D73"/>
    <mergeCell ref="E67:E73"/>
    <mergeCell ref="D74:D91"/>
    <mergeCell ref="E74:E91"/>
    <mergeCell ref="I115:I116"/>
    <mergeCell ref="J115:J116"/>
    <mergeCell ref="K115:K116"/>
    <mergeCell ref="I117:K117"/>
    <mergeCell ref="I118:K118"/>
    <mergeCell ref="D110:D113"/>
    <mergeCell ref="E110:E113"/>
    <mergeCell ref="A114:G114"/>
    <mergeCell ref="H114:H116"/>
    <mergeCell ref="I114:K114"/>
    <mergeCell ref="A115:A116"/>
    <mergeCell ref="B115:B116"/>
    <mergeCell ref="C115:C116"/>
    <mergeCell ref="D115:E115"/>
    <mergeCell ref="F115:G115"/>
    <mergeCell ref="K130:K131"/>
    <mergeCell ref="F132:G132"/>
    <mergeCell ref="F133:G133"/>
    <mergeCell ref="F134:G134"/>
    <mergeCell ref="F135:G135"/>
    <mergeCell ref="A129:G129"/>
    <mergeCell ref="H129:H131"/>
    <mergeCell ref="I129:K129"/>
    <mergeCell ref="A130:A131"/>
    <mergeCell ref="B130:B131"/>
    <mergeCell ref="C130:C131"/>
    <mergeCell ref="D130:E130"/>
    <mergeCell ref="F130:G131"/>
    <mergeCell ref="I130:I131"/>
    <mergeCell ref="J130:J131"/>
    <mergeCell ref="F142:G142"/>
    <mergeCell ref="F143:G143"/>
    <mergeCell ref="F144:G144"/>
    <mergeCell ref="F145:G145"/>
    <mergeCell ref="F146:G146"/>
    <mergeCell ref="F147:G147"/>
    <mergeCell ref="F136:G136"/>
    <mergeCell ref="F137:G137"/>
    <mergeCell ref="F138:G138"/>
    <mergeCell ref="F139:G139"/>
    <mergeCell ref="F140:G140"/>
    <mergeCell ref="F141:G141"/>
    <mergeCell ref="C156:C157"/>
    <mergeCell ref="D156:E156"/>
    <mergeCell ref="F156:G156"/>
    <mergeCell ref="I156:I157"/>
    <mergeCell ref="F148:G148"/>
    <mergeCell ref="F149:G149"/>
    <mergeCell ref="F150:G150"/>
    <mergeCell ref="F151:G151"/>
    <mergeCell ref="F152:G152"/>
    <mergeCell ref="F153:G153"/>
    <mergeCell ref="I31:K31"/>
    <mergeCell ref="F167:G167"/>
    <mergeCell ref="F168:G168"/>
    <mergeCell ref="F169:G169"/>
    <mergeCell ref="F170:G170"/>
    <mergeCell ref="F171:G171"/>
    <mergeCell ref="F172:G172"/>
    <mergeCell ref="F161:G161"/>
    <mergeCell ref="F162:G162"/>
    <mergeCell ref="F163:G163"/>
    <mergeCell ref="F164:G164"/>
    <mergeCell ref="F165:G165"/>
    <mergeCell ref="F166:G166"/>
    <mergeCell ref="J156:J157"/>
    <mergeCell ref="K156:K157"/>
    <mergeCell ref="F158:G158"/>
    <mergeCell ref="F159:G159"/>
    <mergeCell ref="F160:G160"/>
    <mergeCell ref="F154:G154"/>
    <mergeCell ref="A155:G155"/>
    <mergeCell ref="H155:H157"/>
    <mergeCell ref="I155:K155"/>
    <mergeCell ref="A156:A157"/>
    <mergeCell ref="B156:B157"/>
  </mergeCells>
  <conditionalFormatting sqref="B1:B172">
    <cfRule type="duplicateValues" dxfId="17" priority="1"/>
    <cfRule type="duplicateValues" dxfId="16" priority="2"/>
  </conditionalFormatting>
  <pageMargins left="0.7" right="0.7" top="0.75" bottom="0.75" header="0.3" footer="0.3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J172"/>
  <sheetViews>
    <sheetView topLeftCell="A103" workbookViewId="0">
      <selection activeCell="I118" sqref="I118"/>
    </sheetView>
  </sheetViews>
  <sheetFormatPr defaultRowHeight="17.25" customHeight="1" x14ac:dyDescent="0.35"/>
  <cols>
    <col min="2" max="2" width="13.54296875" customWidth="1"/>
    <col min="3" max="3" width="16" customWidth="1"/>
  </cols>
  <sheetData>
    <row r="1" spans="1:10" ht="17.25" customHeight="1" x14ac:dyDescent="0.35">
      <c r="A1" s="203" t="s">
        <v>0</v>
      </c>
      <c r="B1" s="204"/>
      <c r="C1" s="204"/>
      <c r="D1" s="204"/>
      <c r="E1" s="204"/>
      <c r="F1" s="204"/>
      <c r="G1" s="204"/>
      <c r="H1" s="204"/>
      <c r="I1" s="204"/>
      <c r="J1" s="204"/>
    </row>
    <row r="2" spans="1:10" ht="17.25" customHeight="1" x14ac:dyDescent="0.35">
      <c r="A2" s="203"/>
      <c r="B2" s="204"/>
      <c r="C2" s="204"/>
      <c r="D2" s="204"/>
      <c r="E2" s="204"/>
      <c r="F2" s="204"/>
      <c r="G2" s="204"/>
      <c r="H2" s="204"/>
      <c r="I2" s="204"/>
      <c r="J2" s="204"/>
    </row>
    <row r="3" spans="1:10" ht="17.25" customHeight="1" x14ac:dyDescent="0.35">
      <c r="A3" s="203"/>
      <c r="B3" s="204"/>
      <c r="C3" s="204"/>
      <c r="D3" s="204"/>
      <c r="E3" s="204"/>
      <c r="F3" s="204"/>
      <c r="G3" s="204"/>
      <c r="H3" s="204"/>
      <c r="I3" s="204"/>
      <c r="J3" s="204"/>
    </row>
    <row r="4" spans="1:10" ht="23.25" customHeight="1" x14ac:dyDescent="0.35">
      <c r="A4" s="313" t="s">
        <v>541</v>
      </c>
      <c r="B4" s="314"/>
      <c r="C4" s="314"/>
      <c r="D4" s="314"/>
      <c r="E4" s="314"/>
      <c r="F4" s="314"/>
      <c r="G4" s="314"/>
      <c r="H4" s="314"/>
      <c r="I4" s="314"/>
      <c r="J4" s="314"/>
    </row>
    <row r="5" spans="1:10" ht="17.25" customHeight="1" x14ac:dyDescent="0.35">
      <c r="A5" s="287" t="s">
        <v>2</v>
      </c>
      <c r="B5" s="287" t="s">
        <v>3</v>
      </c>
      <c r="C5" s="287" t="s">
        <v>4</v>
      </c>
      <c r="D5" s="287" t="s">
        <v>5</v>
      </c>
      <c r="E5" s="287"/>
      <c r="F5" s="287" t="s">
        <v>6</v>
      </c>
      <c r="G5" s="287"/>
      <c r="H5" s="305" t="s">
        <v>7</v>
      </c>
      <c r="I5" s="315" t="s">
        <v>334</v>
      </c>
      <c r="J5" s="315"/>
    </row>
    <row r="6" spans="1:10" ht="17.25" customHeight="1" x14ac:dyDescent="0.35">
      <c r="A6" s="287"/>
      <c r="B6" s="287"/>
      <c r="C6" s="287"/>
      <c r="D6" s="11" t="s">
        <v>9</v>
      </c>
      <c r="E6" s="11" t="s">
        <v>10</v>
      </c>
      <c r="F6" s="11" t="s">
        <v>11</v>
      </c>
      <c r="G6" s="11" t="s">
        <v>12</v>
      </c>
      <c r="H6" s="305"/>
      <c r="I6" s="41">
        <v>0.33</v>
      </c>
      <c r="J6" s="41">
        <v>0.03</v>
      </c>
    </row>
    <row r="7" spans="1:10" ht="17.25" customHeight="1" x14ac:dyDescent="0.35">
      <c r="A7" s="6">
        <v>1</v>
      </c>
      <c r="B7" s="4" t="s">
        <v>13</v>
      </c>
      <c r="C7" s="12" t="s">
        <v>14</v>
      </c>
      <c r="D7" s="2">
        <v>0.5</v>
      </c>
      <c r="E7" s="2">
        <v>0.37</v>
      </c>
      <c r="F7" s="2">
        <v>25</v>
      </c>
      <c r="G7" s="2">
        <v>25</v>
      </c>
      <c r="H7" s="13">
        <v>2640</v>
      </c>
      <c r="I7" s="297">
        <f>H7*0.63</f>
        <v>1663.2</v>
      </c>
      <c r="J7" s="297"/>
    </row>
    <row r="8" spans="1:10" ht="17.25" customHeight="1" x14ac:dyDescent="0.35">
      <c r="A8" s="6">
        <v>2</v>
      </c>
      <c r="B8" s="4" t="s">
        <v>15</v>
      </c>
      <c r="C8" s="12" t="s">
        <v>16</v>
      </c>
      <c r="D8" s="2">
        <v>1</v>
      </c>
      <c r="E8" s="2">
        <v>0.75</v>
      </c>
      <c r="F8" s="2">
        <v>25</v>
      </c>
      <c r="G8" s="2">
        <v>25</v>
      </c>
      <c r="H8" s="13">
        <v>3420</v>
      </c>
      <c r="I8" s="297">
        <f>H8*0.63</f>
        <v>2154.6</v>
      </c>
      <c r="J8" s="297"/>
    </row>
    <row r="9" spans="1:10" ht="17.25" customHeight="1" x14ac:dyDescent="0.35">
      <c r="A9" s="4">
        <v>3</v>
      </c>
      <c r="B9" s="4" t="s">
        <v>17</v>
      </c>
      <c r="C9" s="12" t="s">
        <v>18</v>
      </c>
      <c r="D9" s="2">
        <v>0.5</v>
      </c>
      <c r="E9" s="2">
        <v>0.37</v>
      </c>
      <c r="F9" s="2">
        <v>25</v>
      </c>
      <c r="G9" s="2">
        <v>25</v>
      </c>
      <c r="H9" s="13">
        <v>2840</v>
      </c>
      <c r="I9" s="297">
        <f>H9*0.63</f>
        <v>1789.2</v>
      </c>
      <c r="J9" s="297"/>
    </row>
    <row r="10" spans="1:10" ht="17.25" customHeight="1" x14ac:dyDescent="0.35">
      <c r="A10" s="6">
        <v>4</v>
      </c>
      <c r="B10" s="4" t="s">
        <v>19</v>
      </c>
      <c r="C10" s="12" t="s">
        <v>20</v>
      </c>
      <c r="D10" s="2">
        <v>1</v>
      </c>
      <c r="E10" s="2">
        <v>0.75</v>
      </c>
      <c r="F10" s="2">
        <v>25</v>
      </c>
      <c r="G10" s="2">
        <v>25</v>
      </c>
      <c r="H10" s="13">
        <v>3660</v>
      </c>
      <c r="I10" s="297">
        <f>H10*0.63</f>
        <v>2305.8000000000002</v>
      </c>
      <c r="J10" s="297"/>
    </row>
    <row r="11" spans="1:10" ht="17.25" customHeight="1" x14ac:dyDescent="0.35">
      <c r="A11" s="6">
        <v>5</v>
      </c>
      <c r="B11" s="6" t="s">
        <v>21</v>
      </c>
      <c r="C11" s="14" t="s">
        <v>22</v>
      </c>
      <c r="D11" s="2">
        <v>0.5</v>
      </c>
      <c r="E11" s="2">
        <v>0.37</v>
      </c>
      <c r="F11" s="2">
        <v>25</v>
      </c>
      <c r="G11" s="2">
        <v>25</v>
      </c>
      <c r="H11" s="8">
        <v>3160</v>
      </c>
      <c r="I11" s="26">
        <f>H11*0.67</f>
        <v>2117.2000000000003</v>
      </c>
      <c r="J11" s="26">
        <f>I11*0.97</f>
        <v>2053.6840000000002</v>
      </c>
    </row>
    <row r="12" spans="1:10" ht="17.25" customHeight="1" x14ac:dyDescent="0.35">
      <c r="A12" s="6">
        <v>6</v>
      </c>
      <c r="B12" s="6" t="s">
        <v>23</v>
      </c>
      <c r="C12" s="14" t="s">
        <v>24</v>
      </c>
      <c r="D12" s="2">
        <v>1</v>
      </c>
      <c r="E12" s="2">
        <v>0.75</v>
      </c>
      <c r="F12" s="2">
        <v>25</v>
      </c>
      <c r="G12" s="2">
        <v>25</v>
      </c>
      <c r="H12" s="8">
        <v>4120</v>
      </c>
      <c r="I12" s="26">
        <f t="shared" ref="I12:I25" si="0">H12*0.67</f>
        <v>2760.4</v>
      </c>
      <c r="J12" s="26">
        <f t="shared" ref="J12:J25" si="1">I12*0.97</f>
        <v>2677.5880000000002</v>
      </c>
    </row>
    <row r="13" spans="1:10" ht="17.25" customHeight="1" x14ac:dyDescent="0.35">
      <c r="A13" s="4">
        <v>7</v>
      </c>
      <c r="B13" s="4" t="s">
        <v>25</v>
      </c>
      <c r="C13" s="12" t="s">
        <v>26</v>
      </c>
      <c r="D13" s="2">
        <v>1.5</v>
      </c>
      <c r="E13" s="2">
        <v>1</v>
      </c>
      <c r="F13" s="2">
        <v>25</v>
      </c>
      <c r="G13" s="2">
        <v>25</v>
      </c>
      <c r="H13" s="8">
        <v>5750</v>
      </c>
      <c r="I13" s="26">
        <f t="shared" si="0"/>
        <v>3852.5000000000005</v>
      </c>
      <c r="J13" s="26">
        <f t="shared" si="1"/>
        <v>3736.9250000000002</v>
      </c>
    </row>
    <row r="14" spans="1:10" ht="17.25" customHeight="1" x14ac:dyDescent="0.35">
      <c r="A14" s="6">
        <v>8</v>
      </c>
      <c r="B14" s="6" t="s">
        <v>27</v>
      </c>
      <c r="C14" s="14" t="s">
        <v>28</v>
      </c>
      <c r="D14" s="2">
        <v>0.5</v>
      </c>
      <c r="E14" s="2">
        <v>0.37</v>
      </c>
      <c r="F14" s="2">
        <v>25</v>
      </c>
      <c r="G14" s="2">
        <v>25</v>
      </c>
      <c r="H14" s="8">
        <v>3520</v>
      </c>
      <c r="I14" s="26">
        <f t="shared" si="0"/>
        <v>2358.4</v>
      </c>
      <c r="J14" s="26">
        <f t="shared" si="1"/>
        <v>2287.6480000000001</v>
      </c>
    </row>
    <row r="15" spans="1:10" ht="17.25" customHeight="1" x14ac:dyDescent="0.35">
      <c r="A15" s="6">
        <v>9</v>
      </c>
      <c r="B15" s="4" t="s">
        <v>29</v>
      </c>
      <c r="C15" s="15" t="s">
        <v>30</v>
      </c>
      <c r="D15" s="2">
        <v>1</v>
      </c>
      <c r="E15" s="2">
        <v>0.75</v>
      </c>
      <c r="F15" s="2">
        <v>25</v>
      </c>
      <c r="G15" s="2">
        <v>25</v>
      </c>
      <c r="H15" s="8">
        <v>3660</v>
      </c>
      <c r="I15" s="26">
        <f t="shared" si="0"/>
        <v>2452.2000000000003</v>
      </c>
      <c r="J15" s="26">
        <f t="shared" si="1"/>
        <v>2378.634</v>
      </c>
    </row>
    <row r="16" spans="1:10" ht="17.25" customHeight="1" x14ac:dyDescent="0.35">
      <c r="A16" s="6">
        <v>10</v>
      </c>
      <c r="B16" s="4" t="s">
        <v>31</v>
      </c>
      <c r="C16" s="12" t="s">
        <v>32</v>
      </c>
      <c r="D16" s="2">
        <v>1</v>
      </c>
      <c r="E16" s="2">
        <v>0.75</v>
      </c>
      <c r="F16" s="2">
        <v>25</v>
      </c>
      <c r="G16" s="2">
        <v>25</v>
      </c>
      <c r="H16" s="8">
        <v>4220</v>
      </c>
      <c r="I16" s="26">
        <f t="shared" si="0"/>
        <v>2827.4</v>
      </c>
      <c r="J16" s="26">
        <f t="shared" si="1"/>
        <v>2742.578</v>
      </c>
    </row>
    <row r="17" spans="1:10" ht="17.25" customHeight="1" x14ac:dyDescent="0.35">
      <c r="A17" s="4">
        <v>11</v>
      </c>
      <c r="B17" s="6" t="s">
        <v>33</v>
      </c>
      <c r="C17" s="14" t="s">
        <v>34</v>
      </c>
      <c r="D17" s="2">
        <v>0.75</v>
      </c>
      <c r="E17" s="2">
        <v>0.56000000000000005</v>
      </c>
      <c r="F17" s="2">
        <v>25</v>
      </c>
      <c r="G17" s="2">
        <v>25</v>
      </c>
      <c r="H17" s="8">
        <v>4080</v>
      </c>
      <c r="I17" s="26">
        <f t="shared" si="0"/>
        <v>2733.6000000000004</v>
      </c>
      <c r="J17" s="26">
        <f t="shared" si="1"/>
        <v>2651.5920000000001</v>
      </c>
    </row>
    <row r="18" spans="1:10" ht="17.25" customHeight="1" x14ac:dyDescent="0.35">
      <c r="A18" s="6">
        <v>12</v>
      </c>
      <c r="B18" s="4" t="s">
        <v>35</v>
      </c>
      <c r="C18" s="16" t="s">
        <v>36</v>
      </c>
      <c r="D18" s="2">
        <v>1</v>
      </c>
      <c r="E18" s="2">
        <v>0.75</v>
      </c>
      <c r="F18" s="2">
        <v>25</v>
      </c>
      <c r="G18" s="2">
        <v>25</v>
      </c>
      <c r="H18" s="8">
        <v>4730</v>
      </c>
      <c r="I18" s="26">
        <f t="shared" si="0"/>
        <v>3169.1000000000004</v>
      </c>
      <c r="J18" s="26">
        <f t="shared" si="1"/>
        <v>3074.027</v>
      </c>
    </row>
    <row r="19" spans="1:10" ht="17.25" customHeight="1" x14ac:dyDescent="0.35">
      <c r="A19" s="6">
        <v>13</v>
      </c>
      <c r="B19" s="4" t="s">
        <v>37</v>
      </c>
      <c r="C19" s="16" t="s">
        <v>38</v>
      </c>
      <c r="D19" s="2">
        <v>1</v>
      </c>
      <c r="E19" s="2">
        <v>0.75</v>
      </c>
      <c r="F19" s="2">
        <v>25</v>
      </c>
      <c r="G19" s="2">
        <v>25</v>
      </c>
      <c r="H19" s="8">
        <v>4730</v>
      </c>
      <c r="I19" s="26">
        <f t="shared" si="0"/>
        <v>3169.1000000000004</v>
      </c>
      <c r="J19" s="26">
        <f t="shared" si="1"/>
        <v>3074.027</v>
      </c>
    </row>
    <row r="20" spans="1:10" ht="17.25" customHeight="1" x14ac:dyDescent="0.35">
      <c r="A20" s="6">
        <v>14</v>
      </c>
      <c r="B20" s="6" t="s">
        <v>39</v>
      </c>
      <c r="C20" s="14" t="s">
        <v>40</v>
      </c>
      <c r="D20" s="2">
        <v>1</v>
      </c>
      <c r="E20" s="2">
        <v>0.75</v>
      </c>
      <c r="F20" s="2">
        <v>25</v>
      </c>
      <c r="G20" s="2">
        <v>25</v>
      </c>
      <c r="H20" s="8">
        <v>5170</v>
      </c>
      <c r="I20" s="26">
        <f t="shared" si="0"/>
        <v>3463.9</v>
      </c>
      <c r="J20" s="26">
        <f t="shared" si="1"/>
        <v>3359.9830000000002</v>
      </c>
    </row>
    <row r="21" spans="1:10" ht="17.25" customHeight="1" x14ac:dyDescent="0.35">
      <c r="A21" s="4">
        <v>15</v>
      </c>
      <c r="B21" s="6" t="s">
        <v>41</v>
      </c>
      <c r="C21" s="14" t="s">
        <v>42</v>
      </c>
      <c r="D21" s="2">
        <v>1</v>
      </c>
      <c r="E21" s="2">
        <v>0.75</v>
      </c>
      <c r="F21" s="2">
        <v>25</v>
      </c>
      <c r="G21" s="2">
        <v>25</v>
      </c>
      <c r="H21" s="8">
        <v>4670</v>
      </c>
      <c r="I21" s="26">
        <f t="shared" si="0"/>
        <v>3128.9</v>
      </c>
      <c r="J21" s="26">
        <f t="shared" si="1"/>
        <v>3035.0329999999999</v>
      </c>
    </row>
    <row r="22" spans="1:10" ht="17.25" customHeight="1" x14ac:dyDescent="0.35">
      <c r="A22" s="6">
        <v>16</v>
      </c>
      <c r="B22" s="4" t="s">
        <v>43</v>
      </c>
      <c r="C22" s="12" t="s">
        <v>44</v>
      </c>
      <c r="D22" s="2">
        <v>1.2</v>
      </c>
      <c r="E22" s="2">
        <v>0.9</v>
      </c>
      <c r="F22" s="2">
        <v>25</v>
      </c>
      <c r="G22" s="2">
        <v>25</v>
      </c>
      <c r="H22" s="8">
        <v>6650</v>
      </c>
      <c r="I22" s="26">
        <f t="shared" si="0"/>
        <v>4455.5</v>
      </c>
      <c r="J22" s="26">
        <f t="shared" si="1"/>
        <v>4321.835</v>
      </c>
    </row>
    <row r="23" spans="1:10" ht="17.25" customHeight="1" x14ac:dyDescent="0.35">
      <c r="A23" s="6">
        <v>17</v>
      </c>
      <c r="B23" s="6" t="s">
        <v>45</v>
      </c>
      <c r="C23" s="14" t="s">
        <v>46</v>
      </c>
      <c r="D23" s="2">
        <v>1.5</v>
      </c>
      <c r="E23" s="2">
        <v>1.1000000000000001</v>
      </c>
      <c r="F23" s="2">
        <v>25</v>
      </c>
      <c r="G23" s="2">
        <v>25</v>
      </c>
      <c r="H23" s="8">
        <v>8150</v>
      </c>
      <c r="I23" s="26">
        <f t="shared" si="0"/>
        <v>5460.5</v>
      </c>
      <c r="J23" s="26">
        <f t="shared" si="1"/>
        <v>5296.6849999999995</v>
      </c>
    </row>
    <row r="24" spans="1:10" ht="17.25" customHeight="1" x14ac:dyDescent="0.35">
      <c r="A24" s="6">
        <v>18</v>
      </c>
      <c r="B24" s="6" t="s">
        <v>47</v>
      </c>
      <c r="C24" s="14" t="s">
        <v>48</v>
      </c>
      <c r="D24" s="2">
        <v>2</v>
      </c>
      <c r="E24" s="2">
        <v>1.5</v>
      </c>
      <c r="F24" s="2">
        <v>25</v>
      </c>
      <c r="G24" s="2">
        <v>25</v>
      </c>
      <c r="H24" s="8">
        <v>9190</v>
      </c>
      <c r="I24" s="26">
        <f t="shared" si="0"/>
        <v>6157.3</v>
      </c>
      <c r="J24" s="26">
        <f t="shared" si="1"/>
        <v>5972.5810000000001</v>
      </c>
    </row>
    <row r="25" spans="1:10" ht="17.25" customHeight="1" x14ac:dyDescent="0.35">
      <c r="A25" s="4">
        <v>19</v>
      </c>
      <c r="B25" s="6" t="s">
        <v>49</v>
      </c>
      <c r="C25" s="14" t="s">
        <v>50</v>
      </c>
      <c r="D25" s="2">
        <v>0.5</v>
      </c>
      <c r="E25" s="2">
        <v>0.37</v>
      </c>
      <c r="F25" s="2">
        <v>25</v>
      </c>
      <c r="G25" s="2">
        <v>25</v>
      </c>
      <c r="H25" s="8">
        <v>3310</v>
      </c>
      <c r="I25" s="26">
        <f t="shared" si="0"/>
        <v>2217.7000000000003</v>
      </c>
      <c r="J25" s="26">
        <f t="shared" si="1"/>
        <v>2151.1690000000003</v>
      </c>
    </row>
    <row r="26" spans="1:10" ht="17.25" customHeight="1" x14ac:dyDescent="0.35">
      <c r="A26" s="6">
        <v>20</v>
      </c>
      <c r="B26" s="4" t="s">
        <v>51</v>
      </c>
      <c r="C26" s="12" t="s">
        <v>52</v>
      </c>
      <c r="D26" s="2">
        <v>0.5</v>
      </c>
      <c r="E26" s="2">
        <v>0.37</v>
      </c>
      <c r="F26" s="2">
        <v>25</v>
      </c>
      <c r="G26" s="2">
        <v>25</v>
      </c>
      <c r="H26" s="10">
        <v>4380</v>
      </c>
      <c r="I26" s="338">
        <f>H26*0.63</f>
        <v>2759.4</v>
      </c>
      <c r="J26" s="338"/>
    </row>
    <row r="27" spans="1:10" ht="17.25" customHeight="1" x14ac:dyDescent="0.35">
      <c r="A27" s="6">
        <v>21</v>
      </c>
      <c r="B27" s="4" t="s">
        <v>53</v>
      </c>
      <c r="C27" s="12" t="s">
        <v>54</v>
      </c>
      <c r="D27" s="2">
        <v>1</v>
      </c>
      <c r="E27" s="2">
        <v>0.75</v>
      </c>
      <c r="F27" s="2">
        <v>25</v>
      </c>
      <c r="G27" s="2">
        <v>25</v>
      </c>
      <c r="H27" s="10">
        <v>5300</v>
      </c>
      <c r="I27" s="338">
        <f>H27*0.63</f>
        <v>3339</v>
      </c>
      <c r="J27" s="338"/>
    </row>
    <row r="28" spans="1:10" ht="17.25" customHeight="1" x14ac:dyDescent="0.35">
      <c r="A28" s="6">
        <v>22</v>
      </c>
      <c r="B28" s="6" t="s">
        <v>55</v>
      </c>
      <c r="C28" s="14" t="s">
        <v>56</v>
      </c>
      <c r="D28" s="2">
        <v>1.1000000000000001</v>
      </c>
      <c r="E28" s="2">
        <v>0.8</v>
      </c>
      <c r="F28" s="2">
        <v>25</v>
      </c>
      <c r="G28" s="2">
        <v>25</v>
      </c>
      <c r="H28" s="8">
        <v>5040</v>
      </c>
      <c r="I28" s="93">
        <f t="shared" ref="I28:I30" si="2">H28*0.67</f>
        <v>3376.8</v>
      </c>
      <c r="J28" s="93">
        <f t="shared" ref="J28:J30" si="3">I28*0.97</f>
        <v>3275.4960000000001</v>
      </c>
    </row>
    <row r="29" spans="1:10" ht="17.25" customHeight="1" x14ac:dyDescent="0.35">
      <c r="A29" s="4">
        <v>23</v>
      </c>
      <c r="B29" s="6" t="s">
        <v>57</v>
      </c>
      <c r="C29" s="14" t="s">
        <v>58</v>
      </c>
      <c r="D29" s="2">
        <v>1.1000000000000001</v>
      </c>
      <c r="E29" s="2">
        <v>0.8</v>
      </c>
      <c r="F29" s="2">
        <v>25</v>
      </c>
      <c r="G29" s="2">
        <v>25</v>
      </c>
      <c r="H29" s="8">
        <v>5150</v>
      </c>
      <c r="I29" s="93">
        <f t="shared" si="2"/>
        <v>3450.5</v>
      </c>
      <c r="J29" s="93">
        <f t="shared" si="3"/>
        <v>3346.9850000000001</v>
      </c>
    </row>
    <row r="30" spans="1:10" ht="17.25" customHeight="1" x14ac:dyDescent="0.35">
      <c r="A30" s="6">
        <v>24</v>
      </c>
      <c r="B30" s="4" t="s">
        <v>59</v>
      </c>
      <c r="C30" s="16" t="s">
        <v>60</v>
      </c>
      <c r="D30" s="2">
        <v>1.25</v>
      </c>
      <c r="E30" s="2">
        <v>0.94</v>
      </c>
      <c r="F30" s="2">
        <v>25</v>
      </c>
      <c r="G30" s="2">
        <v>25</v>
      </c>
      <c r="H30" s="8">
        <v>6630</v>
      </c>
      <c r="I30" s="93">
        <f t="shared" si="2"/>
        <v>4442.1000000000004</v>
      </c>
      <c r="J30" s="93">
        <f t="shared" si="3"/>
        <v>4308.8370000000004</v>
      </c>
    </row>
    <row r="31" spans="1:10" ht="17.25" customHeight="1" x14ac:dyDescent="0.35">
      <c r="A31" s="6">
        <v>25</v>
      </c>
      <c r="B31" s="6" t="s">
        <v>61</v>
      </c>
      <c r="C31" s="14" t="s">
        <v>62</v>
      </c>
      <c r="D31" s="17">
        <v>0.5</v>
      </c>
      <c r="E31" s="17">
        <v>0.37</v>
      </c>
      <c r="F31" s="17">
        <v>25</v>
      </c>
      <c r="G31" s="17">
        <v>25</v>
      </c>
      <c r="H31" s="9">
        <v>4950</v>
      </c>
      <c r="I31" s="339">
        <f>H31*0.63</f>
        <v>3118.5</v>
      </c>
      <c r="J31" s="340"/>
    </row>
    <row r="32" spans="1:10" ht="17.25" customHeight="1" x14ac:dyDescent="0.35">
      <c r="A32" s="6">
        <v>26</v>
      </c>
      <c r="B32" s="6" t="s">
        <v>63</v>
      </c>
      <c r="C32" s="14" t="s">
        <v>64</v>
      </c>
      <c r="D32" s="17">
        <v>0.5</v>
      </c>
      <c r="E32" s="17">
        <v>0.37</v>
      </c>
      <c r="F32" s="17">
        <v>25</v>
      </c>
      <c r="G32" s="17">
        <v>25</v>
      </c>
      <c r="H32" s="9">
        <v>5000</v>
      </c>
      <c r="I32" s="338">
        <f>H32*0.63</f>
        <v>3150</v>
      </c>
      <c r="J32" s="338"/>
    </row>
    <row r="33" spans="1:10" ht="17.25" customHeight="1" x14ac:dyDescent="0.35">
      <c r="A33" s="4">
        <v>27</v>
      </c>
      <c r="B33" s="6" t="s">
        <v>65</v>
      </c>
      <c r="C33" s="14" t="s">
        <v>66</v>
      </c>
      <c r="D33" s="2">
        <v>1</v>
      </c>
      <c r="E33" s="2">
        <v>0.75</v>
      </c>
      <c r="F33" s="2">
        <v>25</v>
      </c>
      <c r="G33" s="2">
        <v>25</v>
      </c>
      <c r="H33" s="8">
        <v>5560</v>
      </c>
      <c r="I33" s="26">
        <f t="shared" ref="I33:I46" si="4">H33*0.67</f>
        <v>3725.2000000000003</v>
      </c>
      <c r="J33" s="26">
        <f t="shared" ref="J33:J46" si="5">I33*0.97</f>
        <v>3613.444</v>
      </c>
    </row>
    <row r="34" spans="1:10" ht="17.25" customHeight="1" x14ac:dyDescent="0.35">
      <c r="A34" s="6">
        <v>28</v>
      </c>
      <c r="B34" s="6" t="s">
        <v>67</v>
      </c>
      <c r="C34" s="14" t="s">
        <v>68</v>
      </c>
      <c r="D34" s="2">
        <v>1</v>
      </c>
      <c r="E34" s="2">
        <v>0.75</v>
      </c>
      <c r="F34" s="2">
        <v>25</v>
      </c>
      <c r="G34" s="2">
        <v>25</v>
      </c>
      <c r="H34" s="8">
        <v>5650</v>
      </c>
      <c r="I34" s="26">
        <f t="shared" si="4"/>
        <v>3785.5</v>
      </c>
      <c r="J34" s="26">
        <f t="shared" si="5"/>
        <v>3671.9349999999999</v>
      </c>
    </row>
    <row r="35" spans="1:10" ht="17.25" customHeight="1" x14ac:dyDescent="0.35">
      <c r="A35" s="6">
        <v>29</v>
      </c>
      <c r="B35" s="6" t="s">
        <v>69</v>
      </c>
      <c r="C35" s="14" t="s">
        <v>70</v>
      </c>
      <c r="D35" s="2">
        <v>1.5</v>
      </c>
      <c r="E35" s="2">
        <v>1.1000000000000001</v>
      </c>
      <c r="F35" s="2">
        <v>25</v>
      </c>
      <c r="G35" s="2">
        <v>25</v>
      </c>
      <c r="H35" s="8">
        <v>7840</v>
      </c>
      <c r="I35" s="26">
        <f t="shared" si="4"/>
        <v>5252.8</v>
      </c>
      <c r="J35" s="26">
        <f t="shared" si="5"/>
        <v>5095.2160000000003</v>
      </c>
    </row>
    <row r="36" spans="1:10" ht="17.25" customHeight="1" x14ac:dyDescent="0.35">
      <c r="A36" s="6">
        <v>30</v>
      </c>
      <c r="B36" s="6" t="s">
        <v>71</v>
      </c>
      <c r="C36" s="14" t="s">
        <v>72</v>
      </c>
      <c r="D36" s="2">
        <v>1.5</v>
      </c>
      <c r="E36" s="2">
        <v>1.1000000000000001</v>
      </c>
      <c r="F36" s="2">
        <v>25</v>
      </c>
      <c r="G36" s="2">
        <v>25</v>
      </c>
      <c r="H36" s="8">
        <v>8170</v>
      </c>
      <c r="I36" s="26">
        <f t="shared" si="4"/>
        <v>5473.9000000000005</v>
      </c>
      <c r="J36" s="26">
        <f t="shared" si="5"/>
        <v>5309.683</v>
      </c>
    </row>
    <row r="37" spans="1:10" ht="17.25" customHeight="1" x14ac:dyDescent="0.35">
      <c r="A37" s="4">
        <v>31</v>
      </c>
      <c r="B37" s="4" t="s">
        <v>73</v>
      </c>
      <c r="C37" s="12" t="s">
        <v>74</v>
      </c>
      <c r="D37" s="2">
        <v>0.5</v>
      </c>
      <c r="E37" s="2">
        <v>0.37</v>
      </c>
      <c r="F37" s="2">
        <v>25</v>
      </c>
      <c r="G37" s="2">
        <v>25</v>
      </c>
      <c r="H37" s="8">
        <v>6450</v>
      </c>
      <c r="I37" s="26">
        <f t="shared" si="4"/>
        <v>4321.5</v>
      </c>
      <c r="J37" s="26">
        <f t="shared" si="5"/>
        <v>4191.8549999999996</v>
      </c>
    </row>
    <row r="38" spans="1:10" ht="17.25" customHeight="1" x14ac:dyDescent="0.35">
      <c r="A38" s="6">
        <v>32</v>
      </c>
      <c r="B38" s="6" t="s">
        <v>75</v>
      </c>
      <c r="C38" s="14" t="s">
        <v>76</v>
      </c>
      <c r="D38" s="3">
        <v>0.9</v>
      </c>
      <c r="E38" s="3">
        <v>0.7</v>
      </c>
      <c r="F38" s="3">
        <v>25</v>
      </c>
      <c r="G38" s="3">
        <v>25</v>
      </c>
      <c r="H38" s="8">
        <v>6640</v>
      </c>
      <c r="I38" s="26">
        <f t="shared" si="4"/>
        <v>4448.8</v>
      </c>
      <c r="J38" s="26">
        <f t="shared" si="5"/>
        <v>4315.3360000000002</v>
      </c>
    </row>
    <row r="39" spans="1:10" ht="17.25" customHeight="1" x14ac:dyDescent="0.35">
      <c r="A39" s="6">
        <v>33</v>
      </c>
      <c r="B39" s="6" t="s">
        <v>77</v>
      </c>
      <c r="C39" s="14" t="s">
        <v>78</v>
      </c>
      <c r="D39" s="3">
        <v>1</v>
      </c>
      <c r="E39" s="3">
        <v>0.75</v>
      </c>
      <c r="F39" s="3">
        <v>25</v>
      </c>
      <c r="G39" s="3">
        <v>25</v>
      </c>
      <c r="H39" s="8">
        <v>7100</v>
      </c>
      <c r="I39" s="26">
        <f t="shared" si="4"/>
        <v>4757</v>
      </c>
      <c r="J39" s="26">
        <f t="shared" si="5"/>
        <v>4614.29</v>
      </c>
    </row>
    <row r="40" spans="1:10" ht="17.25" customHeight="1" x14ac:dyDescent="0.35">
      <c r="A40" s="6">
        <v>34</v>
      </c>
      <c r="B40" s="4" t="s">
        <v>79</v>
      </c>
      <c r="C40" s="15" t="s">
        <v>80</v>
      </c>
      <c r="D40" s="3">
        <v>0.5</v>
      </c>
      <c r="E40" s="3">
        <v>0.37</v>
      </c>
      <c r="F40" s="3">
        <v>25</v>
      </c>
      <c r="G40" s="3">
        <v>25</v>
      </c>
      <c r="H40" s="8">
        <v>5500</v>
      </c>
      <c r="I40" s="26">
        <f t="shared" si="4"/>
        <v>3685</v>
      </c>
      <c r="J40" s="26">
        <f t="shared" si="5"/>
        <v>3574.45</v>
      </c>
    </row>
    <row r="41" spans="1:10" ht="17.25" customHeight="1" x14ac:dyDescent="0.35">
      <c r="A41" s="4">
        <v>35</v>
      </c>
      <c r="B41" s="4"/>
      <c r="C41" s="15" t="s">
        <v>81</v>
      </c>
      <c r="D41" s="3">
        <v>1</v>
      </c>
      <c r="E41" s="3">
        <v>0.75</v>
      </c>
      <c r="F41" s="3">
        <v>25</v>
      </c>
      <c r="G41" s="3">
        <v>25</v>
      </c>
      <c r="H41" s="8">
        <v>6200</v>
      </c>
      <c r="I41" s="26">
        <f t="shared" si="4"/>
        <v>4154</v>
      </c>
      <c r="J41" s="26">
        <f t="shared" si="5"/>
        <v>4029.38</v>
      </c>
    </row>
    <row r="42" spans="1:10" ht="17.25" customHeight="1" x14ac:dyDescent="0.35">
      <c r="A42" s="6">
        <v>36</v>
      </c>
      <c r="B42" s="4" t="s">
        <v>82</v>
      </c>
      <c r="C42" s="12" t="s">
        <v>83</v>
      </c>
      <c r="D42" s="1">
        <v>0.5</v>
      </c>
      <c r="E42" s="1">
        <v>0.37</v>
      </c>
      <c r="F42" s="1">
        <v>25</v>
      </c>
      <c r="G42" s="1">
        <v>25</v>
      </c>
      <c r="H42" s="8">
        <v>7140</v>
      </c>
      <c r="I42" s="26">
        <f t="shared" si="4"/>
        <v>4783.8</v>
      </c>
      <c r="J42" s="26">
        <f t="shared" si="5"/>
        <v>4640.2860000000001</v>
      </c>
    </row>
    <row r="43" spans="1:10" ht="17.25" customHeight="1" x14ac:dyDescent="0.35">
      <c r="A43" s="6">
        <v>37</v>
      </c>
      <c r="B43" s="6" t="s">
        <v>84</v>
      </c>
      <c r="C43" s="14" t="s">
        <v>85</v>
      </c>
      <c r="D43" s="1">
        <v>1.1000000000000001</v>
      </c>
      <c r="E43" s="1">
        <v>0.8</v>
      </c>
      <c r="F43" s="1">
        <v>25</v>
      </c>
      <c r="G43" s="1">
        <v>25</v>
      </c>
      <c r="H43" s="8">
        <v>7700</v>
      </c>
      <c r="I43" s="26">
        <f t="shared" si="4"/>
        <v>5159</v>
      </c>
      <c r="J43" s="26">
        <f t="shared" si="5"/>
        <v>5004.2299999999996</v>
      </c>
    </row>
    <row r="44" spans="1:10" ht="17.25" customHeight="1" x14ac:dyDescent="0.35">
      <c r="A44" s="6">
        <v>38</v>
      </c>
      <c r="B44" s="6" t="s">
        <v>86</v>
      </c>
      <c r="C44" s="14" t="s">
        <v>87</v>
      </c>
      <c r="D44" s="1">
        <v>1.5</v>
      </c>
      <c r="E44" s="1">
        <v>1.1000000000000001</v>
      </c>
      <c r="F44" s="1">
        <v>25</v>
      </c>
      <c r="G44" s="1">
        <v>25</v>
      </c>
      <c r="H44" s="8">
        <v>8690</v>
      </c>
      <c r="I44" s="26">
        <f t="shared" si="4"/>
        <v>5822.3</v>
      </c>
      <c r="J44" s="26">
        <f t="shared" si="5"/>
        <v>5647.6310000000003</v>
      </c>
    </row>
    <row r="45" spans="1:10" ht="17.25" customHeight="1" x14ac:dyDescent="0.35">
      <c r="A45" s="4">
        <v>39</v>
      </c>
      <c r="B45" s="4" t="s">
        <v>88</v>
      </c>
      <c r="C45" s="12" t="s">
        <v>89</v>
      </c>
      <c r="D45" s="2">
        <v>0.5</v>
      </c>
      <c r="E45" s="2">
        <v>0.37</v>
      </c>
      <c r="F45" s="2">
        <v>25</v>
      </c>
      <c r="G45" s="2">
        <v>12</v>
      </c>
      <c r="H45" s="8">
        <v>4860</v>
      </c>
      <c r="I45" s="26">
        <f t="shared" si="4"/>
        <v>3256.2000000000003</v>
      </c>
      <c r="J45" s="26">
        <f t="shared" si="5"/>
        <v>3158.5140000000001</v>
      </c>
    </row>
    <row r="46" spans="1:10" ht="17.25" customHeight="1" x14ac:dyDescent="0.35">
      <c r="A46" s="6">
        <v>40</v>
      </c>
      <c r="B46" s="4" t="s">
        <v>90</v>
      </c>
      <c r="C46" s="12" t="s">
        <v>91</v>
      </c>
      <c r="D46" s="2">
        <v>1</v>
      </c>
      <c r="E46" s="2">
        <v>0.75</v>
      </c>
      <c r="F46" s="2">
        <v>25</v>
      </c>
      <c r="G46" s="2">
        <v>25</v>
      </c>
      <c r="H46" s="8">
        <v>5600</v>
      </c>
      <c r="I46" s="26">
        <f t="shared" si="4"/>
        <v>3752</v>
      </c>
      <c r="J46" s="26">
        <f t="shared" si="5"/>
        <v>3639.44</v>
      </c>
    </row>
    <row r="47" spans="1:10" ht="17.25" customHeight="1" x14ac:dyDescent="0.35">
      <c r="A47" s="6">
        <v>41</v>
      </c>
      <c r="B47" s="6" t="s">
        <v>92</v>
      </c>
      <c r="C47" s="14" t="s">
        <v>93</v>
      </c>
      <c r="D47" s="17">
        <v>1</v>
      </c>
      <c r="E47" s="17">
        <v>0.75</v>
      </c>
      <c r="F47" s="17">
        <v>25</v>
      </c>
      <c r="G47" s="17">
        <v>25</v>
      </c>
      <c r="H47" s="9">
        <v>8420</v>
      </c>
      <c r="I47" s="295">
        <f>H47*0.63</f>
        <v>5304.6</v>
      </c>
      <c r="J47" s="325"/>
    </row>
    <row r="48" spans="1:10" ht="17.25" customHeight="1" x14ac:dyDescent="0.35">
      <c r="A48" s="6">
        <v>42</v>
      </c>
      <c r="B48" s="6" t="s">
        <v>94</v>
      </c>
      <c r="C48" s="14" t="s">
        <v>95</v>
      </c>
      <c r="D48" s="2">
        <v>1.1000000000000001</v>
      </c>
      <c r="E48" s="2">
        <v>0.8</v>
      </c>
      <c r="F48" s="2">
        <v>25</v>
      </c>
      <c r="G48" s="2">
        <v>25</v>
      </c>
      <c r="H48" s="8">
        <v>12020</v>
      </c>
      <c r="I48" s="26">
        <f t="shared" ref="I48:I54" si="6">H48*0.67</f>
        <v>8053.4000000000005</v>
      </c>
      <c r="J48" s="26">
        <f t="shared" ref="J48:J54" si="7">I48*0.97</f>
        <v>7811.7980000000007</v>
      </c>
    </row>
    <row r="49" spans="1:10" ht="17.25" customHeight="1" x14ac:dyDescent="0.35">
      <c r="A49" s="4">
        <v>43</v>
      </c>
      <c r="B49" s="4" t="s">
        <v>96</v>
      </c>
      <c r="C49" s="12" t="s">
        <v>97</v>
      </c>
      <c r="D49" s="2">
        <v>0.5</v>
      </c>
      <c r="E49" s="2">
        <v>0.37</v>
      </c>
      <c r="F49" s="2">
        <v>25</v>
      </c>
      <c r="G49" s="2">
        <v>25</v>
      </c>
      <c r="H49" s="8">
        <v>7530</v>
      </c>
      <c r="I49" s="26">
        <f t="shared" si="6"/>
        <v>5045.1000000000004</v>
      </c>
      <c r="J49" s="26">
        <f t="shared" si="7"/>
        <v>4893.7470000000003</v>
      </c>
    </row>
    <row r="50" spans="1:10" ht="17.25" customHeight="1" x14ac:dyDescent="0.35">
      <c r="A50" s="6">
        <v>44</v>
      </c>
      <c r="B50" s="4" t="s">
        <v>98</v>
      </c>
      <c r="C50" s="12" t="s">
        <v>99</v>
      </c>
      <c r="D50" s="2">
        <v>1</v>
      </c>
      <c r="E50" s="2">
        <v>0.75</v>
      </c>
      <c r="F50" s="2">
        <v>25</v>
      </c>
      <c r="G50" s="2">
        <v>25</v>
      </c>
      <c r="H50" s="8">
        <v>9150</v>
      </c>
      <c r="I50" s="26">
        <f t="shared" si="6"/>
        <v>6130.5</v>
      </c>
      <c r="J50" s="26">
        <f t="shared" si="7"/>
        <v>5946.585</v>
      </c>
    </row>
    <row r="51" spans="1:10" ht="17.25" customHeight="1" x14ac:dyDescent="0.35">
      <c r="A51" s="6">
        <v>45</v>
      </c>
      <c r="B51" s="4" t="s">
        <v>100</v>
      </c>
      <c r="C51" s="12" t="s">
        <v>101</v>
      </c>
      <c r="D51" s="2">
        <v>1</v>
      </c>
      <c r="E51" s="2">
        <v>0.75</v>
      </c>
      <c r="F51" s="2">
        <v>25</v>
      </c>
      <c r="G51" s="2">
        <v>25</v>
      </c>
      <c r="H51" s="5">
        <v>16800</v>
      </c>
      <c r="I51" s="26">
        <f t="shared" si="6"/>
        <v>11256</v>
      </c>
      <c r="J51" s="26">
        <f t="shared" si="7"/>
        <v>10918.32</v>
      </c>
    </row>
    <row r="52" spans="1:10" ht="17.25" customHeight="1" x14ac:dyDescent="0.35">
      <c r="A52" s="6">
        <v>46</v>
      </c>
      <c r="B52" s="6" t="s">
        <v>102</v>
      </c>
      <c r="C52" s="14" t="s">
        <v>103</v>
      </c>
      <c r="D52" s="2">
        <v>0.5</v>
      </c>
      <c r="E52" s="2">
        <v>0.37</v>
      </c>
      <c r="F52" s="2">
        <v>25</v>
      </c>
      <c r="G52" s="2">
        <v>25</v>
      </c>
      <c r="H52" s="8">
        <v>17760</v>
      </c>
      <c r="I52" s="26">
        <f t="shared" si="6"/>
        <v>11899.2</v>
      </c>
      <c r="J52" s="26">
        <f t="shared" si="7"/>
        <v>11542.224</v>
      </c>
    </row>
    <row r="53" spans="1:10" ht="17.25" customHeight="1" x14ac:dyDescent="0.35">
      <c r="A53" s="4">
        <v>47</v>
      </c>
      <c r="B53" s="6" t="s">
        <v>104</v>
      </c>
      <c r="C53" s="14" t="s">
        <v>105</v>
      </c>
      <c r="D53" s="2">
        <v>1</v>
      </c>
      <c r="E53" s="2">
        <v>0.75</v>
      </c>
      <c r="F53" s="2">
        <v>25</v>
      </c>
      <c r="G53" s="2">
        <v>25</v>
      </c>
      <c r="H53" s="8">
        <v>19120</v>
      </c>
      <c r="I53" s="26">
        <f t="shared" si="6"/>
        <v>12810.400000000001</v>
      </c>
      <c r="J53" s="26">
        <f t="shared" si="7"/>
        <v>12426.088000000002</v>
      </c>
    </row>
    <row r="54" spans="1:10" ht="17.25" customHeight="1" x14ac:dyDescent="0.35">
      <c r="A54" s="6">
        <v>48</v>
      </c>
      <c r="B54" s="6" t="s">
        <v>106</v>
      </c>
      <c r="C54" s="14" t="s">
        <v>107</v>
      </c>
      <c r="D54" s="2">
        <v>1.1000000000000001</v>
      </c>
      <c r="E54" s="2">
        <v>0.8</v>
      </c>
      <c r="F54" s="2">
        <v>25</v>
      </c>
      <c r="G54" s="2">
        <v>25</v>
      </c>
      <c r="H54" s="8">
        <v>20900</v>
      </c>
      <c r="I54" s="26">
        <f t="shared" si="6"/>
        <v>14003</v>
      </c>
      <c r="J54" s="26">
        <f t="shared" si="7"/>
        <v>13582.91</v>
      </c>
    </row>
    <row r="55" spans="1:10" ht="17.25" customHeight="1" x14ac:dyDescent="0.35">
      <c r="A55" s="267" t="s">
        <v>108</v>
      </c>
      <c r="B55" s="268"/>
      <c r="C55" s="268"/>
      <c r="D55" s="268"/>
      <c r="E55" s="268"/>
      <c r="F55" s="268"/>
      <c r="G55" s="269"/>
      <c r="H55" s="207" t="s">
        <v>109</v>
      </c>
      <c r="I55" s="315" t="s">
        <v>334</v>
      </c>
      <c r="J55" s="315"/>
    </row>
    <row r="56" spans="1:10" ht="17.25" customHeight="1" x14ac:dyDescent="0.35">
      <c r="A56" s="207" t="s">
        <v>2</v>
      </c>
      <c r="B56" s="287" t="s">
        <v>3</v>
      </c>
      <c r="C56" s="260" t="s">
        <v>4</v>
      </c>
      <c r="D56" s="209" t="s">
        <v>5</v>
      </c>
      <c r="E56" s="210"/>
      <c r="F56" s="209" t="s">
        <v>6</v>
      </c>
      <c r="G56" s="210"/>
      <c r="H56" s="259"/>
      <c r="I56" s="323">
        <v>0.33</v>
      </c>
      <c r="J56" s="323">
        <v>0.03</v>
      </c>
    </row>
    <row r="57" spans="1:10" ht="17.25" customHeight="1" x14ac:dyDescent="0.35">
      <c r="A57" s="208"/>
      <c r="B57" s="287"/>
      <c r="C57" s="261"/>
      <c r="D57" s="11" t="s">
        <v>9</v>
      </c>
      <c r="E57" s="11" t="s">
        <v>10</v>
      </c>
      <c r="F57" s="11" t="s">
        <v>11</v>
      </c>
      <c r="G57" s="11" t="s">
        <v>12</v>
      </c>
      <c r="H57" s="208"/>
      <c r="I57" s="324"/>
      <c r="J57" s="324"/>
    </row>
    <row r="58" spans="1:10" ht="17.25" customHeight="1" x14ac:dyDescent="0.35">
      <c r="A58" s="6">
        <v>1</v>
      </c>
      <c r="B58" s="6" t="s">
        <v>110</v>
      </c>
      <c r="C58" s="14" t="s">
        <v>111</v>
      </c>
      <c r="D58" s="303">
        <v>0.5</v>
      </c>
      <c r="E58" s="303">
        <v>0.37</v>
      </c>
      <c r="F58" s="2">
        <v>25</v>
      </c>
      <c r="G58" s="2">
        <v>25</v>
      </c>
      <c r="H58" s="8">
        <v>4680</v>
      </c>
      <c r="I58" s="26">
        <f>H58*0.67</f>
        <v>3135.6000000000004</v>
      </c>
      <c r="J58" s="26">
        <f>I58*0.97</f>
        <v>3041.5320000000002</v>
      </c>
    </row>
    <row r="59" spans="1:10" ht="17.25" customHeight="1" x14ac:dyDescent="0.35">
      <c r="A59" s="6">
        <v>2</v>
      </c>
      <c r="B59" s="6" t="s">
        <v>112</v>
      </c>
      <c r="C59" s="14" t="s">
        <v>113</v>
      </c>
      <c r="D59" s="303"/>
      <c r="E59" s="303"/>
      <c r="F59" s="2">
        <v>40</v>
      </c>
      <c r="G59" s="2">
        <v>40</v>
      </c>
      <c r="H59" s="8">
        <v>6430</v>
      </c>
      <c r="I59" s="26">
        <f t="shared" ref="I59:I113" si="8">H59*0.67</f>
        <v>4308.1000000000004</v>
      </c>
      <c r="J59" s="26">
        <f t="shared" ref="J59:J113" si="9">I59*0.97</f>
        <v>4178.857</v>
      </c>
    </row>
    <row r="60" spans="1:10" ht="17.25" customHeight="1" x14ac:dyDescent="0.35">
      <c r="A60" s="4">
        <v>3</v>
      </c>
      <c r="B60" s="4" t="s">
        <v>114</v>
      </c>
      <c r="C60" s="18" t="s">
        <v>115</v>
      </c>
      <c r="D60" s="2">
        <v>0.75</v>
      </c>
      <c r="E60" s="2">
        <v>0.56000000000000005</v>
      </c>
      <c r="F60" s="2">
        <v>40</v>
      </c>
      <c r="G60" s="2">
        <v>40</v>
      </c>
      <c r="H60" s="5">
        <v>6240</v>
      </c>
      <c r="I60" s="26">
        <f t="shared" si="8"/>
        <v>4180.8</v>
      </c>
      <c r="J60" s="26">
        <f t="shared" si="9"/>
        <v>4055.3760000000002</v>
      </c>
    </row>
    <row r="61" spans="1:10" ht="17.25" customHeight="1" x14ac:dyDescent="0.35">
      <c r="A61" s="6">
        <v>4</v>
      </c>
      <c r="B61" s="6" t="s">
        <v>116</v>
      </c>
      <c r="C61" s="14" t="s">
        <v>117</v>
      </c>
      <c r="D61" s="262">
        <v>1</v>
      </c>
      <c r="E61" s="262">
        <v>0.75</v>
      </c>
      <c r="F61" s="1">
        <v>25</v>
      </c>
      <c r="G61" s="1">
        <v>25</v>
      </c>
      <c r="H61" s="8">
        <v>7572</v>
      </c>
      <c r="I61" s="26">
        <f t="shared" si="8"/>
        <v>5073.2400000000007</v>
      </c>
      <c r="J61" s="26">
        <f t="shared" si="9"/>
        <v>4921.0428000000002</v>
      </c>
    </row>
    <row r="62" spans="1:10" ht="17.25" customHeight="1" x14ac:dyDescent="0.35">
      <c r="A62" s="6">
        <v>5</v>
      </c>
      <c r="B62" s="6" t="s">
        <v>118</v>
      </c>
      <c r="C62" s="14" t="s">
        <v>119</v>
      </c>
      <c r="D62" s="266"/>
      <c r="E62" s="266"/>
      <c r="F62" s="1">
        <v>50</v>
      </c>
      <c r="G62" s="1">
        <v>50</v>
      </c>
      <c r="H62" s="8">
        <v>8900</v>
      </c>
      <c r="I62" s="26">
        <f t="shared" si="8"/>
        <v>5963</v>
      </c>
      <c r="J62" s="26">
        <f t="shared" si="9"/>
        <v>5784.11</v>
      </c>
    </row>
    <row r="63" spans="1:10" ht="17.25" customHeight="1" x14ac:dyDescent="0.35">
      <c r="A63" s="4">
        <v>6</v>
      </c>
      <c r="B63" s="6" t="s">
        <v>120</v>
      </c>
      <c r="C63" s="14" t="s">
        <v>121</v>
      </c>
      <c r="D63" s="266"/>
      <c r="E63" s="266"/>
      <c r="F63" s="1">
        <v>50</v>
      </c>
      <c r="G63" s="1">
        <v>50</v>
      </c>
      <c r="H63" s="5">
        <v>9100</v>
      </c>
      <c r="I63" s="26">
        <f t="shared" si="8"/>
        <v>6097</v>
      </c>
      <c r="J63" s="26">
        <f t="shared" si="9"/>
        <v>5914.09</v>
      </c>
    </row>
    <row r="64" spans="1:10" ht="17.25" customHeight="1" x14ac:dyDescent="0.35">
      <c r="A64" s="6">
        <v>7</v>
      </c>
      <c r="B64" s="4" t="s">
        <v>122</v>
      </c>
      <c r="C64" s="18" t="s">
        <v>123</v>
      </c>
      <c r="D64" s="266"/>
      <c r="E64" s="266"/>
      <c r="F64" s="1">
        <v>50</v>
      </c>
      <c r="G64" s="1">
        <v>50</v>
      </c>
      <c r="H64" s="5">
        <v>9000</v>
      </c>
      <c r="I64" s="26">
        <f t="shared" si="8"/>
        <v>6030</v>
      </c>
      <c r="J64" s="26">
        <f t="shared" si="9"/>
        <v>5849.0999999999995</v>
      </c>
    </row>
    <row r="65" spans="1:10" ht="17.25" customHeight="1" x14ac:dyDescent="0.35">
      <c r="A65" s="6">
        <v>8</v>
      </c>
      <c r="B65" s="4" t="s">
        <v>124</v>
      </c>
      <c r="C65" s="19" t="s">
        <v>125</v>
      </c>
      <c r="D65" s="266"/>
      <c r="E65" s="266"/>
      <c r="F65" s="1">
        <v>75</v>
      </c>
      <c r="G65" s="1">
        <v>75</v>
      </c>
      <c r="H65" s="8">
        <v>10000</v>
      </c>
      <c r="I65" s="26">
        <f t="shared" si="8"/>
        <v>6700</v>
      </c>
      <c r="J65" s="26">
        <f t="shared" si="9"/>
        <v>6499</v>
      </c>
    </row>
    <row r="66" spans="1:10" ht="17.25" customHeight="1" x14ac:dyDescent="0.35">
      <c r="A66" s="4">
        <v>9</v>
      </c>
      <c r="B66" s="4"/>
      <c r="C66" s="18" t="s">
        <v>126</v>
      </c>
      <c r="D66" s="263"/>
      <c r="E66" s="263"/>
      <c r="F66" s="1">
        <v>75</v>
      </c>
      <c r="G66" s="1">
        <v>75</v>
      </c>
      <c r="H66" s="5">
        <v>10200</v>
      </c>
      <c r="I66" s="26">
        <f t="shared" si="8"/>
        <v>6834</v>
      </c>
      <c r="J66" s="26">
        <f t="shared" si="9"/>
        <v>6628.98</v>
      </c>
    </row>
    <row r="67" spans="1:10" ht="17.25" customHeight="1" x14ac:dyDescent="0.35">
      <c r="A67" s="6">
        <v>10</v>
      </c>
      <c r="B67" s="4" t="s">
        <v>127</v>
      </c>
      <c r="C67" s="19" t="s">
        <v>128</v>
      </c>
      <c r="D67" s="262">
        <v>1.5</v>
      </c>
      <c r="E67" s="262">
        <v>1.1000000000000001</v>
      </c>
      <c r="F67" s="1">
        <v>50</v>
      </c>
      <c r="G67" s="1">
        <v>50</v>
      </c>
      <c r="H67" s="5">
        <v>10420</v>
      </c>
      <c r="I67" s="26">
        <f t="shared" si="8"/>
        <v>6981.4000000000005</v>
      </c>
      <c r="J67" s="26">
        <f t="shared" si="9"/>
        <v>6771.9580000000005</v>
      </c>
    </row>
    <row r="68" spans="1:10" ht="17.25" customHeight="1" x14ac:dyDescent="0.35">
      <c r="A68" s="6">
        <v>11</v>
      </c>
      <c r="B68" s="4" t="s">
        <v>129</v>
      </c>
      <c r="C68" s="18" t="s">
        <v>130</v>
      </c>
      <c r="D68" s="266"/>
      <c r="E68" s="266"/>
      <c r="F68" s="1">
        <v>50</v>
      </c>
      <c r="G68" s="1">
        <v>50</v>
      </c>
      <c r="H68" s="5">
        <v>10600</v>
      </c>
      <c r="I68" s="26">
        <f t="shared" si="8"/>
        <v>7102</v>
      </c>
      <c r="J68" s="26">
        <f t="shared" si="9"/>
        <v>6888.94</v>
      </c>
    </row>
    <row r="69" spans="1:10" ht="17.25" customHeight="1" x14ac:dyDescent="0.35">
      <c r="A69" s="4">
        <v>12</v>
      </c>
      <c r="B69" s="4" t="s">
        <v>131</v>
      </c>
      <c r="C69" s="19" t="s">
        <v>132</v>
      </c>
      <c r="D69" s="266"/>
      <c r="E69" s="266"/>
      <c r="F69" s="1">
        <v>65</v>
      </c>
      <c r="G69" s="1">
        <v>50</v>
      </c>
      <c r="H69" s="5">
        <v>10600</v>
      </c>
      <c r="I69" s="26">
        <f t="shared" si="8"/>
        <v>7102</v>
      </c>
      <c r="J69" s="26">
        <f t="shared" si="9"/>
        <v>6888.94</v>
      </c>
    </row>
    <row r="70" spans="1:10" ht="17.25" customHeight="1" x14ac:dyDescent="0.35">
      <c r="A70" s="6">
        <v>13</v>
      </c>
      <c r="B70" s="4" t="s">
        <v>133</v>
      </c>
      <c r="C70" s="18" t="s">
        <v>134</v>
      </c>
      <c r="D70" s="266"/>
      <c r="E70" s="266"/>
      <c r="F70" s="1">
        <v>65</v>
      </c>
      <c r="G70" s="1">
        <v>50</v>
      </c>
      <c r="H70" s="5">
        <v>10800</v>
      </c>
      <c r="I70" s="26">
        <f t="shared" si="8"/>
        <v>7236</v>
      </c>
      <c r="J70" s="26">
        <f t="shared" si="9"/>
        <v>7018.92</v>
      </c>
    </row>
    <row r="71" spans="1:10" ht="17.25" customHeight="1" x14ac:dyDescent="0.35">
      <c r="A71" s="6">
        <v>14</v>
      </c>
      <c r="B71" s="4" t="s">
        <v>135</v>
      </c>
      <c r="C71" s="19" t="s">
        <v>136</v>
      </c>
      <c r="D71" s="266"/>
      <c r="E71" s="266"/>
      <c r="F71" s="1">
        <v>75</v>
      </c>
      <c r="G71" s="1">
        <v>75</v>
      </c>
      <c r="H71" s="8">
        <v>11000</v>
      </c>
      <c r="I71" s="26">
        <f t="shared" si="8"/>
        <v>7370</v>
      </c>
      <c r="J71" s="26">
        <f t="shared" si="9"/>
        <v>7148.9</v>
      </c>
    </row>
    <row r="72" spans="1:10" ht="17.25" customHeight="1" x14ac:dyDescent="0.35">
      <c r="A72" s="4">
        <v>15</v>
      </c>
      <c r="B72" s="4" t="s">
        <v>137</v>
      </c>
      <c r="C72" s="18" t="s">
        <v>138</v>
      </c>
      <c r="D72" s="266"/>
      <c r="E72" s="266"/>
      <c r="F72" s="1">
        <v>75</v>
      </c>
      <c r="G72" s="1">
        <v>75</v>
      </c>
      <c r="H72" s="5">
        <v>11200</v>
      </c>
      <c r="I72" s="26">
        <f t="shared" si="8"/>
        <v>7504</v>
      </c>
      <c r="J72" s="26">
        <f t="shared" si="9"/>
        <v>7278.88</v>
      </c>
    </row>
    <row r="73" spans="1:10" ht="17.25" customHeight="1" x14ac:dyDescent="0.35">
      <c r="A73" s="6">
        <v>16</v>
      </c>
      <c r="B73" s="4" t="s">
        <v>139</v>
      </c>
      <c r="C73" s="18" t="s">
        <v>140</v>
      </c>
      <c r="D73" s="263"/>
      <c r="E73" s="263"/>
      <c r="F73" s="1">
        <v>75</v>
      </c>
      <c r="G73" s="1">
        <v>75</v>
      </c>
      <c r="H73" s="5">
        <v>11200</v>
      </c>
      <c r="I73" s="26">
        <f t="shared" si="8"/>
        <v>7504</v>
      </c>
      <c r="J73" s="26">
        <f t="shared" si="9"/>
        <v>7278.88</v>
      </c>
    </row>
    <row r="74" spans="1:10" ht="17.25" customHeight="1" x14ac:dyDescent="0.35">
      <c r="A74" s="6">
        <v>17</v>
      </c>
      <c r="B74" s="4" t="s">
        <v>141</v>
      </c>
      <c r="C74" s="19" t="s">
        <v>142</v>
      </c>
      <c r="D74" s="262">
        <v>2</v>
      </c>
      <c r="E74" s="262">
        <v>1.5</v>
      </c>
      <c r="F74" s="1">
        <v>50</v>
      </c>
      <c r="G74" s="1">
        <v>40</v>
      </c>
      <c r="H74" s="8">
        <v>15000</v>
      </c>
      <c r="I74" s="26">
        <f t="shared" si="8"/>
        <v>10050</v>
      </c>
      <c r="J74" s="26">
        <f t="shared" si="9"/>
        <v>9748.5</v>
      </c>
    </row>
    <row r="75" spans="1:10" ht="17.25" customHeight="1" x14ac:dyDescent="0.35">
      <c r="A75" s="4">
        <v>18</v>
      </c>
      <c r="B75" s="4" t="s">
        <v>143</v>
      </c>
      <c r="C75" s="18" t="s">
        <v>144</v>
      </c>
      <c r="D75" s="266"/>
      <c r="E75" s="266"/>
      <c r="F75" s="1">
        <v>50</v>
      </c>
      <c r="G75" s="1">
        <v>40</v>
      </c>
      <c r="H75" s="5">
        <v>15200</v>
      </c>
      <c r="I75" s="26">
        <f t="shared" si="8"/>
        <v>10184</v>
      </c>
      <c r="J75" s="26">
        <f t="shared" si="9"/>
        <v>9878.48</v>
      </c>
    </row>
    <row r="76" spans="1:10" ht="17.25" customHeight="1" x14ac:dyDescent="0.35">
      <c r="A76" s="6">
        <v>19</v>
      </c>
      <c r="B76" s="6" t="s">
        <v>145</v>
      </c>
      <c r="C76" s="14" t="s">
        <v>146</v>
      </c>
      <c r="D76" s="266"/>
      <c r="E76" s="266"/>
      <c r="F76" s="1">
        <v>50</v>
      </c>
      <c r="G76" s="1">
        <v>50</v>
      </c>
      <c r="H76" s="8">
        <v>13000</v>
      </c>
      <c r="I76" s="26">
        <f t="shared" si="8"/>
        <v>8710</v>
      </c>
      <c r="J76" s="26">
        <f t="shared" si="9"/>
        <v>8448.6999999999989</v>
      </c>
    </row>
    <row r="77" spans="1:10" ht="17.25" customHeight="1" x14ac:dyDescent="0.35">
      <c r="A77" s="6">
        <v>20</v>
      </c>
      <c r="B77" s="4" t="s">
        <v>147</v>
      </c>
      <c r="C77" s="18" t="s">
        <v>148</v>
      </c>
      <c r="D77" s="266"/>
      <c r="E77" s="266"/>
      <c r="F77" s="1">
        <v>50</v>
      </c>
      <c r="G77" s="1">
        <v>50</v>
      </c>
      <c r="H77" s="5">
        <v>13200</v>
      </c>
      <c r="I77" s="26">
        <f t="shared" si="8"/>
        <v>8844</v>
      </c>
      <c r="J77" s="26">
        <f t="shared" si="9"/>
        <v>8578.68</v>
      </c>
    </row>
    <row r="78" spans="1:10" ht="17.25" customHeight="1" x14ac:dyDescent="0.35">
      <c r="A78" s="4">
        <v>21</v>
      </c>
      <c r="B78" s="6" t="s">
        <v>149</v>
      </c>
      <c r="C78" s="14" t="s">
        <v>150</v>
      </c>
      <c r="D78" s="266"/>
      <c r="E78" s="266"/>
      <c r="F78" s="1">
        <v>65</v>
      </c>
      <c r="G78" s="1">
        <v>50</v>
      </c>
      <c r="H78" s="8">
        <v>13300</v>
      </c>
      <c r="I78" s="26">
        <f t="shared" si="8"/>
        <v>8911</v>
      </c>
      <c r="J78" s="26">
        <f t="shared" si="9"/>
        <v>8643.67</v>
      </c>
    </row>
    <row r="79" spans="1:10" ht="17.25" customHeight="1" x14ac:dyDescent="0.35">
      <c r="A79" s="6">
        <v>22</v>
      </c>
      <c r="B79" s="6" t="s">
        <v>151</v>
      </c>
      <c r="C79" s="14" t="s">
        <v>152</v>
      </c>
      <c r="D79" s="266"/>
      <c r="E79" s="266"/>
      <c r="F79" s="1">
        <v>65</v>
      </c>
      <c r="G79" s="1">
        <v>50</v>
      </c>
      <c r="H79" s="5">
        <v>13500</v>
      </c>
      <c r="I79" s="26">
        <f t="shared" si="8"/>
        <v>9045</v>
      </c>
      <c r="J79" s="26">
        <f t="shared" si="9"/>
        <v>8773.65</v>
      </c>
    </row>
    <row r="80" spans="1:10" ht="17.25" customHeight="1" x14ac:dyDescent="0.35">
      <c r="A80" s="6">
        <v>23</v>
      </c>
      <c r="B80" s="4" t="s">
        <v>153</v>
      </c>
      <c r="C80" s="18" t="s">
        <v>154</v>
      </c>
      <c r="D80" s="266"/>
      <c r="E80" s="266"/>
      <c r="F80" s="1">
        <v>65</v>
      </c>
      <c r="G80" s="1">
        <v>50</v>
      </c>
      <c r="H80" s="5">
        <v>13340</v>
      </c>
      <c r="I80" s="26">
        <f t="shared" si="8"/>
        <v>8937.8000000000011</v>
      </c>
      <c r="J80" s="26">
        <f t="shared" si="9"/>
        <v>8669.6660000000011</v>
      </c>
    </row>
    <row r="81" spans="1:10" ht="17.25" customHeight="1" x14ac:dyDescent="0.35">
      <c r="A81" s="4">
        <v>24</v>
      </c>
      <c r="B81" s="6"/>
      <c r="C81" s="14" t="s">
        <v>155</v>
      </c>
      <c r="D81" s="266"/>
      <c r="E81" s="266"/>
      <c r="F81" s="1">
        <v>65</v>
      </c>
      <c r="G81" s="1">
        <v>50</v>
      </c>
      <c r="H81" s="8">
        <v>13300</v>
      </c>
      <c r="I81" s="26">
        <f t="shared" si="8"/>
        <v>8911</v>
      </c>
      <c r="J81" s="26">
        <f t="shared" si="9"/>
        <v>8643.67</v>
      </c>
    </row>
    <row r="82" spans="1:10" ht="17.25" customHeight="1" x14ac:dyDescent="0.35">
      <c r="A82" s="6">
        <v>25</v>
      </c>
      <c r="B82" s="4" t="s">
        <v>156</v>
      </c>
      <c r="C82" s="18" t="s">
        <v>157</v>
      </c>
      <c r="D82" s="266"/>
      <c r="E82" s="266"/>
      <c r="F82" s="1">
        <v>75</v>
      </c>
      <c r="G82" s="1">
        <v>75</v>
      </c>
      <c r="H82" s="5">
        <v>13600</v>
      </c>
      <c r="I82" s="26">
        <f t="shared" si="8"/>
        <v>9112</v>
      </c>
      <c r="J82" s="26">
        <f t="shared" si="9"/>
        <v>8838.64</v>
      </c>
    </row>
    <row r="83" spans="1:10" ht="17.25" customHeight="1" x14ac:dyDescent="0.35">
      <c r="A83" s="6">
        <v>26</v>
      </c>
      <c r="B83" s="6" t="s">
        <v>158</v>
      </c>
      <c r="C83" s="14" t="s">
        <v>159</v>
      </c>
      <c r="D83" s="266"/>
      <c r="E83" s="266"/>
      <c r="F83" s="1">
        <v>75</v>
      </c>
      <c r="G83" s="1">
        <v>75</v>
      </c>
      <c r="H83" s="8">
        <v>13450</v>
      </c>
      <c r="I83" s="26">
        <f t="shared" si="8"/>
        <v>9011.5</v>
      </c>
      <c r="J83" s="26">
        <f t="shared" si="9"/>
        <v>8741.1550000000007</v>
      </c>
    </row>
    <row r="84" spans="1:10" ht="17.25" customHeight="1" x14ac:dyDescent="0.35">
      <c r="A84" s="4">
        <v>27</v>
      </c>
      <c r="B84" s="6" t="s">
        <v>160</v>
      </c>
      <c r="C84" s="14" t="s">
        <v>161</v>
      </c>
      <c r="D84" s="266"/>
      <c r="E84" s="266"/>
      <c r="F84" s="1">
        <v>75</v>
      </c>
      <c r="G84" s="1">
        <v>75</v>
      </c>
      <c r="H84" s="5">
        <v>13800</v>
      </c>
      <c r="I84" s="26">
        <f t="shared" si="8"/>
        <v>9246</v>
      </c>
      <c r="J84" s="26">
        <f t="shared" si="9"/>
        <v>8968.619999999999</v>
      </c>
    </row>
    <row r="85" spans="1:10" ht="17.25" customHeight="1" x14ac:dyDescent="0.35">
      <c r="A85" s="6">
        <v>28</v>
      </c>
      <c r="B85" s="6" t="s">
        <v>162</v>
      </c>
      <c r="C85" s="14" t="s">
        <v>163</v>
      </c>
      <c r="D85" s="266"/>
      <c r="E85" s="266"/>
      <c r="F85" s="1">
        <v>75</v>
      </c>
      <c r="G85" s="1">
        <v>75</v>
      </c>
      <c r="H85" s="5">
        <v>14000</v>
      </c>
      <c r="I85" s="26">
        <f t="shared" si="8"/>
        <v>9380</v>
      </c>
      <c r="J85" s="26">
        <f t="shared" si="9"/>
        <v>9098.6</v>
      </c>
    </row>
    <row r="86" spans="1:10" ht="17.25" customHeight="1" x14ac:dyDescent="0.35">
      <c r="A86" s="6">
        <v>29</v>
      </c>
      <c r="B86" s="6" t="s">
        <v>164</v>
      </c>
      <c r="C86" s="14" t="s">
        <v>165</v>
      </c>
      <c r="D86" s="266"/>
      <c r="E86" s="266"/>
      <c r="F86" s="1">
        <v>75</v>
      </c>
      <c r="G86" s="1">
        <v>75</v>
      </c>
      <c r="H86" s="5">
        <v>14500</v>
      </c>
      <c r="I86" s="26">
        <f t="shared" si="8"/>
        <v>9715</v>
      </c>
      <c r="J86" s="26">
        <f t="shared" si="9"/>
        <v>9423.5499999999993</v>
      </c>
    </row>
    <row r="87" spans="1:10" ht="17.25" customHeight="1" x14ac:dyDescent="0.35">
      <c r="A87" s="4">
        <v>30</v>
      </c>
      <c r="B87" s="4" t="s">
        <v>166</v>
      </c>
      <c r="C87" s="18" t="s">
        <v>167</v>
      </c>
      <c r="D87" s="266"/>
      <c r="E87" s="266"/>
      <c r="F87" s="1">
        <v>75</v>
      </c>
      <c r="G87" s="1">
        <v>75</v>
      </c>
      <c r="H87" s="5">
        <v>13550</v>
      </c>
      <c r="I87" s="26">
        <f t="shared" si="8"/>
        <v>9078.5</v>
      </c>
      <c r="J87" s="26">
        <f t="shared" si="9"/>
        <v>8806.1450000000004</v>
      </c>
    </row>
    <row r="88" spans="1:10" ht="17.25" customHeight="1" x14ac:dyDescent="0.35">
      <c r="A88" s="6">
        <v>31</v>
      </c>
      <c r="B88" s="6" t="s">
        <v>168</v>
      </c>
      <c r="C88" s="14" t="s">
        <v>169</v>
      </c>
      <c r="D88" s="266"/>
      <c r="E88" s="266"/>
      <c r="F88" s="1">
        <v>75</v>
      </c>
      <c r="G88" s="1">
        <v>65</v>
      </c>
      <c r="H88" s="8">
        <v>13450</v>
      </c>
      <c r="I88" s="26">
        <f t="shared" si="8"/>
        <v>9011.5</v>
      </c>
      <c r="J88" s="26">
        <f t="shared" si="9"/>
        <v>8741.1550000000007</v>
      </c>
    </row>
    <row r="89" spans="1:10" ht="17.25" customHeight="1" x14ac:dyDescent="0.35">
      <c r="A89" s="6">
        <v>32</v>
      </c>
      <c r="B89" s="6" t="s">
        <v>170</v>
      </c>
      <c r="C89" s="14" t="s">
        <v>171</v>
      </c>
      <c r="D89" s="266"/>
      <c r="E89" s="266"/>
      <c r="F89" s="1">
        <v>75</v>
      </c>
      <c r="G89" s="1">
        <v>65</v>
      </c>
      <c r="H89" s="5">
        <v>13740</v>
      </c>
      <c r="I89" s="26">
        <f t="shared" si="8"/>
        <v>9205.8000000000011</v>
      </c>
      <c r="J89" s="26">
        <f t="shared" si="9"/>
        <v>8929.6260000000002</v>
      </c>
    </row>
    <row r="90" spans="1:10" ht="17.25" customHeight="1" x14ac:dyDescent="0.35">
      <c r="A90" s="4">
        <v>33</v>
      </c>
      <c r="B90" s="4"/>
      <c r="C90" s="19" t="s">
        <v>172</v>
      </c>
      <c r="D90" s="266"/>
      <c r="E90" s="266"/>
      <c r="F90" s="1">
        <v>100</v>
      </c>
      <c r="G90" s="1">
        <v>100</v>
      </c>
      <c r="H90" s="8">
        <v>15000</v>
      </c>
      <c r="I90" s="26">
        <f t="shared" si="8"/>
        <v>10050</v>
      </c>
      <c r="J90" s="26">
        <f t="shared" si="9"/>
        <v>9748.5</v>
      </c>
    </row>
    <row r="91" spans="1:10" ht="17.25" customHeight="1" x14ac:dyDescent="0.35">
      <c r="A91" s="6">
        <v>34</v>
      </c>
      <c r="B91" s="4"/>
      <c r="C91" s="18" t="s">
        <v>173</v>
      </c>
      <c r="D91" s="263"/>
      <c r="E91" s="263"/>
      <c r="F91" s="1">
        <v>100</v>
      </c>
      <c r="G91" s="1">
        <v>100</v>
      </c>
      <c r="H91" s="5">
        <v>15200</v>
      </c>
      <c r="I91" s="26">
        <f t="shared" si="8"/>
        <v>10184</v>
      </c>
      <c r="J91" s="26">
        <f t="shared" si="9"/>
        <v>9878.48</v>
      </c>
    </row>
    <row r="92" spans="1:10" ht="17.25" customHeight="1" x14ac:dyDescent="0.35">
      <c r="A92" s="6">
        <v>35</v>
      </c>
      <c r="B92" s="4"/>
      <c r="C92" s="19" t="s">
        <v>174</v>
      </c>
      <c r="D92" s="262">
        <v>3</v>
      </c>
      <c r="E92" s="262">
        <v>2.25</v>
      </c>
      <c r="F92" s="1">
        <v>50</v>
      </c>
      <c r="G92" s="1">
        <v>40</v>
      </c>
      <c r="H92" s="8">
        <v>18000</v>
      </c>
      <c r="I92" s="26">
        <f t="shared" si="8"/>
        <v>12060</v>
      </c>
      <c r="J92" s="26">
        <f t="shared" si="9"/>
        <v>11698.199999999999</v>
      </c>
    </row>
    <row r="93" spans="1:10" ht="17.25" customHeight="1" x14ac:dyDescent="0.35">
      <c r="A93" s="4">
        <v>36</v>
      </c>
      <c r="B93" s="4" t="s">
        <v>175</v>
      </c>
      <c r="C93" s="18" t="s">
        <v>176</v>
      </c>
      <c r="D93" s="266"/>
      <c r="E93" s="266"/>
      <c r="F93" s="1">
        <v>50</v>
      </c>
      <c r="G93" s="1">
        <v>40</v>
      </c>
      <c r="H93" s="5">
        <v>18560</v>
      </c>
      <c r="I93" s="26">
        <f t="shared" si="8"/>
        <v>12435.2</v>
      </c>
      <c r="J93" s="26">
        <f t="shared" si="9"/>
        <v>12062.144</v>
      </c>
    </row>
    <row r="94" spans="1:10" ht="17.25" customHeight="1" x14ac:dyDescent="0.35">
      <c r="A94" s="6">
        <v>37</v>
      </c>
      <c r="B94" s="4" t="s">
        <v>177</v>
      </c>
      <c r="C94" s="19" t="s">
        <v>178</v>
      </c>
      <c r="D94" s="266"/>
      <c r="E94" s="266"/>
      <c r="F94" s="1">
        <v>50</v>
      </c>
      <c r="G94" s="1">
        <v>50</v>
      </c>
      <c r="H94" s="8">
        <v>18250</v>
      </c>
      <c r="I94" s="26">
        <f t="shared" si="8"/>
        <v>12227.5</v>
      </c>
      <c r="J94" s="26">
        <f t="shared" si="9"/>
        <v>11860.674999999999</v>
      </c>
    </row>
    <row r="95" spans="1:10" ht="17.25" customHeight="1" x14ac:dyDescent="0.35">
      <c r="A95" s="6">
        <v>38</v>
      </c>
      <c r="B95" s="4" t="s">
        <v>179</v>
      </c>
      <c r="C95" s="18" t="s">
        <v>180</v>
      </c>
      <c r="D95" s="266"/>
      <c r="E95" s="266"/>
      <c r="F95" s="1">
        <v>50</v>
      </c>
      <c r="G95" s="1">
        <v>50</v>
      </c>
      <c r="H95" s="5">
        <v>18670</v>
      </c>
      <c r="I95" s="26">
        <f t="shared" si="8"/>
        <v>12508.900000000001</v>
      </c>
      <c r="J95" s="26">
        <f t="shared" si="9"/>
        <v>12133.633000000002</v>
      </c>
    </row>
    <row r="96" spans="1:10" ht="17.25" customHeight="1" x14ac:dyDescent="0.35">
      <c r="A96" s="4">
        <v>39</v>
      </c>
      <c r="B96" s="6" t="s">
        <v>181</v>
      </c>
      <c r="C96" s="14" t="s">
        <v>182</v>
      </c>
      <c r="D96" s="266"/>
      <c r="E96" s="266"/>
      <c r="F96" s="1">
        <v>65</v>
      </c>
      <c r="G96" s="1">
        <v>50</v>
      </c>
      <c r="H96" s="8">
        <v>18100</v>
      </c>
      <c r="I96" s="26">
        <f t="shared" si="8"/>
        <v>12127</v>
      </c>
      <c r="J96" s="26">
        <f t="shared" si="9"/>
        <v>11763.19</v>
      </c>
    </row>
    <row r="97" spans="1:10" ht="17.25" customHeight="1" x14ac:dyDescent="0.35">
      <c r="A97" s="6">
        <v>40</v>
      </c>
      <c r="B97" s="6" t="s">
        <v>183</v>
      </c>
      <c r="C97" s="14" t="s">
        <v>184</v>
      </c>
      <c r="D97" s="266"/>
      <c r="E97" s="266"/>
      <c r="F97" s="1">
        <v>65</v>
      </c>
      <c r="G97" s="1">
        <v>50</v>
      </c>
      <c r="H97" s="5">
        <v>18770</v>
      </c>
      <c r="I97" s="26">
        <f t="shared" si="8"/>
        <v>12575.900000000001</v>
      </c>
      <c r="J97" s="26">
        <f t="shared" si="9"/>
        <v>12198.623000000001</v>
      </c>
    </row>
    <row r="98" spans="1:10" ht="17.25" customHeight="1" x14ac:dyDescent="0.35">
      <c r="A98" s="6">
        <v>41</v>
      </c>
      <c r="B98" s="6" t="s">
        <v>185</v>
      </c>
      <c r="C98" s="14" t="s">
        <v>186</v>
      </c>
      <c r="D98" s="266"/>
      <c r="E98" s="266"/>
      <c r="F98" s="1">
        <v>75</v>
      </c>
      <c r="G98" s="1">
        <v>75</v>
      </c>
      <c r="H98" s="8">
        <v>18020</v>
      </c>
      <c r="I98" s="26">
        <f t="shared" si="8"/>
        <v>12073.400000000001</v>
      </c>
      <c r="J98" s="26">
        <f t="shared" si="9"/>
        <v>11711.198</v>
      </c>
    </row>
    <row r="99" spans="1:10" ht="17.25" customHeight="1" x14ac:dyDescent="0.35">
      <c r="A99" s="4">
        <v>42</v>
      </c>
      <c r="B99" s="6" t="s">
        <v>187</v>
      </c>
      <c r="C99" s="14" t="s">
        <v>188</v>
      </c>
      <c r="D99" s="266"/>
      <c r="E99" s="266"/>
      <c r="F99" s="1">
        <v>75</v>
      </c>
      <c r="G99" s="1">
        <v>75</v>
      </c>
      <c r="H99" s="5">
        <v>18680</v>
      </c>
      <c r="I99" s="26">
        <f t="shared" si="8"/>
        <v>12515.6</v>
      </c>
      <c r="J99" s="26">
        <f t="shared" si="9"/>
        <v>12140.132</v>
      </c>
    </row>
    <row r="100" spans="1:10" ht="17.25" customHeight="1" x14ac:dyDescent="0.35">
      <c r="A100" s="6">
        <v>43</v>
      </c>
      <c r="B100" s="6" t="s">
        <v>189</v>
      </c>
      <c r="C100" s="14" t="s">
        <v>190</v>
      </c>
      <c r="D100" s="266"/>
      <c r="E100" s="266"/>
      <c r="F100" s="1">
        <v>100</v>
      </c>
      <c r="G100" s="1">
        <v>100</v>
      </c>
      <c r="H100" s="8">
        <v>19100</v>
      </c>
      <c r="I100" s="26">
        <f t="shared" si="8"/>
        <v>12797</v>
      </c>
      <c r="J100" s="26">
        <f t="shared" si="9"/>
        <v>12413.09</v>
      </c>
    </row>
    <row r="101" spans="1:10" ht="17.25" customHeight="1" x14ac:dyDescent="0.35">
      <c r="A101" s="6">
        <v>44</v>
      </c>
      <c r="B101" s="6" t="s">
        <v>191</v>
      </c>
      <c r="C101" s="14" t="s">
        <v>192</v>
      </c>
      <c r="D101" s="266"/>
      <c r="E101" s="266"/>
      <c r="F101" s="1">
        <v>100</v>
      </c>
      <c r="G101" s="1">
        <v>100</v>
      </c>
      <c r="H101" s="5">
        <v>19500</v>
      </c>
      <c r="I101" s="26">
        <f t="shared" si="8"/>
        <v>13065</v>
      </c>
      <c r="J101" s="26">
        <f t="shared" si="9"/>
        <v>12673.05</v>
      </c>
    </row>
    <row r="102" spans="1:10" ht="17.25" customHeight="1" x14ac:dyDescent="0.35">
      <c r="A102" s="4">
        <v>45</v>
      </c>
      <c r="B102" s="6" t="s">
        <v>193</v>
      </c>
      <c r="C102" s="14" t="s">
        <v>194</v>
      </c>
      <c r="D102" s="266"/>
      <c r="E102" s="266"/>
      <c r="F102" s="1">
        <v>100</v>
      </c>
      <c r="G102" s="1">
        <v>100</v>
      </c>
      <c r="H102" s="5">
        <v>14800</v>
      </c>
      <c r="I102" s="26">
        <f t="shared" si="8"/>
        <v>9916</v>
      </c>
      <c r="J102" s="26">
        <f t="shared" si="9"/>
        <v>9618.52</v>
      </c>
    </row>
    <row r="103" spans="1:10" ht="17.25" customHeight="1" x14ac:dyDescent="0.35">
      <c r="A103" s="6">
        <v>46</v>
      </c>
      <c r="B103" s="4" t="s">
        <v>195</v>
      </c>
      <c r="C103" s="18" t="s">
        <v>196</v>
      </c>
      <c r="D103" s="263"/>
      <c r="E103" s="263"/>
      <c r="F103" s="1">
        <v>100</v>
      </c>
      <c r="G103" s="1">
        <v>100</v>
      </c>
      <c r="H103" s="5">
        <v>15000</v>
      </c>
      <c r="I103" s="26">
        <f t="shared" si="8"/>
        <v>10050</v>
      </c>
      <c r="J103" s="26">
        <f t="shared" si="9"/>
        <v>9748.5</v>
      </c>
    </row>
    <row r="104" spans="1:10" ht="17.25" customHeight="1" x14ac:dyDescent="0.35">
      <c r="A104" s="6">
        <v>47</v>
      </c>
      <c r="B104" s="6" t="s">
        <v>197</v>
      </c>
      <c r="C104" s="14" t="s">
        <v>198</v>
      </c>
      <c r="D104" s="262">
        <v>5</v>
      </c>
      <c r="E104" s="262">
        <v>3.75</v>
      </c>
      <c r="F104" s="1">
        <v>80</v>
      </c>
      <c r="G104" s="1">
        <v>65</v>
      </c>
      <c r="H104" s="5">
        <v>24600</v>
      </c>
      <c r="I104" s="26">
        <f t="shared" si="8"/>
        <v>16482</v>
      </c>
      <c r="J104" s="26">
        <f t="shared" si="9"/>
        <v>15987.539999999999</v>
      </c>
    </row>
    <row r="105" spans="1:10" ht="17.25" customHeight="1" x14ac:dyDescent="0.35">
      <c r="A105" s="4">
        <v>48</v>
      </c>
      <c r="B105" s="4"/>
      <c r="C105" s="20" t="s">
        <v>199</v>
      </c>
      <c r="D105" s="266"/>
      <c r="E105" s="266"/>
      <c r="F105" s="1">
        <v>80</v>
      </c>
      <c r="G105" s="1">
        <v>65</v>
      </c>
      <c r="H105" s="5">
        <v>26000</v>
      </c>
      <c r="I105" s="26">
        <f t="shared" si="8"/>
        <v>17420</v>
      </c>
      <c r="J105" s="26">
        <f t="shared" si="9"/>
        <v>16897.399999999998</v>
      </c>
    </row>
    <row r="106" spans="1:10" ht="17.25" customHeight="1" x14ac:dyDescent="0.35">
      <c r="A106" s="6">
        <v>49</v>
      </c>
      <c r="B106" s="6" t="s">
        <v>200</v>
      </c>
      <c r="C106" s="20" t="s">
        <v>201</v>
      </c>
      <c r="D106" s="263"/>
      <c r="E106" s="263"/>
      <c r="F106" s="1">
        <v>80</v>
      </c>
      <c r="G106" s="1">
        <v>65</v>
      </c>
      <c r="H106" s="5">
        <v>23600</v>
      </c>
      <c r="I106" s="26">
        <f t="shared" si="8"/>
        <v>15812.000000000002</v>
      </c>
      <c r="J106" s="26">
        <f t="shared" si="9"/>
        <v>15337.640000000001</v>
      </c>
    </row>
    <row r="107" spans="1:10" ht="17.25" customHeight="1" x14ac:dyDescent="0.35">
      <c r="A107" s="6">
        <v>50</v>
      </c>
      <c r="B107" s="4" t="s">
        <v>202</v>
      </c>
      <c r="C107" s="18" t="s">
        <v>203</v>
      </c>
      <c r="D107" s="7">
        <v>0.75</v>
      </c>
      <c r="E107" s="7">
        <v>0.56000000000000005</v>
      </c>
      <c r="F107" s="2">
        <v>25</v>
      </c>
      <c r="G107" s="2">
        <v>25</v>
      </c>
      <c r="H107" s="5">
        <v>5170</v>
      </c>
      <c r="I107" s="26">
        <f t="shared" si="8"/>
        <v>3463.9</v>
      </c>
      <c r="J107" s="26">
        <f t="shared" si="9"/>
        <v>3359.9830000000002</v>
      </c>
    </row>
    <row r="108" spans="1:10" ht="17.25" customHeight="1" x14ac:dyDescent="0.35">
      <c r="A108" s="4">
        <v>51</v>
      </c>
      <c r="B108" s="4" t="s">
        <v>204</v>
      </c>
      <c r="C108" s="18" t="s">
        <v>205</v>
      </c>
      <c r="D108" s="262">
        <v>1</v>
      </c>
      <c r="E108" s="262">
        <v>0.75</v>
      </c>
      <c r="F108" s="1">
        <v>40</v>
      </c>
      <c r="G108" s="1">
        <v>40</v>
      </c>
      <c r="H108" s="5">
        <v>9000</v>
      </c>
      <c r="I108" s="26">
        <f t="shared" si="8"/>
        <v>6030</v>
      </c>
      <c r="J108" s="26">
        <f t="shared" si="9"/>
        <v>5849.0999999999995</v>
      </c>
    </row>
    <row r="109" spans="1:10" ht="17.25" customHeight="1" x14ac:dyDescent="0.35">
      <c r="A109" s="6">
        <v>52</v>
      </c>
      <c r="B109" s="4"/>
      <c r="C109" s="18" t="s">
        <v>206</v>
      </c>
      <c r="D109" s="263"/>
      <c r="E109" s="263"/>
      <c r="F109" s="1">
        <v>40</v>
      </c>
      <c r="G109" s="1">
        <v>40</v>
      </c>
      <c r="H109" s="5">
        <v>9000</v>
      </c>
      <c r="I109" s="26">
        <f t="shared" si="8"/>
        <v>6030</v>
      </c>
      <c r="J109" s="26">
        <f t="shared" si="9"/>
        <v>5849.0999999999995</v>
      </c>
    </row>
    <row r="110" spans="1:10" ht="17.25" customHeight="1" x14ac:dyDescent="0.35">
      <c r="A110" s="6">
        <v>53</v>
      </c>
      <c r="B110" s="4"/>
      <c r="C110" s="20" t="s">
        <v>207</v>
      </c>
      <c r="D110" s="262">
        <v>2</v>
      </c>
      <c r="E110" s="262">
        <v>1.5</v>
      </c>
      <c r="F110" s="1">
        <v>75</v>
      </c>
      <c r="G110" s="1">
        <v>75</v>
      </c>
      <c r="H110" s="5">
        <v>12500</v>
      </c>
      <c r="I110" s="26">
        <f t="shared" si="8"/>
        <v>8375</v>
      </c>
      <c r="J110" s="26">
        <f t="shared" si="9"/>
        <v>8123.75</v>
      </c>
    </row>
    <row r="111" spans="1:10" ht="17.25" customHeight="1" x14ac:dyDescent="0.35">
      <c r="A111" s="4">
        <v>54</v>
      </c>
      <c r="B111" s="4" t="s">
        <v>208</v>
      </c>
      <c r="C111" s="20" t="s">
        <v>209</v>
      </c>
      <c r="D111" s="266"/>
      <c r="E111" s="266"/>
      <c r="F111" s="1">
        <v>75</v>
      </c>
      <c r="G111" s="1">
        <v>75</v>
      </c>
      <c r="H111" s="5">
        <v>12500</v>
      </c>
      <c r="I111" s="26">
        <f t="shared" si="8"/>
        <v>8375</v>
      </c>
      <c r="J111" s="26">
        <f t="shared" si="9"/>
        <v>8123.75</v>
      </c>
    </row>
    <row r="112" spans="1:10" ht="17.25" customHeight="1" x14ac:dyDescent="0.35">
      <c r="A112" s="6">
        <v>55</v>
      </c>
      <c r="B112" s="4" t="s">
        <v>210</v>
      </c>
      <c r="C112" s="20" t="s">
        <v>211</v>
      </c>
      <c r="D112" s="266"/>
      <c r="E112" s="266"/>
      <c r="F112" s="1">
        <v>65</v>
      </c>
      <c r="G112" s="1">
        <v>50</v>
      </c>
      <c r="H112" s="5">
        <v>12200</v>
      </c>
      <c r="I112" s="26">
        <f t="shared" si="8"/>
        <v>8174.0000000000009</v>
      </c>
      <c r="J112" s="26">
        <f t="shared" si="9"/>
        <v>7928.7800000000007</v>
      </c>
    </row>
    <row r="113" spans="1:10" ht="17.25" customHeight="1" x14ac:dyDescent="0.35">
      <c r="A113" s="6">
        <v>56</v>
      </c>
      <c r="B113" s="4" t="s">
        <v>212</v>
      </c>
      <c r="C113" s="20" t="s">
        <v>213</v>
      </c>
      <c r="D113" s="263"/>
      <c r="E113" s="263"/>
      <c r="F113" s="1">
        <v>50</v>
      </c>
      <c r="G113" s="1">
        <v>50</v>
      </c>
      <c r="H113" s="5">
        <v>12200</v>
      </c>
      <c r="I113" s="26">
        <f t="shared" si="8"/>
        <v>8174.0000000000009</v>
      </c>
      <c r="J113" s="26">
        <f t="shared" si="9"/>
        <v>7928.7800000000007</v>
      </c>
    </row>
    <row r="114" spans="1:10" ht="17.25" customHeight="1" x14ac:dyDescent="0.35">
      <c r="A114" s="300" t="s">
        <v>214</v>
      </c>
      <c r="B114" s="300"/>
      <c r="C114" s="300"/>
      <c r="D114" s="300"/>
      <c r="E114" s="300"/>
      <c r="F114" s="300"/>
      <c r="G114" s="300"/>
      <c r="H114" s="207" t="s">
        <v>109</v>
      </c>
      <c r="I114" s="131" t="s">
        <v>334</v>
      </c>
    </row>
    <row r="115" spans="1:10" ht="17.25" customHeight="1" x14ac:dyDescent="0.35">
      <c r="A115" s="207" t="s">
        <v>2</v>
      </c>
      <c r="B115" s="287" t="s">
        <v>3</v>
      </c>
      <c r="C115" s="298" t="s">
        <v>4</v>
      </c>
      <c r="D115" s="287" t="s">
        <v>5</v>
      </c>
      <c r="E115" s="287"/>
      <c r="F115" s="287" t="s">
        <v>6</v>
      </c>
      <c r="G115" s="287"/>
      <c r="H115" s="259"/>
      <c r="I115" s="323">
        <v>0.37</v>
      </c>
    </row>
    <row r="116" spans="1:10" ht="17.25" customHeight="1" x14ac:dyDescent="0.35">
      <c r="A116" s="208"/>
      <c r="B116" s="287"/>
      <c r="C116" s="298"/>
      <c r="D116" s="11" t="s">
        <v>9</v>
      </c>
      <c r="E116" s="11" t="s">
        <v>10</v>
      </c>
      <c r="F116" s="11" t="s">
        <v>11</v>
      </c>
      <c r="G116" s="11" t="s">
        <v>12</v>
      </c>
      <c r="H116" s="208"/>
      <c r="I116" s="324"/>
    </row>
    <row r="117" spans="1:10" ht="17.25" customHeight="1" x14ac:dyDescent="0.35">
      <c r="A117" s="4">
        <v>1</v>
      </c>
      <c r="B117" s="4" t="s">
        <v>215</v>
      </c>
      <c r="C117" s="12" t="s">
        <v>216</v>
      </c>
      <c r="D117" s="2">
        <v>0.5</v>
      </c>
      <c r="E117" s="2">
        <v>0.37</v>
      </c>
      <c r="F117" s="2">
        <v>25</v>
      </c>
      <c r="G117" s="2">
        <v>25</v>
      </c>
      <c r="H117" s="13">
        <v>5370</v>
      </c>
      <c r="I117" s="26">
        <f>H117*0.63</f>
        <v>3383.1</v>
      </c>
    </row>
    <row r="118" spans="1:10" ht="17.25" customHeight="1" x14ac:dyDescent="0.35">
      <c r="A118" s="4">
        <v>2</v>
      </c>
      <c r="B118" s="4" t="s">
        <v>217</v>
      </c>
      <c r="C118" s="12" t="s">
        <v>218</v>
      </c>
      <c r="D118" s="2">
        <v>1</v>
      </c>
      <c r="E118" s="2">
        <v>0.75</v>
      </c>
      <c r="F118" s="2">
        <v>25</v>
      </c>
      <c r="G118" s="2">
        <v>25</v>
      </c>
      <c r="H118" s="13">
        <v>7070</v>
      </c>
      <c r="I118" s="148">
        <v>4793</v>
      </c>
    </row>
    <row r="119" spans="1:10" ht="17.25" customHeight="1" x14ac:dyDescent="0.35">
      <c r="A119" s="4">
        <v>3</v>
      </c>
      <c r="B119" s="21" t="s">
        <v>219</v>
      </c>
      <c r="C119" s="22" t="s">
        <v>220</v>
      </c>
      <c r="D119" s="23">
        <v>2</v>
      </c>
      <c r="E119" s="4">
        <v>1.5</v>
      </c>
      <c r="F119" s="4">
        <v>50</v>
      </c>
      <c r="G119" s="4">
        <v>50</v>
      </c>
      <c r="H119" s="4">
        <v>12200</v>
      </c>
      <c r="I119" s="26">
        <f t="shared" ref="I119:I128" si="10">H119*0.63</f>
        <v>7686</v>
      </c>
    </row>
    <row r="120" spans="1:10" ht="17.25" customHeight="1" x14ac:dyDescent="0.35">
      <c r="A120" s="4">
        <v>4</v>
      </c>
      <c r="B120" s="21" t="s">
        <v>221</v>
      </c>
      <c r="C120" s="22" t="s">
        <v>222</v>
      </c>
      <c r="D120" s="23">
        <v>2</v>
      </c>
      <c r="E120" s="4">
        <v>1.5</v>
      </c>
      <c r="F120" s="4">
        <v>50</v>
      </c>
      <c r="G120" s="4">
        <v>50</v>
      </c>
      <c r="H120" s="4">
        <v>12200</v>
      </c>
      <c r="I120" s="26">
        <f t="shared" si="10"/>
        <v>7686</v>
      </c>
    </row>
    <row r="121" spans="1:10" ht="17.25" customHeight="1" x14ac:dyDescent="0.35">
      <c r="A121" s="4">
        <v>5</v>
      </c>
      <c r="B121" s="21" t="s">
        <v>223</v>
      </c>
      <c r="C121" s="22" t="s">
        <v>224</v>
      </c>
      <c r="D121" s="23">
        <v>2</v>
      </c>
      <c r="E121" s="4">
        <v>1.5</v>
      </c>
      <c r="F121" s="4">
        <v>65</v>
      </c>
      <c r="G121" s="4">
        <v>50</v>
      </c>
      <c r="H121" s="4">
        <v>12300</v>
      </c>
      <c r="I121" s="26">
        <f t="shared" si="10"/>
        <v>7749</v>
      </c>
    </row>
    <row r="122" spans="1:10" ht="17.25" customHeight="1" x14ac:dyDescent="0.35">
      <c r="A122" s="4">
        <v>6</v>
      </c>
      <c r="B122" s="21" t="s">
        <v>225</v>
      </c>
      <c r="C122" s="22" t="s">
        <v>226</v>
      </c>
      <c r="D122" s="23">
        <v>2</v>
      </c>
      <c r="E122" s="4">
        <v>1.5</v>
      </c>
      <c r="F122" s="4">
        <v>65</v>
      </c>
      <c r="G122" s="4">
        <v>50</v>
      </c>
      <c r="H122" s="4">
        <v>12300</v>
      </c>
      <c r="I122" s="26">
        <f t="shared" si="10"/>
        <v>7749</v>
      </c>
    </row>
    <row r="123" spans="1:10" ht="17.25" customHeight="1" x14ac:dyDescent="0.35">
      <c r="A123" s="4">
        <v>7</v>
      </c>
      <c r="B123" s="21" t="s">
        <v>227</v>
      </c>
      <c r="C123" s="22" t="s">
        <v>228</v>
      </c>
      <c r="D123" s="21">
        <v>3</v>
      </c>
      <c r="E123" s="4">
        <v>2.25</v>
      </c>
      <c r="F123" s="4">
        <v>65</v>
      </c>
      <c r="G123" s="4">
        <v>50</v>
      </c>
      <c r="H123" s="4">
        <v>12900</v>
      </c>
      <c r="I123" s="26">
        <f t="shared" si="10"/>
        <v>8127</v>
      </c>
    </row>
    <row r="124" spans="1:10" ht="17.25" customHeight="1" x14ac:dyDescent="0.35">
      <c r="A124" s="4">
        <v>8</v>
      </c>
      <c r="B124" s="21" t="s">
        <v>229</v>
      </c>
      <c r="C124" s="24" t="s">
        <v>230</v>
      </c>
      <c r="D124" s="21">
        <v>3</v>
      </c>
      <c r="E124" s="4">
        <v>2.25</v>
      </c>
      <c r="F124" s="4">
        <v>65</v>
      </c>
      <c r="G124" s="4">
        <v>50</v>
      </c>
      <c r="H124" s="4">
        <v>13000</v>
      </c>
      <c r="I124" s="26">
        <f t="shared" si="10"/>
        <v>8190</v>
      </c>
    </row>
    <row r="125" spans="1:10" ht="17.25" customHeight="1" x14ac:dyDescent="0.35">
      <c r="A125" s="4">
        <v>9</v>
      </c>
      <c r="B125" s="21" t="s">
        <v>231</v>
      </c>
      <c r="C125" s="24" t="s">
        <v>232</v>
      </c>
      <c r="D125" s="21">
        <v>3</v>
      </c>
      <c r="E125" s="4">
        <v>2.25</v>
      </c>
      <c r="F125" s="4">
        <v>65</v>
      </c>
      <c r="G125" s="4">
        <v>50</v>
      </c>
      <c r="H125" s="4">
        <v>12900</v>
      </c>
      <c r="I125" s="26">
        <f t="shared" si="10"/>
        <v>8127</v>
      </c>
    </row>
    <row r="126" spans="1:10" ht="17.25" customHeight="1" x14ac:dyDescent="0.35">
      <c r="A126" s="4">
        <v>10</v>
      </c>
      <c r="B126" s="21" t="s">
        <v>233</v>
      </c>
      <c r="C126" s="24" t="s">
        <v>234</v>
      </c>
      <c r="D126" s="21">
        <v>3</v>
      </c>
      <c r="E126" s="4">
        <v>2.25</v>
      </c>
      <c r="F126" s="4">
        <v>65</v>
      </c>
      <c r="G126" s="4">
        <v>50</v>
      </c>
      <c r="H126" s="4">
        <v>19300</v>
      </c>
      <c r="I126" s="26">
        <f t="shared" si="10"/>
        <v>12159</v>
      </c>
    </row>
    <row r="127" spans="1:10" ht="17.25" customHeight="1" x14ac:dyDescent="0.35">
      <c r="A127" s="4">
        <v>11</v>
      </c>
      <c r="B127" s="21" t="s">
        <v>235</v>
      </c>
      <c r="C127" s="24" t="s">
        <v>236</v>
      </c>
      <c r="D127" s="21">
        <v>5</v>
      </c>
      <c r="E127" s="1">
        <v>3.75</v>
      </c>
      <c r="F127" s="4">
        <v>65</v>
      </c>
      <c r="G127" s="4">
        <v>50</v>
      </c>
      <c r="H127" s="4">
        <v>18700</v>
      </c>
      <c r="I127" s="26">
        <f t="shared" si="10"/>
        <v>11781</v>
      </c>
    </row>
    <row r="128" spans="1:10" ht="17.25" customHeight="1" x14ac:dyDescent="0.35">
      <c r="A128" s="4">
        <v>12</v>
      </c>
      <c r="B128" s="21" t="s">
        <v>237</v>
      </c>
      <c r="C128" s="24" t="s">
        <v>238</v>
      </c>
      <c r="D128" s="21">
        <v>5</v>
      </c>
      <c r="E128" s="1">
        <v>3.75</v>
      </c>
      <c r="F128" s="4">
        <v>65</v>
      </c>
      <c r="G128" s="4">
        <v>50</v>
      </c>
      <c r="H128" s="4">
        <v>22900</v>
      </c>
      <c r="I128" s="26">
        <f t="shared" si="10"/>
        <v>14427</v>
      </c>
    </row>
    <row r="129" spans="1:9" ht="17.25" customHeight="1" x14ac:dyDescent="0.35">
      <c r="A129" s="300" t="s">
        <v>239</v>
      </c>
      <c r="B129" s="300"/>
      <c r="C129" s="300"/>
      <c r="D129" s="300"/>
      <c r="E129" s="300"/>
      <c r="F129" s="300"/>
      <c r="G129" s="300"/>
      <c r="H129" s="207" t="s">
        <v>109</v>
      </c>
      <c r="I129" s="130" t="s">
        <v>334</v>
      </c>
    </row>
    <row r="130" spans="1:9" ht="17.25" customHeight="1" x14ac:dyDescent="0.35">
      <c r="A130" s="287" t="s">
        <v>2</v>
      </c>
      <c r="B130" s="287" t="s">
        <v>3</v>
      </c>
      <c r="C130" s="298" t="s">
        <v>4</v>
      </c>
      <c r="D130" s="287" t="s">
        <v>5</v>
      </c>
      <c r="E130" s="287"/>
      <c r="F130" s="272" t="s">
        <v>6</v>
      </c>
      <c r="G130" s="273"/>
      <c r="H130" s="259"/>
      <c r="I130" s="323">
        <v>0.37</v>
      </c>
    </row>
    <row r="131" spans="1:9" ht="17.25" customHeight="1" x14ac:dyDescent="0.35">
      <c r="A131" s="287"/>
      <c r="B131" s="287"/>
      <c r="C131" s="298"/>
      <c r="D131" s="11" t="s">
        <v>9</v>
      </c>
      <c r="E131" s="11" t="s">
        <v>10</v>
      </c>
      <c r="F131" s="274"/>
      <c r="G131" s="275"/>
      <c r="H131" s="208"/>
      <c r="I131" s="324"/>
    </row>
    <row r="132" spans="1:9" ht="17.25" customHeight="1" x14ac:dyDescent="0.35">
      <c r="A132" s="4">
        <v>1</v>
      </c>
      <c r="B132" s="4" t="s">
        <v>240</v>
      </c>
      <c r="C132" s="25" t="s">
        <v>241</v>
      </c>
      <c r="D132" s="4">
        <v>0.5</v>
      </c>
      <c r="E132" s="4"/>
      <c r="F132" s="292">
        <v>32</v>
      </c>
      <c r="G132" s="292"/>
      <c r="H132" s="4">
        <v>8240</v>
      </c>
      <c r="I132" s="26">
        <f>H132*0.63</f>
        <v>5191.2</v>
      </c>
    </row>
    <row r="133" spans="1:9" ht="17.25" customHeight="1" x14ac:dyDescent="0.35">
      <c r="A133" s="4">
        <v>2</v>
      </c>
      <c r="B133" s="4" t="s">
        <v>242</v>
      </c>
      <c r="C133" s="25" t="s">
        <v>243</v>
      </c>
      <c r="D133" s="4">
        <v>0.5</v>
      </c>
      <c r="E133" s="4"/>
      <c r="F133" s="292">
        <v>32</v>
      </c>
      <c r="G133" s="292"/>
      <c r="H133" s="4">
        <v>8450</v>
      </c>
      <c r="I133" s="26">
        <f t="shared" ref="I133:I154" si="11">H133*0.63</f>
        <v>5323.5</v>
      </c>
    </row>
    <row r="134" spans="1:9" ht="17.25" customHeight="1" x14ac:dyDescent="0.35">
      <c r="A134" s="4">
        <v>3</v>
      </c>
      <c r="B134" s="4" t="s">
        <v>244</v>
      </c>
      <c r="C134" s="25" t="s">
        <v>245</v>
      </c>
      <c r="D134" s="4">
        <v>0.75</v>
      </c>
      <c r="E134" s="4"/>
      <c r="F134" s="292">
        <v>32</v>
      </c>
      <c r="G134" s="292"/>
      <c r="H134" s="4">
        <v>8550</v>
      </c>
      <c r="I134" s="26">
        <f t="shared" si="11"/>
        <v>5386.5</v>
      </c>
    </row>
    <row r="135" spans="1:9" ht="17.25" customHeight="1" x14ac:dyDescent="0.35">
      <c r="A135" s="4">
        <v>4</v>
      </c>
      <c r="B135" s="4" t="s">
        <v>246</v>
      </c>
      <c r="C135" s="25" t="s">
        <v>247</v>
      </c>
      <c r="D135" s="4">
        <v>0.75</v>
      </c>
      <c r="E135" s="4"/>
      <c r="F135" s="292">
        <v>32</v>
      </c>
      <c r="G135" s="292"/>
      <c r="H135" s="4">
        <v>8750</v>
      </c>
      <c r="I135" s="26">
        <f t="shared" si="11"/>
        <v>5512.5</v>
      </c>
    </row>
    <row r="136" spans="1:9" ht="17.25" customHeight="1" x14ac:dyDescent="0.35">
      <c r="A136" s="4">
        <v>5</v>
      </c>
      <c r="B136" s="4" t="s">
        <v>248</v>
      </c>
      <c r="C136" s="25" t="s">
        <v>249</v>
      </c>
      <c r="D136" s="4">
        <v>1</v>
      </c>
      <c r="E136" s="4"/>
      <c r="F136" s="292">
        <v>32</v>
      </c>
      <c r="G136" s="292"/>
      <c r="H136" s="26">
        <v>8800</v>
      </c>
      <c r="I136" s="26">
        <f t="shared" si="11"/>
        <v>5544</v>
      </c>
    </row>
    <row r="137" spans="1:9" ht="17.25" customHeight="1" x14ac:dyDescent="0.35">
      <c r="A137" s="4">
        <v>6</v>
      </c>
      <c r="B137" s="4" t="s">
        <v>250</v>
      </c>
      <c r="C137" s="25" t="s">
        <v>251</v>
      </c>
      <c r="D137" s="4">
        <v>1</v>
      </c>
      <c r="E137" s="4"/>
      <c r="F137" s="292">
        <v>32</v>
      </c>
      <c r="G137" s="292"/>
      <c r="H137" s="26">
        <v>9000</v>
      </c>
      <c r="I137" s="26">
        <f t="shared" si="11"/>
        <v>5670</v>
      </c>
    </row>
    <row r="138" spans="1:9" ht="17.25" customHeight="1" x14ac:dyDescent="0.35">
      <c r="A138" s="4">
        <v>7</v>
      </c>
      <c r="B138" s="4" t="s">
        <v>252</v>
      </c>
      <c r="C138" s="25" t="s">
        <v>253</v>
      </c>
      <c r="D138" s="4">
        <v>1</v>
      </c>
      <c r="E138" s="4"/>
      <c r="F138" s="292">
        <v>32</v>
      </c>
      <c r="G138" s="292"/>
      <c r="H138" s="4">
        <v>9480</v>
      </c>
      <c r="I138" s="26">
        <f t="shared" si="11"/>
        <v>5972.4</v>
      </c>
    </row>
    <row r="139" spans="1:9" ht="17.25" customHeight="1" x14ac:dyDescent="0.35">
      <c r="A139" s="4">
        <v>8</v>
      </c>
      <c r="B139" s="4" t="s">
        <v>254</v>
      </c>
      <c r="C139" s="25" t="s">
        <v>255</v>
      </c>
      <c r="D139" s="4">
        <v>1</v>
      </c>
      <c r="E139" s="4"/>
      <c r="F139" s="292">
        <v>32</v>
      </c>
      <c r="G139" s="292"/>
      <c r="H139" s="4">
        <v>9790</v>
      </c>
      <c r="I139" s="26">
        <f t="shared" si="11"/>
        <v>6167.7</v>
      </c>
    </row>
    <row r="140" spans="1:9" ht="17.25" customHeight="1" x14ac:dyDescent="0.35">
      <c r="A140" s="4">
        <v>9</v>
      </c>
      <c r="B140" s="4" t="s">
        <v>256</v>
      </c>
      <c r="C140" s="25" t="s">
        <v>257</v>
      </c>
      <c r="D140" s="4">
        <v>1.5</v>
      </c>
      <c r="E140" s="4"/>
      <c r="F140" s="292">
        <v>32</v>
      </c>
      <c r="G140" s="292"/>
      <c r="H140" s="4">
        <v>11330</v>
      </c>
      <c r="I140" s="26">
        <f t="shared" si="11"/>
        <v>7137.9</v>
      </c>
    </row>
    <row r="141" spans="1:9" ht="17.25" customHeight="1" x14ac:dyDescent="0.35">
      <c r="A141" s="4">
        <v>10</v>
      </c>
      <c r="B141" s="4" t="s">
        <v>258</v>
      </c>
      <c r="C141" s="25" t="s">
        <v>259</v>
      </c>
      <c r="D141" s="4">
        <v>1.5</v>
      </c>
      <c r="E141" s="4"/>
      <c r="F141" s="292">
        <v>32</v>
      </c>
      <c r="G141" s="292"/>
      <c r="H141" s="4">
        <v>11640</v>
      </c>
      <c r="I141" s="26">
        <f t="shared" si="11"/>
        <v>7333.2</v>
      </c>
    </row>
    <row r="142" spans="1:9" ht="17.25" customHeight="1" x14ac:dyDescent="0.35">
      <c r="A142" s="4">
        <v>11</v>
      </c>
      <c r="B142" s="4" t="s">
        <v>260</v>
      </c>
      <c r="C142" s="25" t="s">
        <v>261</v>
      </c>
      <c r="D142" s="4">
        <v>1.5</v>
      </c>
      <c r="E142" s="4"/>
      <c r="F142" s="292">
        <v>32</v>
      </c>
      <c r="G142" s="292"/>
      <c r="H142" s="4">
        <v>11800</v>
      </c>
      <c r="I142" s="26">
        <f t="shared" si="11"/>
        <v>7434</v>
      </c>
    </row>
    <row r="143" spans="1:9" ht="17.25" customHeight="1" x14ac:dyDescent="0.35">
      <c r="A143" s="4">
        <v>12</v>
      </c>
      <c r="B143" s="4" t="s">
        <v>262</v>
      </c>
      <c r="C143" s="25" t="s">
        <v>263</v>
      </c>
      <c r="D143" s="4">
        <v>1.5</v>
      </c>
      <c r="E143" s="4"/>
      <c r="F143" s="292">
        <v>32</v>
      </c>
      <c r="G143" s="292"/>
      <c r="H143" s="4">
        <v>12670</v>
      </c>
      <c r="I143" s="26">
        <f t="shared" si="11"/>
        <v>7982.1</v>
      </c>
    </row>
    <row r="144" spans="1:9" ht="17.25" customHeight="1" x14ac:dyDescent="0.35">
      <c r="A144" s="4">
        <v>13</v>
      </c>
      <c r="B144" s="4" t="s">
        <v>264</v>
      </c>
      <c r="C144" s="25" t="s">
        <v>265</v>
      </c>
      <c r="D144" s="4">
        <v>2</v>
      </c>
      <c r="E144" s="4"/>
      <c r="F144" s="292">
        <v>40</v>
      </c>
      <c r="G144" s="292"/>
      <c r="H144" s="4">
        <v>14730</v>
      </c>
      <c r="I144" s="26">
        <f t="shared" si="11"/>
        <v>9279.9</v>
      </c>
    </row>
    <row r="145" spans="1:9" ht="17.25" customHeight="1" x14ac:dyDescent="0.35">
      <c r="A145" s="4">
        <v>14</v>
      </c>
      <c r="B145" s="4" t="s">
        <v>266</v>
      </c>
      <c r="C145" s="25" t="s">
        <v>267</v>
      </c>
      <c r="D145" s="4">
        <v>2</v>
      </c>
      <c r="E145" s="4"/>
      <c r="F145" s="292">
        <v>32</v>
      </c>
      <c r="G145" s="292"/>
      <c r="H145" s="4">
        <v>15250</v>
      </c>
      <c r="I145" s="26">
        <f t="shared" si="11"/>
        <v>9607.5</v>
      </c>
    </row>
    <row r="146" spans="1:9" ht="17.25" customHeight="1" x14ac:dyDescent="0.35">
      <c r="A146" s="4">
        <v>15</v>
      </c>
      <c r="B146" s="4" t="s">
        <v>268</v>
      </c>
      <c r="C146" s="25" t="s">
        <v>269</v>
      </c>
      <c r="D146" s="4">
        <v>2</v>
      </c>
      <c r="E146" s="4"/>
      <c r="F146" s="292">
        <v>32</v>
      </c>
      <c r="G146" s="292"/>
      <c r="H146" s="4">
        <v>15860</v>
      </c>
      <c r="I146" s="26">
        <f t="shared" si="11"/>
        <v>9991.7999999999993</v>
      </c>
    </row>
    <row r="147" spans="1:9" ht="17.25" customHeight="1" x14ac:dyDescent="0.35">
      <c r="A147" s="4">
        <v>16</v>
      </c>
      <c r="B147" s="4" t="s">
        <v>270</v>
      </c>
      <c r="C147" s="25" t="s">
        <v>271</v>
      </c>
      <c r="D147" s="4">
        <v>2</v>
      </c>
      <c r="E147" s="4"/>
      <c r="F147" s="292">
        <v>32</v>
      </c>
      <c r="G147" s="292"/>
      <c r="H147" s="4">
        <v>15970</v>
      </c>
      <c r="I147" s="26">
        <f t="shared" si="11"/>
        <v>10061.1</v>
      </c>
    </row>
    <row r="148" spans="1:9" ht="17.25" customHeight="1" x14ac:dyDescent="0.35">
      <c r="A148" s="4">
        <v>17</v>
      </c>
      <c r="B148" s="4" t="s">
        <v>272</v>
      </c>
      <c r="C148" s="25" t="s">
        <v>273</v>
      </c>
      <c r="D148" s="4">
        <v>2</v>
      </c>
      <c r="E148" s="4"/>
      <c r="F148" s="292">
        <v>32</v>
      </c>
      <c r="G148" s="292"/>
      <c r="H148" s="4">
        <v>16480</v>
      </c>
      <c r="I148" s="26">
        <f t="shared" si="11"/>
        <v>10382.4</v>
      </c>
    </row>
    <row r="149" spans="1:9" ht="17.25" customHeight="1" x14ac:dyDescent="0.35">
      <c r="A149" s="4">
        <v>18</v>
      </c>
      <c r="B149" s="4" t="s">
        <v>274</v>
      </c>
      <c r="C149" s="25" t="s">
        <v>275</v>
      </c>
      <c r="D149" s="4">
        <v>2</v>
      </c>
      <c r="E149" s="4"/>
      <c r="F149" s="292">
        <v>65</v>
      </c>
      <c r="G149" s="292"/>
      <c r="H149" s="4">
        <v>14940</v>
      </c>
      <c r="I149" s="26">
        <f t="shared" si="11"/>
        <v>9412.2000000000007</v>
      </c>
    </row>
    <row r="150" spans="1:9" ht="17.25" customHeight="1" x14ac:dyDescent="0.35">
      <c r="A150" s="4">
        <v>19</v>
      </c>
      <c r="B150" s="4" t="s">
        <v>276</v>
      </c>
      <c r="C150" s="25" t="s">
        <v>277</v>
      </c>
      <c r="D150" s="4">
        <v>3</v>
      </c>
      <c r="E150" s="4"/>
      <c r="F150" s="292">
        <v>32</v>
      </c>
      <c r="G150" s="292"/>
      <c r="H150" s="4">
        <v>23500</v>
      </c>
      <c r="I150" s="26">
        <f t="shared" si="11"/>
        <v>14805</v>
      </c>
    </row>
    <row r="151" spans="1:9" ht="17.25" customHeight="1" x14ac:dyDescent="0.35">
      <c r="A151" s="4">
        <v>20</v>
      </c>
      <c r="B151" s="4" t="s">
        <v>278</v>
      </c>
      <c r="C151" s="25" t="s">
        <v>279</v>
      </c>
      <c r="D151" s="4">
        <v>3</v>
      </c>
      <c r="E151" s="4"/>
      <c r="F151" s="292">
        <v>32</v>
      </c>
      <c r="G151" s="292"/>
      <c r="H151" s="4">
        <v>24000</v>
      </c>
      <c r="I151" s="26">
        <f t="shared" si="11"/>
        <v>15120</v>
      </c>
    </row>
    <row r="152" spans="1:9" ht="17.25" customHeight="1" x14ac:dyDescent="0.35">
      <c r="A152" s="4">
        <v>21</v>
      </c>
      <c r="B152" s="4" t="s">
        <v>280</v>
      </c>
      <c r="C152" s="25" t="s">
        <v>281</v>
      </c>
      <c r="D152" s="4">
        <v>3</v>
      </c>
      <c r="E152" s="4"/>
      <c r="F152" s="292">
        <v>32</v>
      </c>
      <c r="G152" s="292"/>
      <c r="H152" s="4">
        <v>24500</v>
      </c>
      <c r="I152" s="26">
        <f t="shared" si="11"/>
        <v>15435</v>
      </c>
    </row>
    <row r="153" spans="1:9" ht="17.25" customHeight="1" x14ac:dyDescent="0.35">
      <c r="A153" s="4">
        <v>22</v>
      </c>
      <c r="B153" s="4" t="s">
        <v>282</v>
      </c>
      <c r="C153" s="25" t="s">
        <v>283</v>
      </c>
      <c r="D153" s="4">
        <v>3</v>
      </c>
      <c r="E153" s="4"/>
      <c r="F153" s="292">
        <v>65</v>
      </c>
      <c r="G153" s="292"/>
      <c r="H153" s="4">
        <v>23690</v>
      </c>
      <c r="I153" s="26">
        <f t="shared" si="11"/>
        <v>14924.7</v>
      </c>
    </row>
    <row r="154" spans="1:9" ht="17.25" customHeight="1" x14ac:dyDescent="0.35">
      <c r="A154" s="4">
        <v>23</v>
      </c>
      <c r="B154" s="4" t="s">
        <v>284</v>
      </c>
      <c r="C154" s="25" t="s">
        <v>283</v>
      </c>
      <c r="D154" s="4">
        <v>3</v>
      </c>
      <c r="E154" s="4"/>
      <c r="F154" s="292">
        <v>65</v>
      </c>
      <c r="G154" s="292"/>
      <c r="H154" s="4">
        <v>15450</v>
      </c>
      <c r="I154" s="26">
        <f t="shared" si="11"/>
        <v>9733.5</v>
      </c>
    </row>
    <row r="155" spans="1:9" ht="17.25" customHeight="1" x14ac:dyDescent="0.35">
      <c r="A155" s="300" t="s">
        <v>285</v>
      </c>
      <c r="B155" s="300"/>
      <c r="C155" s="300"/>
      <c r="D155" s="300"/>
      <c r="E155" s="300"/>
      <c r="F155" s="300"/>
      <c r="G155" s="300"/>
      <c r="H155" s="207" t="s">
        <v>109</v>
      </c>
      <c r="I155" s="130" t="s">
        <v>334</v>
      </c>
    </row>
    <row r="156" spans="1:9" ht="17.25" customHeight="1" x14ac:dyDescent="0.35">
      <c r="A156" s="287" t="s">
        <v>2</v>
      </c>
      <c r="B156" s="287" t="s">
        <v>3</v>
      </c>
      <c r="C156" s="298" t="s">
        <v>4</v>
      </c>
      <c r="D156" s="287" t="s">
        <v>5</v>
      </c>
      <c r="E156" s="287"/>
      <c r="F156" s="287" t="s">
        <v>6</v>
      </c>
      <c r="G156" s="287"/>
      <c r="H156" s="259"/>
      <c r="I156" s="323">
        <v>0.37</v>
      </c>
    </row>
    <row r="157" spans="1:9" ht="17.25" customHeight="1" x14ac:dyDescent="0.35">
      <c r="A157" s="287"/>
      <c r="B157" s="287"/>
      <c r="C157" s="298"/>
      <c r="D157" s="11" t="s">
        <v>9</v>
      </c>
      <c r="E157" s="11" t="s">
        <v>10</v>
      </c>
      <c r="F157" s="11" t="s">
        <v>11</v>
      </c>
      <c r="G157" s="11" t="s">
        <v>12</v>
      </c>
      <c r="H157" s="208"/>
      <c r="I157" s="324"/>
    </row>
    <row r="158" spans="1:9" ht="17.25" customHeight="1" x14ac:dyDescent="0.35">
      <c r="A158" s="4">
        <v>1</v>
      </c>
      <c r="B158" s="4" t="s">
        <v>286</v>
      </c>
      <c r="C158" s="25" t="s">
        <v>287</v>
      </c>
      <c r="D158" s="4">
        <v>0.5</v>
      </c>
      <c r="E158" s="4"/>
      <c r="F158" s="292">
        <v>32</v>
      </c>
      <c r="G158" s="292"/>
      <c r="H158" s="4">
        <v>6800</v>
      </c>
      <c r="I158" s="26">
        <f t="shared" ref="I158:I172" si="12">H158*0.63</f>
        <v>4284</v>
      </c>
    </row>
    <row r="159" spans="1:9" ht="17.25" customHeight="1" x14ac:dyDescent="0.35">
      <c r="A159" s="4">
        <v>2</v>
      </c>
      <c r="B159" s="4" t="s">
        <v>288</v>
      </c>
      <c r="C159" s="25" t="s">
        <v>289</v>
      </c>
      <c r="D159" s="4">
        <v>0.5</v>
      </c>
      <c r="E159" s="4"/>
      <c r="F159" s="292">
        <v>32</v>
      </c>
      <c r="G159" s="292"/>
      <c r="H159" s="4">
        <v>7600</v>
      </c>
      <c r="I159" s="26">
        <f t="shared" si="12"/>
        <v>4788</v>
      </c>
    </row>
    <row r="160" spans="1:9" ht="17.25" customHeight="1" x14ac:dyDescent="0.35">
      <c r="A160" s="4">
        <v>3</v>
      </c>
      <c r="B160" s="4" t="s">
        <v>290</v>
      </c>
      <c r="C160" s="25" t="s">
        <v>291</v>
      </c>
      <c r="D160" s="4">
        <v>0.75</v>
      </c>
      <c r="E160" s="4"/>
      <c r="F160" s="292">
        <v>32</v>
      </c>
      <c r="G160" s="292"/>
      <c r="H160" s="4">
        <v>7800</v>
      </c>
      <c r="I160" s="26">
        <f t="shared" si="12"/>
        <v>4914</v>
      </c>
    </row>
    <row r="161" spans="1:9" ht="17.25" customHeight="1" x14ac:dyDescent="0.35">
      <c r="A161" s="4">
        <v>4</v>
      </c>
      <c r="B161" s="4" t="s">
        <v>292</v>
      </c>
      <c r="C161" s="25" t="s">
        <v>293</v>
      </c>
      <c r="D161" s="4">
        <v>0.75</v>
      </c>
      <c r="E161" s="4"/>
      <c r="F161" s="292">
        <v>32</v>
      </c>
      <c r="G161" s="292"/>
      <c r="H161" s="4">
        <v>8000</v>
      </c>
      <c r="I161" s="26">
        <f t="shared" si="12"/>
        <v>5040</v>
      </c>
    </row>
    <row r="162" spans="1:9" ht="17.25" customHeight="1" x14ac:dyDescent="0.35">
      <c r="A162" s="4">
        <v>5</v>
      </c>
      <c r="B162" s="4" t="s">
        <v>294</v>
      </c>
      <c r="C162" s="25" t="s">
        <v>295</v>
      </c>
      <c r="D162" s="4">
        <v>1</v>
      </c>
      <c r="E162" s="4"/>
      <c r="F162" s="292">
        <v>32</v>
      </c>
      <c r="G162" s="292"/>
      <c r="H162" s="4">
        <v>8200</v>
      </c>
      <c r="I162" s="26">
        <f t="shared" si="12"/>
        <v>5166</v>
      </c>
    </row>
    <row r="163" spans="1:9" ht="17.25" customHeight="1" x14ac:dyDescent="0.35">
      <c r="A163" s="4">
        <v>6</v>
      </c>
      <c r="B163" s="4" t="s">
        <v>296</v>
      </c>
      <c r="C163" s="25" t="s">
        <v>297</v>
      </c>
      <c r="D163" s="4">
        <v>1</v>
      </c>
      <c r="E163" s="4"/>
      <c r="F163" s="292">
        <v>32</v>
      </c>
      <c r="G163" s="292"/>
      <c r="H163" s="4">
        <v>8400</v>
      </c>
      <c r="I163" s="26">
        <f t="shared" si="12"/>
        <v>5292</v>
      </c>
    </row>
    <row r="164" spans="1:9" ht="17.25" customHeight="1" x14ac:dyDescent="0.35">
      <c r="A164" s="4">
        <v>7</v>
      </c>
      <c r="B164" s="4" t="s">
        <v>298</v>
      </c>
      <c r="C164" s="25" t="s">
        <v>299</v>
      </c>
      <c r="D164" s="4">
        <v>1</v>
      </c>
      <c r="E164" s="4"/>
      <c r="F164" s="292">
        <v>32</v>
      </c>
      <c r="G164" s="292"/>
      <c r="H164" s="4">
        <v>8600</v>
      </c>
      <c r="I164" s="26">
        <f t="shared" si="12"/>
        <v>5418</v>
      </c>
    </row>
    <row r="165" spans="1:9" ht="17.25" customHeight="1" x14ac:dyDescent="0.35">
      <c r="A165" s="4">
        <v>8</v>
      </c>
      <c r="B165" s="4" t="s">
        <v>300</v>
      </c>
      <c r="C165" s="25" t="s">
        <v>301</v>
      </c>
      <c r="D165" s="4">
        <v>1.5</v>
      </c>
      <c r="E165" s="4"/>
      <c r="F165" s="292">
        <v>32</v>
      </c>
      <c r="G165" s="292"/>
      <c r="H165" s="4">
        <v>9000</v>
      </c>
      <c r="I165" s="26">
        <f t="shared" si="12"/>
        <v>5670</v>
      </c>
    </row>
    <row r="166" spans="1:9" ht="17.25" customHeight="1" x14ac:dyDescent="0.35">
      <c r="A166" s="4">
        <v>9</v>
      </c>
      <c r="B166" s="4" t="s">
        <v>302</v>
      </c>
      <c r="C166" s="25" t="s">
        <v>303</v>
      </c>
      <c r="D166" s="4">
        <v>1.5</v>
      </c>
      <c r="E166" s="4"/>
      <c r="F166" s="292">
        <v>32</v>
      </c>
      <c r="G166" s="292"/>
      <c r="H166" s="4">
        <v>10600</v>
      </c>
      <c r="I166" s="26">
        <f t="shared" si="12"/>
        <v>6678</v>
      </c>
    </row>
    <row r="167" spans="1:9" ht="17.25" customHeight="1" x14ac:dyDescent="0.35">
      <c r="A167" s="4">
        <v>10</v>
      </c>
      <c r="B167" s="4" t="s">
        <v>304</v>
      </c>
      <c r="C167" s="25" t="s">
        <v>305</v>
      </c>
      <c r="D167" s="4">
        <v>1.5</v>
      </c>
      <c r="E167" s="4"/>
      <c r="F167" s="292">
        <v>32</v>
      </c>
      <c r="G167" s="292"/>
      <c r="H167" s="4">
        <v>11000</v>
      </c>
      <c r="I167" s="26">
        <f t="shared" si="12"/>
        <v>6930</v>
      </c>
    </row>
    <row r="168" spans="1:9" ht="17.25" customHeight="1" x14ac:dyDescent="0.35">
      <c r="A168" s="4">
        <v>11</v>
      </c>
      <c r="B168" s="4" t="s">
        <v>306</v>
      </c>
      <c r="C168" s="25" t="s">
        <v>307</v>
      </c>
      <c r="D168" s="4">
        <v>2</v>
      </c>
      <c r="E168" s="4"/>
      <c r="F168" s="292">
        <v>32</v>
      </c>
      <c r="G168" s="292"/>
      <c r="H168" s="4">
        <v>13000</v>
      </c>
      <c r="I168" s="26">
        <f t="shared" si="12"/>
        <v>8190</v>
      </c>
    </row>
    <row r="169" spans="1:9" ht="17.25" customHeight="1" x14ac:dyDescent="0.35">
      <c r="A169" s="4">
        <v>12</v>
      </c>
      <c r="B169" s="4" t="s">
        <v>308</v>
      </c>
      <c r="C169" s="25" t="s">
        <v>309</v>
      </c>
      <c r="D169" s="4">
        <v>2</v>
      </c>
      <c r="E169" s="4"/>
      <c r="F169" s="292">
        <v>32</v>
      </c>
      <c r="G169" s="292"/>
      <c r="H169" s="4">
        <v>15500</v>
      </c>
      <c r="I169" s="26">
        <f t="shared" si="12"/>
        <v>9765</v>
      </c>
    </row>
    <row r="170" spans="1:9" ht="17.25" customHeight="1" x14ac:dyDescent="0.35">
      <c r="A170" s="4">
        <v>13</v>
      </c>
      <c r="B170" s="4" t="s">
        <v>310</v>
      </c>
      <c r="C170" s="25" t="s">
        <v>311</v>
      </c>
      <c r="D170" s="4">
        <v>3</v>
      </c>
      <c r="E170" s="4"/>
      <c r="F170" s="292">
        <v>32</v>
      </c>
      <c r="G170" s="292"/>
      <c r="H170" s="4">
        <v>19000</v>
      </c>
      <c r="I170" s="26">
        <f t="shared" si="12"/>
        <v>11970</v>
      </c>
    </row>
    <row r="171" spans="1:9" ht="17.25" customHeight="1" x14ac:dyDescent="0.35">
      <c r="A171" s="4">
        <v>14</v>
      </c>
      <c r="B171" s="4" t="s">
        <v>312</v>
      </c>
      <c r="C171" s="25" t="s">
        <v>313</v>
      </c>
      <c r="D171" s="4">
        <v>3</v>
      </c>
      <c r="E171" s="4"/>
      <c r="F171" s="292">
        <v>32</v>
      </c>
      <c r="G171" s="292"/>
      <c r="H171" s="4">
        <v>20000</v>
      </c>
      <c r="I171" s="26">
        <f t="shared" si="12"/>
        <v>12600</v>
      </c>
    </row>
    <row r="172" spans="1:9" ht="17.25" customHeight="1" x14ac:dyDescent="0.35">
      <c r="A172" s="4">
        <v>15</v>
      </c>
      <c r="B172" s="4" t="s">
        <v>314</v>
      </c>
      <c r="C172" s="25" t="s">
        <v>315</v>
      </c>
      <c r="D172" s="4">
        <v>3</v>
      </c>
      <c r="E172" s="4"/>
      <c r="F172" s="292">
        <v>32</v>
      </c>
      <c r="G172" s="292"/>
      <c r="H172" s="4">
        <v>20500</v>
      </c>
      <c r="I172" s="26">
        <f t="shared" si="12"/>
        <v>12915</v>
      </c>
    </row>
  </sheetData>
  <mergeCells count="106">
    <mergeCell ref="I31:J31"/>
    <mergeCell ref="I7:J7"/>
    <mergeCell ref="I8:J8"/>
    <mergeCell ref="I9:J9"/>
    <mergeCell ref="I10:J10"/>
    <mergeCell ref="I26:J26"/>
    <mergeCell ref="I27:J27"/>
    <mergeCell ref="A1:J3"/>
    <mergeCell ref="A4:J4"/>
    <mergeCell ref="A5:A6"/>
    <mergeCell ref="B5:B6"/>
    <mergeCell ref="C5:C6"/>
    <mergeCell ref="D5:E5"/>
    <mergeCell ref="F5:G5"/>
    <mergeCell ref="H5:H6"/>
    <mergeCell ref="I5:J5"/>
    <mergeCell ref="I56:I57"/>
    <mergeCell ref="J56:J57"/>
    <mergeCell ref="D58:D59"/>
    <mergeCell ref="E58:E59"/>
    <mergeCell ref="I32:J32"/>
    <mergeCell ref="I47:J47"/>
    <mergeCell ref="A55:G55"/>
    <mergeCell ref="H55:H57"/>
    <mergeCell ref="I55:J55"/>
    <mergeCell ref="A56:A57"/>
    <mergeCell ref="B56:B57"/>
    <mergeCell ref="C56:C57"/>
    <mergeCell ref="D56:E56"/>
    <mergeCell ref="F56:G56"/>
    <mergeCell ref="D92:D103"/>
    <mergeCell ref="E92:E103"/>
    <mergeCell ref="D104:D106"/>
    <mergeCell ref="E104:E106"/>
    <mergeCell ref="D108:D109"/>
    <mergeCell ref="E108:E109"/>
    <mergeCell ref="D61:D66"/>
    <mergeCell ref="E61:E66"/>
    <mergeCell ref="D67:D73"/>
    <mergeCell ref="E67:E73"/>
    <mergeCell ref="D74:D91"/>
    <mergeCell ref="E74:E91"/>
    <mergeCell ref="I130:I131"/>
    <mergeCell ref="F136:G136"/>
    <mergeCell ref="I115:I116"/>
    <mergeCell ref="D110:D113"/>
    <mergeCell ref="E110:E113"/>
    <mergeCell ref="A114:G114"/>
    <mergeCell ref="H114:H116"/>
    <mergeCell ref="A115:A116"/>
    <mergeCell ref="B115:B116"/>
    <mergeCell ref="C115:C116"/>
    <mergeCell ref="D115:E115"/>
    <mergeCell ref="F115:G115"/>
    <mergeCell ref="F132:G132"/>
    <mergeCell ref="F133:G133"/>
    <mergeCell ref="F134:G134"/>
    <mergeCell ref="F135:G135"/>
    <mergeCell ref="A129:G129"/>
    <mergeCell ref="H129:H131"/>
    <mergeCell ref="A130:A131"/>
    <mergeCell ref="B130:B131"/>
    <mergeCell ref="C130:C131"/>
    <mergeCell ref="D130:E130"/>
    <mergeCell ref="F130:G131"/>
    <mergeCell ref="F142:G142"/>
    <mergeCell ref="F143:G143"/>
    <mergeCell ref="F144:G144"/>
    <mergeCell ref="F145:G145"/>
    <mergeCell ref="F146:G146"/>
    <mergeCell ref="F147:G147"/>
    <mergeCell ref="F137:G137"/>
    <mergeCell ref="F138:G138"/>
    <mergeCell ref="F139:G139"/>
    <mergeCell ref="F140:G140"/>
    <mergeCell ref="F141:G141"/>
    <mergeCell ref="F154:G154"/>
    <mergeCell ref="A155:G155"/>
    <mergeCell ref="H155:H157"/>
    <mergeCell ref="A156:A157"/>
    <mergeCell ref="B156:B157"/>
    <mergeCell ref="C156:C157"/>
    <mergeCell ref="D156:E156"/>
    <mergeCell ref="F156:G156"/>
    <mergeCell ref="F148:G148"/>
    <mergeCell ref="F149:G149"/>
    <mergeCell ref="F150:G150"/>
    <mergeCell ref="F151:G151"/>
    <mergeCell ref="F152:G152"/>
    <mergeCell ref="F153:G153"/>
    <mergeCell ref="I156:I157"/>
    <mergeCell ref="F167:G167"/>
    <mergeCell ref="F168:G168"/>
    <mergeCell ref="F169:G169"/>
    <mergeCell ref="F170:G170"/>
    <mergeCell ref="F171:G171"/>
    <mergeCell ref="F172:G172"/>
    <mergeCell ref="F161:G161"/>
    <mergeCell ref="F162:G162"/>
    <mergeCell ref="F163:G163"/>
    <mergeCell ref="F164:G164"/>
    <mergeCell ref="F165:G165"/>
    <mergeCell ref="F166:G166"/>
    <mergeCell ref="F158:G158"/>
    <mergeCell ref="F159:G159"/>
    <mergeCell ref="F160:G160"/>
  </mergeCells>
  <conditionalFormatting sqref="B1:B172">
    <cfRule type="duplicateValues" dxfId="15" priority="1"/>
    <cfRule type="duplicateValues" dxfId="14" priority="2"/>
  </conditionalFormatting>
  <pageMargins left="0.7" right="0.7" top="0.75" bottom="0.75" header="0.3" footer="0.3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J172"/>
  <sheetViews>
    <sheetView topLeftCell="A106" workbookViewId="0">
      <selection activeCell="I118" sqref="I118:J118"/>
    </sheetView>
  </sheetViews>
  <sheetFormatPr defaultRowHeight="16.5" customHeight="1" x14ac:dyDescent="0.35"/>
  <cols>
    <col min="2" max="2" width="14.7265625" customWidth="1"/>
    <col min="3" max="3" width="18.453125" customWidth="1"/>
  </cols>
  <sheetData>
    <row r="1" spans="1:10" ht="16.5" customHeight="1" x14ac:dyDescent="0.35">
      <c r="A1" s="203" t="s">
        <v>0</v>
      </c>
      <c r="B1" s="204"/>
      <c r="C1" s="204"/>
      <c r="D1" s="204"/>
      <c r="E1" s="204"/>
      <c r="F1" s="204"/>
      <c r="G1" s="204"/>
      <c r="H1" s="204"/>
      <c r="I1" s="204"/>
      <c r="J1" s="204"/>
    </row>
    <row r="2" spans="1:10" ht="16.5" customHeight="1" x14ac:dyDescent="0.35">
      <c r="A2" s="203"/>
      <c r="B2" s="204"/>
      <c r="C2" s="204"/>
      <c r="D2" s="204"/>
      <c r="E2" s="204"/>
      <c r="F2" s="204"/>
      <c r="G2" s="204"/>
      <c r="H2" s="204"/>
      <c r="I2" s="204"/>
      <c r="J2" s="204"/>
    </row>
    <row r="3" spans="1:10" ht="16.5" customHeight="1" x14ac:dyDescent="0.35">
      <c r="A3" s="203"/>
      <c r="B3" s="204"/>
      <c r="C3" s="204"/>
      <c r="D3" s="204"/>
      <c r="E3" s="204"/>
      <c r="F3" s="204"/>
      <c r="G3" s="204"/>
      <c r="H3" s="204"/>
      <c r="I3" s="204"/>
      <c r="J3" s="204"/>
    </row>
    <row r="4" spans="1:10" ht="24.75" customHeight="1" x14ac:dyDescent="0.35">
      <c r="A4" s="313" t="s">
        <v>542</v>
      </c>
      <c r="B4" s="314"/>
      <c r="C4" s="314"/>
      <c r="D4" s="314"/>
      <c r="E4" s="314"/>
      <c r="F4" s="314"/>
      <c r="G4" s="314"/>
      <c r="H4" s="314"/>
      <c r="I4" s="314"/>
      <c r="J4" s="314"/>
    </row>
    <row r="5" spans="1:10" ht="16.5" customHeight="1" x14ac:dyDescent="0.35">
      <c r="A5" s="287" t="s">
        <v>2</v>
      </c>
      <c r="B5" s="287" t="s">
        <v>3</v>
      </c>
      <c r="C5" s="287" t="s">
        <v>4</v>
      </c>
      <c r="D5" s="287" t="s">
        <v>5</v>
      </c>
      <c r="E5" s="287"/>
      <c r="F5" s="287" t="s">
        <v>6</v>
      </c>
      <c r="G5" s="287"/>
      <c r="H5" s="287" t="s">
        <v>7</v>
      </c>
      <c r="I5" s="315" t="s">
        <v>334</v>
      </c>
      <c r="J5" s="315"/>
    </row>
    <row r="6" spans="1:10" ht="16.5" customHeight="1" x14ac:dyDescent="0.35">
      <c r="A6" s="287"/>
      <c r="B6" s="287"/>
      <c r="C6" s="287"/>
      <c r="D6" s="11" t="s">
        <v>9</v>
      </c>
      <c r="E6" s="11" t="s">
        <v>10</v>
      </c>
      <c r="F6" s="11" t="s">
        <v>11</v>
      </c>
      <c r="G6" s="11" t="s">
        <v>12</v>
      </c>
      <c r="H6" s="287"/>
      <c r="I6" s="41">
        <v>0.33</v>
      </c>
      <c r="J6" s="41">
        <v>0.02</v>
      </c>
    </row>
    <row r="7" spans="1:10" ht="16.5" customHeight="1" x14ac:dyDescent="0.35">
      <c r="A7" s="6">
        <v>1</v>
      </c>
      <c r="B7" s="4" t="s">
        <v>13</v>
      </c>
      <c r="C7" s="12" t="s">
        <v>14</v>
      </c>
      <c r="D7" s="2">
        <v>0.5</v>
      </c>
      <c r="E7" s="2">
        <v>0.37</v>
      </c>
      <c r="F7" s="2">
        <v>25</v>
      </c>
      <c r="G7" s="2">
        <v>25</v>
      </c>
      <c r="H7" s="13">
        <v>2640</v>
      </c>
      <c r="I7" s="297">
        <f>H7*0.63</f>
        <v>1663.2</v>
      </c>
      <c r="J7" s="297"/>
    </row>
    <row r="8" spans="1:10" ht="16.5" customHeight="1" x14ac:dyDescent="0.35">
      <c r="A8" s="6">
        <v>2</v>
      </c>
      <c r="B8" s="4" t="s">
        <v>15</v>
      </c>
      <c r="C8" s="12" t="s">
        <v>16</v>
      </c>
      <c r="D8" s="2">
        <v>1</v>
      </c>
      <c r="E8" s="2">
        <v>0.75</v>
      </c>
      <c r="F8" s="2">
        <v>25</v>
      </c>
      <c r="G8" s="2">
        <v>25</v>
      </c>
      <c r="H8" s="13">
        <v>3420</v>
      </c>
      <c r="I8" s="297">
        <f>H8*0.63</f>
        <v>2154.6</v>
      </c>
      <c r="J8" s="297"/>
    </row>
    <row r="9" spans="1:10" ht="16.5" customHeight="1" x14ac:dyDescent="0.35">
      <c r="A9" s="4">
        <v>3</v>
      </c>
      <c r="B9" s="4" t="s">
        <v>17</v>
      </c>
      <c r="C9" s="12" t="s">
        <v>18</v>
      </c>
      <c r="D9" s="2">
        <v>0.5</v>
      </c>
      <c r="E9" s="2">
        <v>0.37</v>
      </c>
      <c r="F9" s="2">
        <v>25</v>
      </c>
      <c r="G9" s="2">
        <v>25</v>
      </c>
      <c r="H9" s="13">
        <v>2840</v>
      </c>
      <c r="I9" s="297">
        <f>H9*0.63</f>
        <v>1789.2</v>
      </c>
      <c r="J9" s="297"/>
    </row>
    <row r="10" spans="1:10" ht="16.5" customHeight="1" x14ac:dyDescent="0.35">
      <c r="A10" s="6">
        <v>4</v>
      </c>
      <c r="B10" s="4" t="s">
        <v>19</v>
      </c>
      <c r="C10" s="12" t="s">
        <v>20</v>
      </c>
      <c r="D10" s="2">
        <v>1</v>
      </c>
      <c r="E10" s="2">
        <v>0.75</v>
      </c>
      <c r="F10" s="2">
        <v>25</v>
      </c>
      <c r="G10" s="2">
        <v>25</v>
      </c>
      <c r="H10" s="13">
        <v>3660</v>
      </c>
      <c r="I10" s="297">
        <f>H10*0.63</f>
        <v>2305.8000000000002</v>
      </c>
      <c r="J10" s="297"/>
    </row>
    <row r="11" spans="1:10" ht="16.5" customHeight="1" x14ac:dyDescent="0.35">
      <c r="A11" s="6">
        <v>5</v>
      </c>
      <c r="B11" s="6" t="s">
        <v>21</v>
      </c>
      <c r="C11" s="14" t="s">
        <v>22</v>
      </c>
      <c r="D11" s="2">
        <v>0.5</v>
      </c>
      <c r="E11" s="2">
        <v>0.37</v>
      </c>
      <c r="F11" s="2">
        <v>25</v>
      </c>
      <c r="G11" s="2">
        <v>25</v>
      </c>
      <c r="H11" s="8">
        <v>3160</v>
      </c>
      <c r="I11" s="26">
        <f>H11*0.67</f>
        <v>2117.2000000000003</v>
      </c>
      <c r="J11" s="26">
        <f>I11*0.98</f>
        <v>2074.8560000000002</v>
      </c>
    </row>
    <row r="12" spans="1:10" ht="16.5" customHeight="1" x14ac:dyDescent="0.35">
      <c r="A12" s="6">
        <v>6</v>
      </c>
      <c r="B12" s="6" t="s">
        <v>23</v>
      </c>
      <c r="C12" s="14" t="s">
        <v>24</v>
      </c>
      <c r="D12" s="2">
        <v>1</v>
      </c>
      <c r="E12" s="2">
        <v>0.75</v>
      </c>
      <c r="F12" s="2">
        <v>25</v>
      </c>
      <c r="G12" s="2">
        <v>25</v>
      </c>
      <c r="H12" s="8">
        <v>4120</v>
      </c>
      <c r="I12" s="26">
        <f t="shared" ref="I12:I25" si="0">H12*0.67</f>
        <v>2760.4</v>
      </c>
      <c r="J12" s="26">
        <f t="shared" ref="J12:J25" si="1">I12*0.98</f>
        <v>2705.192</v>
      </c>
    </row>
    <row r="13" spans="1:10" ht="16.5" customHeight="1" x14ac:dyDescent="0.35">
      <c r="A13" s="4">
        <v>7</v>
      </c>
      <c r="B13" s="4" t="s">
        <v>25</v>
      </c>
      <c r="C13" s="12" t="s">
        <v>26</v>
      </c>
      <c r="D13" s="2">
        <v>1.5</v>
      </c>
      <c r="E13" s="2">
        <v>1</v>
      </c>
      <c r="F13" s="2">
        <v>25</v>
      </c>
      <c r="G13" s="2">
        <v>25</v>
      </c>
      <c r="H13" s="8">
        <v>5750</v>
      </c>
      <c r="I13" s="26">
        <f t="shared" si="0"/>
        <v>3852.5000000000005</v>
      </c>
      <c r="J13" s="26">
        <f t="shared" si="1"/>
        <v>3775.4500000000003</v>
      </c>
    </row>
    <row r="14" spans="1:10" ht="16.5" customHeight="1" x14ac:dyDescent="0.35">
      <c r="A14" s="6">
        <v>8</v>
      </c>
      <c r="B14" s="6" t="s">
        <v>27</v>
      </c>
      <c r="C14" s="14" t="s">
        <v>28</v>
      </c>
      <c r="D14" s="2">
        <v>0.5</v>
      </c>
      <c r="E14" s="2">
        <v>0.37</v>
      </c>
      <c r="F14" s="2">
        <v>25</v>
      </c>
      <c r="G14" s="2">
        <v>25</v>
      </c>
      <c r="H14" s="8">
        <v>3520</v>
      </c>
      <c r="I14" s="26">
        <f t="shared" si="0"/>
        <v>2358.4</v>
      </c>
      <c r="J14" s="26">
        <f t="shared" si="1"/>
        <v>2311.232</v>
      </c>
    </row>
    <row r="15" spans="1:10" ht="16.5" customHeight="1" x14ac:dyDescent="0.35">
      <c r="A15" s="6">
        <v>9</v>
      </c>
      <c r="B15" s="4" t="s">
        <v>29</v>
      </c>
      <c r="C15" s="15" t="s">
        <v>30</v>
      </c>
      <c r="D15" s="2">
        <v>1</v>
      </c>
      <c r="E15" s="2">
        <v>0.75</v>
      </c>
      <c r="F15" s="2">
        <v>25</v>
      </c>
      <c r="G15" s="2">
        <v>25</v>
      </c>
      <c r="H15" s="8">
        <v>3660</v>
      </c>
      <c r="I15" s="26">
        <f t="shared" si="0"/>
        <v>2452.2000000000003</v>
      </c>
      <c r="J15" s="26">
        <f t="shared" si="1"/>
        <v>2403.1560000000004</v>
      </c>
    </row>
    <row r="16" spans="1:10" ht="16.5" customHeight="1" x14ac:dyDescent="0.35">
      <c r="A16" s="6">
        <v>10</v>
      </c>
      <c r="B16" s="4" t="s">
        <v>31</v>
      </c>
      <c r="C16" s="12" t="s">
        <v>32</v>
      </c>
      <c r="D16" s="2">
        <v>1</v>
      </c>
      <c r="E16" s="2">
        <v>0.75</v>
      </c>
      <c r="F16" s="2">
        <v>25</v>
      </c>
      <c r="G16" s="2">
        <v>25</v>
      </c>
      <c r="H16" s="8">
        <v>4220</v>
      </c>
      <c r="I16" s="26">
        <f t="shared" si="0"/>
        <v>2827.4</v>
      </c>
      <c r="J16" s="26">
        <f t="shared" si="1"/>
        <v>2770.8519999999999</v>
      </c>
    </row>
    <row r="17" spans="1:10" ht="16.5" customHeight="1" x14ac:dyDescent="0.35">
      <c r="A17" s="4">
        <v>11</v>
      </c>
      <c r="B17" s="6" t="s">
        <v>33</v>
      </c>
      <c r="C17" s="14" t="s">
        <v>34</v>
      </c>
      <c r="D17" s="2">
        <v>0.75</v>
      </c>
      <c r="E17" s="2">
        <v>0.56000000000000005</v>
      </c>
      <c r="F17" s="2">
        <v>25</v>
      </c>
      <c r="G17" s="2">
        <v>25</v>
      </c>
      <c r="H17" s="8">
        <v>4080</v>
      </c>
      <c r="I17" s="26">
        <f t="shared" si="0"/>
        <v>2733.6000000000004</v>
      </c>
      <c r="J17" s="26">
        <f t="shared" si="1"/>
        <v>2678.9280000000003</v>
      </c>
    </row>
    <row r="18" spans="1:10" ht="16.5" customHeight="1" x14ac:dyDescent="0.35">
      <c r="A18" s="6">
        <v>12</v>
      </c>
      <c r="B18" s="4" t="s">
        <v>35</v>
      </c>
      <c r="C18" s="16" t="s">
        <v>36</v>
      </c>
      <c r="D18" s="2">
        <v>1</v>
      </c>
      <c r="E18" s="2">
        <v>0.75</v>
      </c>
      <c r="F18" s="2">
        <v>25</v>
      </c>
      <c r="G18" s="2">
        <v>25</v>
      </c>
      <c r="H18" s="8">
        <v>4730</v>
      </c>
      <c r="I18" s="26">
        <f t="shared" si="0"/>
        <v>3169.1000000000004</v>
      </c>
      <c r="J18" s="26">
        <f t="shared" si="1"/>
        <v>3105.7180000000003</v>
      </c>
    </row>
    <row r="19" spans="1:10" ht="16.5" customHeight="1" x14ac:dyDescent="0.35">
      <c r="A19" s="6">
        <v>13</v>
      </c>
      <c r="B19" s="4" t="s">
        <v>37</v>
      </c>
      <c r="C19" s="16" t="s">
        <v>38</v>
      </c>
      <c r="D19" s="2">
        <v>1</v>
      </c>
      <c r="E19" s="2">
        <v>0.75</v>
      </c>
      <c r="F19" s="2">
        <v>25</v>
      </c>
      <c r="G19" s="2">
        <v>25</v>
      </c>
      <c r="H19" s="8">
        <v>4730</v>
      </c>
      <c r="I19" s="26">
        <f t="shared" si="0"/>
        <v>3169.1000000000004</v>
      </c>
      <c r="J19" s="26">
        <f t="shared" si="1"/>
        <v>3105.7180000000003</v>
      </c>
    </row>
    <row r="20" spans="1:10" ht="16.5" customHeight="1" x14ac:dyDescent="0.35">
      <c r="A20" s="6">
        <v>14</v>
      </c>
      <c r="B20" s="6" t="s">
        <v>39</v>
      </c>
      <c r="C20" s="14" t="s">
        <v>40</v>
      </c>
      <c r="D20" s="2">
        <v>1</v>
      </c>
      <c r="E20" s="2">
        <v>0.75</v>
      </c>
      <c r="F20" s="2">
        <v>25</v>
      </c>
      <c r="G20" s="2">
        <v>25</v>
      </c>
      <c r="H20" s="8">
        <v>5170</v>
      </c>
      <c r="I20" s="26">
        <f t="shared" si="0"/>
        <v>3463.9</v>
      </c>
      <c r="J20" s="26">
        <f t="shared" si="1"/>
        <v>3394.6219999999998</v>
      </c>
    </row>
    <row r="21" spans="1:10" ht="16.5" customHeight="1" x14ac:dyDescent="0.35">
      <c r="A21" s="4">
        <v>15</v>
      </c>
      <c r="B21" s="6" t="s">
        <v>41</v>
      </c>
      <c r="C21" s="14" t="s">
        <v>42</v>
      </c>
      <c r="D21" s="2">
        <v>1</v>
      </c>
      <c r="E21" s="2">
        <v>0.75</v>
      </c>
      <c r="F21" s="2">
        <v>25</v>
      </c>
      <c r="G21" s="2">
        <v>25</v>
      </c>
      <c r="H21" s="8">
        <v>4670</v>
      </c>
      <c r="I21" s="26">
        <f t="shared" si="0"/>
        <v>3128.9</v>
      </c>
      <c r="J21" s="26">
        <f t="shared" si="1"/>
        <v>3066.3220000000001</v>
      </c>
    </row>
    <row r="22" spans="1:10" ht="16.5" customHeight="1" x14ac:dyDescent="0.35">
      <c r="A22" s="6">
        <v>16</v>
      </c>
      <c r="B22" s="4" t="s">
        <v>43</v>
      </c>
      <c r="C22" s="12" t="s">
        <v>44</v>
      </c>
      <c r="D22" s="2">
        <v>1.2</v>
      </c>
      <c r="E22" s="2">
        <v>0.9</v>
      </c>
      <c r="F22" s="2">
        <v>25</v>
      </c>
      <c r="G22" s="2">
        <v>25</v>
      </c>
      <c r="H22" s="8">
        <v>6650</v>
      </c>
      <c r="I22" s="26">
        <f t="shared" si="0"/>
        <v>4455.5</v>
      </c>
      <c r="J22" s="26">
        <f t="shared" si="1"/>
        <v>4366.3900000000003</v>
      </c>
    </row>
    <row r="23" spans="1:10" ht="16.5" customHeight="1" x14ac:dyDescent="0.35">
      <c r="A23" s="6">
        <v>17</v>
      </c>
      <c r="B23" s="6" t="s">
        <v>45</v>
      </c>
      <c r="C23" s="14" t="s">
        <v>46</v>
      </c>
      <c r="D23" s="2">
        <v>1.5</v>
      </c>
      <c r="E23" s="2">
        <v>1.1000000000000001</v>
      </c>
      <c r="F23" s="2">
        <v>25</v>
      </c>
      <c r="G23" s="2">
        <v>25</v>
      </c>
      <c r="H23" s="8">
        <v>8150</v>
      </c>
      <c r="I23" s="26">
        <f t="shared" si="0"/>
        <v>5460.5</v>
      </c>
      <c r="J23" s="26">
        <f t="shared" si="1"/>
        <v>5351.29</v>
      </c>
    </row>
    <row r="24" spans="1:10" ht="16.5" customHeight="1" x14ac:dyDescent="0.35">
      <c r="A24" s="6">
        <v>18</v>
      </c>
      <c r="B24" s="6" t="s">
        <v>47</v>
      </c>
      <c r="C24" s="14" t="s">
        <v>48</v>
      </c>
      <c r="D24" s="2">
        <v>2</v>
      </c>
      <c r="E24" s="2">
        <v>1.5</v>
      </c>
      <c r="F24" s="2">
        <v>25</v>
      </c>
      <c r="G24" s="2">
        <v>25</v>
      </c>
      <c r="H24" s="8">
        <v>9190</v>
      </c>
      <c r="I24" s="26">
        <f t="shared" si="0"/>
        <v>6157.3</v>
      </c>
      <c r="J24" s="26">
        <f t="shared" si="1"/>
        <v>6034.1540000000005</v>
      </c>
    </row>
    <row r="25" spans="1:10" ht="16.5" customHeight="1" x14ac:dyDescent="0.35">
      <c r="A25" s="4">
        <v>19</v>
      </c>
      <c r="B25" s="6" t="s">
        <v>49</v>
      </c>
      <c r="C25" s="14" t="s">
        <v>50</v>
      </c>
      <c r="D25" s="2">
        <v>0.5</v>
      </c>
      <c r="E25" s="2">
        <v>0.37</v>
      </c>
      <c r="F25" s="2">
        <v>25</v>
      </c>
      <c r="G25" s="2">
        <v>25</v>
      </c>
      <c r="H25" s="8">
        <v>3310</v>
      </c>
      <c r="I25" s="26">
        <f t="shared" si="0"/>
        <v>2217.7000000000003</v>
      </c>
      <c r="J25" s="26">
        <f t="shared" si="1"/>
        <v>2173.346</v>
      </c>
    </row>
    <row r="26" spans="1:10" ht="16.5" customHeight="1" x14ac:dyDescent="0.35">
      <c r="A26" s="6">
        <v>20</v>
      </c>
      <c r="B26" s="4" t="s">
        <v>51</v>
      </c>
      <c r="C26" s="12" t="s">
        <v>52</v>
      </c>
      <c r="D26" s="2">
        <v>0.5</v>
      </c>
      <c r="E26" s="2">
        <v>0.37</v>
      </c>
      <c r="F26" s="2">
        <v>25</v>
      </c>
      <c r="G26" s="2">
        <v>25</v>
      </c>
      <c r="H26" s="10">
        <v>4380</v>
      </c>
      <c r="I26" s="297">
        <f>H26*0.63</f>
        <v>2759.4</v>
      </c>
      <c r="J26" s="297"/>
    </row>
    <row r="27" spans="1:10" ht="16.5" customHeight="1" x14ac:dyDescent="0.35">
      <c r="A27" s="6">
        <v>21</v>
      </c>
      <c r="B27" s="4" t="s">
        <v>53</v>
      </c>
      <c r="C27" s="12" t="s">
        <v>54</v>
      </c>
      <c r="D27" s="2">
        <v>1</v>
      </c>
      <c r="E27" s="2">
        <v>0.75</v>
      </c>
      <c r="F27" s="2">
        <v>25</v>
      </c>
      <c r="G27" s="2">
        <v>25</v>
      </c>
      <c r="H27" s="10">
        <v>5300</v>
      </c>
      <c r="I27" s="297">
        <f>H27*0.63</f>
        <v>3339</v>
      </c>
      <c r="J27" s="297"/>
    </row>
    <row r="28" spans="1:10" ht="16.5" customHeight="1" x14ac:dyDescent="0.35">
      <c r="A28" s="6">
        <v>22</v>
      </c>
      <c r="B28" s="6" t="s">
        <v>55</v>
      </c>
      <c r="C28" s="14" t="s">
        <v>56</v>
      </c>
      <c r="D28" s="2">
        <v>1.1000000000000001</v>
      </c>
      <c r="E28" s="2">
        <v>0.8</v>
      </c>
      <c r="F28" s="2">
        <v>25</v>
      </c>
      <c r="G28" s="2">
        <v>25</v>
      </c>
      <c r="H28" s="8">
        <v>5040</v>
      </c>
      <c r="I28" s="26">
        <f t="shared" ref="I28:I30" si="2">H28*0.67</f>
        <v>3376.8</v>
      </c>
      <c r="J28" s="26">
        <f t="shared" ref="J28:J30" si="3">I28*0.98</f>
        <v>3309.2640000000001</v>
      </c>
    </row>
    <row r="29" spans="1:10" ht="16.5" customHeight="1" x14ac:dyDescent="0.35">
      <c r="A29" s="4">
        <v>23</v>
      </c>
      <c r="B29" s="6" t="s">
        <v>57</v>
      </c>
      <c r="C29" s="14" t="s">
        <v>58</v>
      </c>
      <c r="D29" s="2">
        <v>1.1000000000000001</v>
      </c>
      <c r="E29" s="2">
        <v>0.8</v>
      </c>
      <c r="F29" s="2">
        <v>25</v>
      </c>
      <c r="G29" s="2">
        <v>25</v>
      </c>
      <c r="H29" s="8">
        <v>5150</v>
      </c>
      <c r="I29" s="26">
        <f t="shared" si="2"/>
        <v>3450.5</v>
      </c>
      <c r="J29" s="26">
        <f t="shared" si="3"/>
        <v>3381.49</v>
      </c>
    </row>
    <row r="30" spans="1:10" ht="16.5" customHeight="1" x14ac:dyDescent="0.35">
      <c r="A30" s="6">
        <v>24</v>
      </c>
      <c r="B30" s="4" t="s">
        <v>59</v>
      </c>
      <c r="C30" s="16" t="s">
        <v>60</v>
      </c>
      <c r="D30" s="2">
        <v>1.25</v>
      </c>
      <c r="E30" s="2">
        <v>0.94</v>
      </c>
      <c r="F30" s="2">
        <v>25</v>
      </c>
      <c r="G30" s="2">
        <v>25</v>
      </c>
      <c r="H30" s="8">
        <v>6630</v>
      </c>
      <c r="I30" s="26">
        <f t="shared" si="2"/>
        <v>4442.1000000000004</v>
      </c>
      <c r="J30" s="26">
        <f t="shared" si="3"/>
        <v>4353.2580000000007</v>
      </c>
    </row>
    <row r="31" spans="1:10" ht="16.5" customHeight="1" x14ac:dyDescent="0.35">
      <c r="A31" s="6">
        <v>25</v>
      </c>
      <c r="B31" s="6" t="s">
        <v>61</v>
      </c>
      <c r="C31" s="14" t="s">
        <v>62</v>
      </c>
      <c r="D31" s="17">
        <v>0.5</v>
      </c>
      <c r="E31" s="17">
        <v>0.37</v>
      </c>
      <c r="F31" s="17">
        <v>25</v>
      </c>
      <c r="G31" s="17">
        <v>25</v>
      </c>
      <c r="H31" s="9">
        <v>4950</v>
      </c>
      <c r="I31" s="297">
        <f>H31*0.63</f>
        <v>3118.5</v>
      </c>
      <c r="J31" s="297"/>
    </row>
    <row r="32" spans="1:10" ht="16.5" customHeight="1" x14ac:dyDescent="0.35">
      <c r="A32" s="6">
        <v>26</v>
      </c>
      <c r="B32" s="6" t="s">
        <v>63</v>
      </c>
      <c r="C32" s="14" t="s">
        <v>64</v>
      </c>
      <c r="D32" s="17">
        <v>0.5</v>
      </c>
      <c r="E32" s="17">
        <v>0.37</v>
      </c>
      <c r="F32" s="17">
        <v>25</v>
      </c>
      <c r="G32" s="17">
        <v>25</v>
      </c>
      <c r="H32" s="9">
        <v>5000</v>
      </c>
      <c r="I32" s="297">
        <f>H32*0.63</f>
        <v>3150</v>
      </c>
      <c r="J32" s="297"/>
    </row>
    <row r="33" spans="1:10" ht="16.5" customHeight="1" x14ac:dyDescent="0.35">
      <c r="A33" s="4">
        <v>27</v>
      </c>
      <c r="B33" s="6" t="s">
        <v>65</v>
      </c>
      <c r="C33" s="14" t="s">
        <v>66</v>
      </c>
      <c r="D33" s="2">
        <v>1</v>
      </c>
      <c r="E33" s="2">
        <v>0.75</v>
      </c>
      <c r="F33" s="2">
        <v>25</v>
      </c>
      <c r="G33" s="2">
        <v>25</v>
      </c>
      <c r="H33" s="8">
        <v>5560</v>
      </c>
      <c r="I33" s="26">
        <f t="shared" ref="I33:I54" si="4">H33*0.67</f>
        <v>3725.2000000000003</v>
      </c>
      <c r="J33" s="26">
        <f t="shared" ref="J33:J54" si="5">I33*0.98</f>
        <v>3650.6960000000004</v>
      </c>
    </row>
    <row r="34" spans="1:10" ht="16.5" customHeight="1" x14ac:dyDescent="0.35">
      <c r="A34" s="6">
        <v>28</v>
      </c>
      <c r="B34" s="6" t="s">
        <v>67</v>
      </c>
      <c r="C34" s="14" t="s">
        <v>68</v>
      </c>
      <c r="D34" s="2">
        <v>1</v>
      </c>
      <c r="E34" s="2">
        <v>0.75</v>
      </c>
      <c r="F34" s="2">
        <v>25</v>
      </c>
      <c r="G34" s="2">
        <v>25</v>
      </c>
      <c r="H34" s="8">
        <v>5650</v>
      </c>
      <c r="I34" s="26">
        <f t="shared" si="4"/>
        <v>3785.5</v>
      </c>
      <c r="J34" s="26">
        <f t="shared" si="5"/>
        <v>3709.79</v>
      </c>
    </row>
    <row r="35" spans="1:10" ht="16.5" customHeight="1" x14ac:dyDescent="0.35">
      <c r="A35" s="6">
        <v>29</v>
      </c>
      <c r="B35" s="6" t="s">
        <v>69</v>
      </c>
      <c r="C35" s="14" t="s">
        <v>70</v>
      </c>
      <c r="D35" s="2">
        <v>1.5</v>
      </c>
      <c r="E35" s="2">
        <v>1.1000000000000001</v>
      </c>
      <c r="F35" s="2">
        <v>25</v>
      </c>
      <c r="G35" s="2">
        <v>25</v>
      </c>
      <c r="H35" s="8">
        <v>7840</v>
      </c>
      <c r="I35" s="26">
        <f t="shared" si="4"/>
        <v>5252.8</v>
      </c>
      <c r="J35" s="26">
        <f t="shared" si="5"/>
        <v>5147.7439999999997</v>
      </c>
    </row>
    <row r="36" spans="1:10" ht="16.5" customHeight="1" x14ac:dyDescent="0.35">
      <c r="A36" s="6">
        <v>30</v>
      </c>
      <c r="B36" s="6" t="s">
        <v>71</v>
      </c>
      <c r="C36" s="14" t="s">
        <v>72</v>
      </c>
      <c r="D36" s="2">
        <v>1.5</v>
      </c>
      <c r="E36" s="2">
        <v>1.1000000000000001</v>
      </c>
      <c r="F36" s="2">
        <v>25</v>
      </c>
      <c r="G36" s="2">
        <v>25</v>
      </c>
      <c r="H36" s="8">
        <v>8170</v>
      </c>
      <c r="I36" s="26">
        <f t="shared" si="4"/>
        <v>5473.9000000000005</v>
      </c>
      <c r="J36" s="26">
        <f t="shared" si="5"/>
        <v>5364.4220000000005</v>
      </c>
    </row>
    <row r="37" spans="1:10" ht="16.5" customHeight="1" x14ac:dyDescent="0.35">
      <c r="A37" s="4">
        <v>31</v>
      </c>
      <c r="B37" s="4" t="s">
        <v>73</v>
      </c>
      <c r="C37" s="12" t="s">
        <v>74</v>
      </c>
      <c r="D37" s="2">
        <v>0.5</v>
      </c>
      <c r="E37" s="2">
        <v>0.37</v>
      </c>
      <c r="F37" s="2">
        <v>25</v>
      </c>
      <c r="G37" s="2">
        <v>25</v>
      </c>
      <c r="H37" s="8">
        <v>6450</v>
      </c>
      <c r="I37" s="26">
        <f t="shared" si="4"/>
        <v>4321.5</v>
      </c>
      <c r="J37" s="26">
        <f t="shared" si="5"/>
        <v>4235.07</v>
      </c>
    </row>
    <row r="38" spans="1:10" ht="16.5" customHeight="1" x14ac:dyDescent="0.35">
      <c r="A38" s="6">
        <v>32</v>
      </c>
      <c r="B38" s="6" t="s">
        <v>75</v>
      </c>
      <c r="C38" s="14" t="s">
        <v>76</v>
      </c>
      <c r="D38" s="3">
        <v>0.9</v>
      </c>
      <c r="E38" s="3">
        <v>0.7</v>
      </c>
      <c r="F38" s="3">
        <v>25</v>
      </c>
      <c r="G38" s="3">
        <v>25</v>
      </c>
      <c r="H38" s="8">
        <v>6640</v>
      </c>
      <c r="I38" s="26">
        <f t="shared" si="4"/>
        <v>4448.8</v>
      </c>
      <c r="J38" s="26">
        <f t="shared" si="5"/>
        <v>4359.8240000000005</v>
      </c>
    </row>
    <row r="39" spans="1:10" ht="16.5" customHeight="1" x14ac:dyDescent="0.35">
      <c r="A39" s="6">
        <v>33</v>
      </c>
      <c r="B39" s="6" t="s">
        <v>77</v>
      </c>
      <c r="C39" s="14" t="s">
        <v>78</v>
      </c>
      <c r="D39" s="3">
        <v>1</v>
      </c>
      <c r="E39" s="3">
        <v>0.75</v>
      </c>
      <c r="F39" s="3">
        <v>25</v>
      </c>
      <c r="G39" s="3">
        <v>25</v>
      </c>
      <c r="H39" s="8">
        <v>7100</v>
      </c>
      <c r="I39" s="26">
        <f t="shared" si="4"/>
        <v>4757</v>
      </c>
      <c r="J39" s="26">
        <f t="shared" si="5"/>
        <v>4661.8599999999997</v>
      </c>
    </row>
    <row r="40" spans="1:10" ht="16.5" customHeight="1" x14ac:dyDescent="0.35">
      <c r="A40" s="6">
        <v>34</v>
      </c>
      <c r="B40" s="4" t="s">
        <v>79</v>
      </c>
      <c r="C40" s="15" t="s">
        <v>80</v>
      </c>
      <c r="D40" s="3">
        <v>0.5</v>
      </c>
      <c r="E40" s="3">
        <v>0.37</v>
      </c>
      <c r="F40" s="3">
        <v>25</v>
      </c>
      <c r="G40" s="3">
        <v>25</v>
      </c>
      <c r="H40" s="8">
        <v>5500</v>
      </c>
      <c r="I40" s="26">
        <f t="shared" si="4"/>
        <v>3685</v>
      </c>
      <c r="J40" s="26">
        <f t="shared" si="5"/>
        <v>3611.2999999999997</v>
      </c>
    </row>
    <row r="41" spans="1:10" ht="16.5" customHeight="1" x14ac:dyDescent="0.35">
      <c r="A41" s="4">
        <v>35</v>
      </c>
      <c r="B41" s="4"/>
      <c r="C41" s="15" t="s">
        <v>81</v>
      </c>
      <c r="D41" s="3">
        <v>1</v>
      </c>
      <c r="E41" s="3">
        <v>0.75</v>
      </c>
      <c r="F41" s="3">
        <v>25</v>
      </c>
      <c r="G41" s="3">
        <v>25</v>
      </c>
      <c r="H41" s="8">
        <v>6200</v>
      </c>
      <c r="I41" s="26">
        <f t="shared" si="4"/>
        <v>4154</v>
      </c>
      <c r="J41" s="26">
        <f t="shared" si="5"/>
        <v>4070.92</v>
      </c>
    </row>
    <row r="42" spans="1:10" ht="16.5" customHeight="1" x14ac:dyDescent="0.35">
      <c r="A42" s="6">
        <v>36</v>
      </c>
      <c r="B42" s="4" t="s">
        <v>82</v>
      </c>
      <c r="C42" s="12" t="s">
        <v>83</v>
      </c>
      <c r="D42" s="1">
        <v>0.5</v>
      </c>
      <c r="E42" s="1">
        <v>0.37</v>
      </c>
      <c r="F42" s="1">
        <v>25</v>
      </c>
      <c r="G42" s="1">
        <v>25</v>
      </c>
      <c r="H42" s="8">
        <v>7140</v>
      </c>
      <c r="I42" s="26">
        <f t="shared" si="4"/>
        <v>4783.8</v>
      </c>
      <c r="J42" s="26">
        <f t="shared" si="5"/>
        <v>4688.1239999999998</v>
      </c>
    </row>
    <row r="43" spans="1:10" ht="16.5" customHeight="1" x14ac:dyDescent="0.35">
      <c r="A43" s="6">
        <v>37</v>
      </c>
      <c r="B43" s="6" t="s">
        <v>84</v>
      </c>
      <c r="C43" s="14" t="s">
        <v>85</v>
      </c>
      <c r="D43" s="1">
        <v>1.1000000000000001</v>
      </c>
      <c r="E43" s="1">
        <v>0.8</v>
      </c>
      <c r="F43" s="1">
        <v>25</v>
      </c>
      <c r="G43" s="1">
        <v>25</v>
      </c>
      <c r="H43" s="8">
        <v>7700</v>
      </c>
      <c r="I43" s="26">
        <f t="shared" si="4"/>
        <v>5159</v>
      </c>
      <c r="J43" s="26">
        <f t="shared" si="5"/>
        <v>5055.82</v>
      </c>
    </row>
    <row r="44" spans="1:10" ht="16.5" customHeight="1" x14ac:dyDescent="0.35">
      <c r="A44" s="6">
        <v>38</v>
      </c>
      <c r="B44" s="6" t="s">
        <v>86</v>
      </c>
      <c r="C44" s="14" t="s">
        <v>87</v>
      </c>
      <c r="D44" s="1">
        <v>1.5</v>
      </c>
      <c r="E44" s="1">
        <v>1.1000000000000001</v>
      </c>
      <c r="F44" s="1">
        <v>25</v>
      </c>
      <c r="G44" s="1">
        <v>25</v>
      </c>
      <c r="H44" s="8">
        <v>8690</v>
      </c>
      <c r="I44" s="26">
        <f t="shared" si="4"/>
        <v>5822.3</v>
      </c>
      <c r="J44" s="26">
        <f t="shared" si="5"/>
        <v>5705.8540000000003</v>
      </c>
    </row>
    <row r="45" spans="1:10" ht="16.5" customHeight="1" x14ac:dyDescent="0.35">
      <c r="A45" s="4">
        <v>39</v>
      </c>
      <c r="B45" s="4" t="s">
        <v>88</v>
      </c>
      <c r="C45" s="12" t="s">
        <v>89</v>
      </c>
      <c r="D45" s="2">
        <v>0.5</v>
      </c>
      <c r="E45" s="2">
        <v>0.37</v>
      </c>
      <c r="F45" s="2">
        <v>25</v>
      </c>
      <c r="G45" s="2">
        <v>12</v>
      </c>
      <c r="H45" s="8">
        <v>4860</v>
      </c>
      <c r="I45" s="26">
        <f t="shared" si="4"/>
        <v>3256.2000000000003</v>
      </c>
      <c r="J45" s="26">
        <f t="shared" si="5"/>
        <v>3191.076</v>
      </c>
    </row>
    <row r="46" spans="1:10" ht="16.5" customHeight="1" x14ac:dyDescent="0.35">
      <c r="A46" s="6">
        <v>40</v>
      </c>
      <c r="B46" s="4" t="s">
        <v>90</v>
      </c>
      <c r="C46" s="12" t="s">
        <v>91</v>
      </c>
      <c r="D46" s="2">
        <v>1</v>
      </c>
      <c r="E46" s="2">
        <v>0.75</v>
      </c>
      <c r="F46" s="2">
        <v>25</v>
      </c>
      <c r="G46" s="2">
        <v>25</v>
      </c>
      <c r="H46" s="8">
        <v>5600</v>
      </c>
      <c r="I46" s="26">
        <f t="shared" si="4"/>
        <v>3752</v>
      </c>
      <c r="J46" s="26">
        <f t="shared" si="5"/>
        <v>3676.96</v>
      </c>
    </row>
    <row r="47" spans="1:10" ht="16.5" customHeight="1" x14ac:dyDescent="0.35">
      <c r="A47" s="6">
        <v>41</v>
      </c>
      <c r="B47" s="6" t="s">
        <v>92</v>
      </c>
      <c r="C47" s="14" t="s">
        <v>93</v>
      </c>
      <c r="D47" s="17">
        <v>1</v>
      </c>
      <c r="E47" s="17">
        <v>0.75</v>
      </c>
      <c r="F47" s="17">
        <v>25</v>
      </c>
      <c r="G47" s="17">
        <v>25</v>
      </c>
      <c r="H47" s="9">
        <v>8420</v>
      </c>
      <c r="I47" s="297">
        <f>H47*0.63</f>
        <v>5304.6</v>
      </c>
      <c r="J47" s="297"/>
    </row>
    <row r="48" spans="1:10" ht="16.5" customHeight="1" x14ac:dyDescent="0.35">
      <c r="A48" s="6">
        <v>42</v>
      </c>
      <c r="B48" s="6" t="s">
        <v>94</v>
      </c>
      <c r="C48" s="14" t="s">
        <v>95</v>
      </c>
      <c r="D48" s="2">
        <v>1.1000000000000001</v>
      </c>
      <c r="E48" s="2">
        <v>0.8</v>
      </c>
      <c r="F48" s="2">
        <v>25</v>
      </c>
      <c r="G48" s="2">
        <v>25</v>
      </c>
      <c r="H48" s="8">
        <v>12020</v>
      </c>
      <c r="I48" s="26">
        <f t="shared" si="4"/>
        <v>8053.4000000000005</v>
      </c>
      <c r="J48" s="26">
        <f t="shared" si="5"/>
        <v>7892.3320000000003</v>
      </c>
    </row>
    <row r="49" spans="1:10" ht="16.5" customHeight="1" x14ac:dyDescent="0.35">
      <c r="A49" s="4">
        <v>43</v>
      </c>
      <c r="B49" s="4" t="s">
        <v>96</v>
      </c>
      <c r="C49" s="12" t="s">
        <v>97</v>
      </c>
      <c r="D49" s="2">
        <v>0.5</v>
      </c>
      <c r="E49" s="2">
        <v>0.37</v>
      </c>
      <c r="F49" s="2">
        <v>25</v>
      </c>
      <c r="G49" s="2">
        <v>25</v>
      </c>
      <c r="H49" s="8">
        <v>7530</v>
      </c>
      <c r="I49" s="26">
        <f t="shared" si="4"/>
        <v>5045.1000000000004</v>
      </c>
      <c r="J49" s="26">
        <f t="shared" si="5"/>
        <v>4944.1980000000003</v>
      </c>
    </row>
    <row r="50" spans="1:10" ht="16.5" customHeight="1" x14ac:dyDescent="0.35">
      <c r="A50" s="6">
        <v>44</v>
      </c>
      <c r="B50" s="4" t="s">
        <v>98</v>
      </c>
      <c r="C50" s="12" t="s">
        <v>99</v>
      </c>
      <c r="D50" s="2">
        <v>1</v>
      </c>
      <c r="E50" s="2">
        <v>0.75</v>
      </c>
      <c r="F50" s="2">
        <v>25</v>
      </c>
      <c r="G50" s="2">
        <v>25</v>
      </c>
      <c r="H50" s="8">
        <v>9150</v>
      </c>
      <c r="I50" s="26">
        <f t="shared" si="4"/>
        <v>6130.5</v>
      </c>
      <c r="J50" s="26">
        <f t="shared" si="5"/>
        <v>6007.89</v>
      </c>
    </row>
    <row r="51" spans="1:10" ht="16.5" customHeight="1" x14ac:dyDescent="0.35">
      <c r="A51" s="6">
        <v>45</v>
      </c>
      <c r="B51" s="4" t="s">
        <v>100</v>
      </c>
      <c r="C51" s="12" t="s">
        <v>101</v>
      </c>
      <c r="D51" s="2">
        <v>1</v>
      </c>
      <c r="E51" s="2">
        <v>0.75</v>
      </c>
      <c r="F51" s="2">
        <v>25</v>
      </c>
      <c r="G51" s="2">
        <v>25</v>
      </c>
      <c r="H51" s="5">
        <v>16800</v>
      </c>
      <c r="I51" s="26">
        <f t="shared" si="4"/>
        <v>11256</v>
      </c>
      <c r="J51" s="26">
        <f t="shared" si="5"/>
        <v>11030.88</v>
      </c>
    </row>
    <row r="52" spans="1:10" ht="16.5" customHeight="1" x14ac:dyDescent="0.35">
      <c r="A52" s="6">
        <v>46</v>
      </c>
      <c r="B52" s="6" t="s">
        <v>102</v>
      </c>
      <c r="C52" s="14" t="s">
        <v>103</v>
      </c>
      <c r="D52" s="2">
        <v>0.5</v>
      </c>
      <c r="E52" s="2">
        <v>0.37</v>
      </c>
      <c r="F52" s="2">
        <v>25</v>
      </c>
      <c r="G52" s="2">
        <v>25</v>
      </c>
      <c r="H52" s="8">
        <v>17760</v>
      </c>
      <c r="I52" s="26">
        <f t="shared" si="4"/>
        <v>11899.2</v>
      </c>
      <c r="J52" s="26">
        <f t="shared" si="5"/>
        <v>11661.216</v>
      </c>
    </row>
    <row r="53" spans="1:10" ht="16.5" customHeight="1" x14ac:dyDescent="0.35">
      <c r="A53" s="4">
        <v>47</v>
      </c>
      <c r="B53" s="6" t="s">
        <v>104</v>
      </c>
      <c r="C53" s="14" t="s">
        <v>105</v>
      </c>
      <c r="D53" s="2">
        <v>1</v>
      </c>
      <c r="E53" s="2">
        <v>0.75</v>
      </c>
      <c r="F53" s="2">
        <v>25</v>
      </c>
      <c r="G53" s="2">
        <v>25</v>
      </c>
      <c r="H53" s="8">
        <v>19120</v>
      </c>
      <c r="I53" s="26">
        <f t="shared" si="4"/>
        <v>12810.400000000001</v>
      </c>
      <c r="J53" s="26">
        <f t="shared" si="5"/>
        <v>12554.192000000001</v>
      </c>
    </row>
    <row r="54" spans="1:10" ht="16.5" customHeight="1" x14ac:dyDescent="0.35">
      <c r="A54" s="6">
        <v>48</v>
      </c>
      <c r="B54" s="6" t="s">
        <v>106</v>
      </c>
      <c r="C54" s="14" t="s">
        <v>107</v>
      </c>
      <c r="D54" s="2">
        <v>1.1000000000000001</v>
      </c>
      <c r="E54" s="2">
        <v>0.8</v>
      </c>
      <c r="F54" s="2">
        <v>25</v>
      </c>
      <c r="G54" s="2">
        <v>25</v>
      </c>
      <c r="H54" s="8">
        <v>20900</v>
      </c>
      <c r="I54" s="26">
        <f t="shared" si="4"/>
        <v>14003</v>
      </c>
      <c r="J54" s="26">
        <f t="shared" si="5"/>
        <v>13722.94</v>
      </c>
    </row>
    <row r="55" spans="1:10" ht="16.5" customHeight="1" x14ac:dyDescent="0.35">
      <c r="A55" s="267" t="s">
        <v>108</v>
      </c>
      <c r="B55" s="268"/>
      <c r="C55" s="268"/>
      <c r="D55" s="268"/>
      <c r="E55" s="268"/>
      <c r="F55" s="268"/>
      <c r="G55" s="269"/>
      <c r="H55" s="207" t="s">
        <v>109</v>
      </c>
      <c r="I55" s="315" t="s">
        <v>334</v>
      </c>
      <c r="J55" s="315"/>
    </row>
    <row r="56" spans="1:10" ht="16.5" customHeight="1" x14ac:dyDescent="0.35">
      <c r="A56" s="207" t="s">
        <v>2</v>
      </c>
      <c r="B56" s="287" t="s">
        <v>3</v>
      </c>
      <c r="C56" s="260" t="s">
        <v>4</v>
      </c>
      <c r="D56" s="209" t="s">
        <v>5</v>
      </c>
      <c r="E56" s="210"/>
      <c r="F56" s="209" t="s">
        <v>6</v>
      </c>
      <c r="G56" s="210"/>
      <c r="H56" s="259"/>
      <c r="I56" s="341">
        <v>0.33</v>
      </c>
      <c r="J56" s="341">
        <v>0.02</v>
      </c>
    </row>
    <row r="57" spans="1:10" ht="16.5" customHeight="1" x14ac:dyDescent="0.35">
      <c r="A57" s="208"/>
      <c r="B57" s="287"/>
      <c r="C57" s="261"/>
      <c r="D57" s="11" t="s">
        <v>9</v>
      </c>
      <c r="E57" s="11" t="s">
        <v>10</v>
      </c>
      <c r="F57" s="11" t="s">
        <v>11</v>
      </c>
      <c r="G57" s="11" t="s">
        <v>12</v>
      </c>
      <c r="H57" s="208"/>
      <c r="I57" s="341"/>
      <c r="J57" s="341"/>
    </row>
    <row r="58" spans="1:10" ht="16.5" customHeight="1" x14ac:dyDescent="0.35">
      <c r="A58" s="6">
        <v>1</v>
      </c>
      <c r="B58" s="6" t="s">
        <v>110</v>
      </c>
      <c r="C58" s="14" t="s">
        <v>111</v>
      </c>
      <c r="D58" s="303">
        <v>0.5</v>
      </c>
      <c r="E58" s="303">
        <v>0.37</v>
      </c>
      <c r="F58" s="2">
        <v>25</v>
      </c>
      <c r="G58" s="2">
        <v>25</v>
      </c>
      <c r="H58" s="8">
        <v>4680</v>
      </c>
      <c r="I58" s="26">
        <f t="shared" ref="I58:I113" si="6">H58*0.67</f>
        <v>3135.6000000000004</v>
      </c>
      <c r="J58" s="26">
        <f t="shared" ref="J58:J113" si="7">I58*0.98</f>
        <v>3072.8880000000004</v>
      </c>
    </row>
    <row r="59" spans="1:10" ht="16.5" customHeight="1" x14ac:dyDescent="0.35">
      <c r="A59" s="6">
        <v>2</v>
      </c>
      <c r="B59" s="6" t="s">
        <v>112</v>
      </c>
      <c r="C59" s="14" t="s">
        <v>113</v>
      </c>
      <c r="D59" s="303"/>
      <c r="E59" s="303"/>
      <c r="F59" s="2">
        <v>40</v>
      </c>
      <c r="G59" s="2">
        <v>40</v>
      </c>
      <c r="H59" s="8">
        <v>6430</v>
      </c>
      <c r="I59" s="26">
        <f t="shared" si="6"/>
        <v>4308.1000000000004</v>
      </c>
      <c r="J59" s="26">
        <f t="shared" si="7"/>
        <v>4221.9380000000001</v>
      </c>
    </row>
    <row r="60" spans="1:10" ht="16.5" customHeight="1" x14ac:dyDescent="0.35">
      <c r="A60" s="4">
        <v>3</v>
      </c>
      <c r="B60" s="4" t="s">
        <v>114</v>
      </c>
      <c r="C60" s="18" t="s">
        <v>115</v>
      </c>
      <c r="D60" s="2">
        <v>0.75</v>
      </c>
      <c r="E60" s="2">
        <v>0.56000000000000005</v>
      </c>
      <c r="F60" s="2">
        <v>40</v>
      </c>
      <c r="G60" s="2">
        <v>40</v>
      </c>
      <c r="H60" s="5">
        <v>6240</v>
      </c>
      <c r="I60" s="26">
        <f t="shared" si="6"/>
        <v>4180.8</v>
      </c>
      <c r="J60" s="26">
        <f t="shared" si="7"/>
        <v>4097.1840000000002</v>
      </c>
    </row>
    <row r="61" spans="1:10" ht="16.5" customHeight="1" x14ac:dyDescent="0.35">
      <c r="A61" s="6">
        <v>4</v>
      </c>
      <c r="B61" s="6" t="s">
        <v>116</v>
      </c>
      <c r="C61" s="14" t="s">
        <v>117</v>
      </c>
      <c r="D61" s="262">
        <v>1</v>
      </c>
      <c r="E61" s="262">
        <v>0.75</v>
      </c>
      <c r="F61" s="1">
        <v>25</v>
      </c>
      <c r="G61" s="1">
        <v>25</v>
      </c>
      <c r="H61" s="8">
        <v>7572</v>
      </c>
      <c r="I61" s="26">
        <f t="shared" si="6"/>
        <v>5073.2400000000007</v>
      </c>
      <c r="J61" s="26">
        <f t="shared" si="7"/>
        <v>4971.775200000001</v>
      </c>
    </row>
    <row r="62" spans="1:10" ht="16.5" customHeight="1" x14ac:dyDescent="0.35">
      <c r="A62" s="6">
        <v>5</v>
      </c>
      <c r="B62" s="6" t="s">
        <v>118</v>
      </c>
      <c r="C62" s="14" t="s">
        <v>119</v>
      </c>
      <c r="D62" s="266"/>
      <c r="E62" s="266"/>
      <c r="F62" s="1">
        <v>50</v>
      </c>
      <c r="G62" s="1">
        <v>50</v>
      </c>
      <c r="H62" s="8">
        <v>8900</v>
      </c>
      <c r="I62" s="26">
        <f t="shared" si="6"/>
        <v>5963</v>
      </c>
      <c r="J62" s="26">
        <f t="shared" si="7"/>
        <v>5843.74</v>
      </c>
    </row>
    <row r="63" spans="1:10" ht="16.5" customHeight="1" x14ac:dyDescent="0.35">
      <c r="A63" s="4">
        <v>6</v>
      </c>
      <c r="B63" s="6" t="s">
        <v>120</v>
      </c>
      <c r="C63" s="14" t="s">
        <v>121</v>
      </c>
      <c r="D63" s="266"/>
      <c r="E63" s="266"/>
      <c r="F63" s="1">
        <v>50</v>
      </c>
      <c r="G63" s="1">
        <v>50</v>
      </c>
      <c r="H63" s="5">
        <v>9100</v>
      </c>
      <c r="I63" s="26">
        <f t="shared" si="6"/>
        <v>6097</v>
      </c>
      <c r="J63" s="26">
        <f t="shared" si="7"/>
        <v>5975.0599999999995</v>
      </c>
    </row>
    <row r="64" spans="1:10" ht="16.5" customHeight="1" x14ac:dyDescent="0.35">
      <c r="A64" s="6">
        <v>7</v>
      </c>
      <c r="B64" s="4" t="s">
        <v>122</v>
      </c>
      <c r="C64" s="18" t="s">
        <v>123</v>
      </c>
      <c r="D64" s="266"/>
      <c r="E64" s="266"/>
      <c r="F64" s="1">
        <v>50</v>
      </c>
      <c r="G64" s="1">
        <v>50</v>
      </c>
      <c r="H64" s="5">
        <v>9000</v>
      </c>
      <c r="I64" s="26">
        <f t="shared" si="6"/>
        <v>6030</v>
      </c>
      <c r="J64" s="26">
        <f t="shared" si="7"/>
        <v>5909.4</v>
      </c>
    </row>
    <row r="65" spans="1:10" ht="16.5" customHeight="1" x14ac:dyDescent="0.35">
      <c r="A65" s="6">
        <v>8</v>
      </c>
      <c r="B65" s="4" t="s">
        <v>124</v>
      </c>
      <c r="C65" s="19" t="s">
        <v>125</v>
      </c>
      <c r="D65" s="266"/>
      <c r="E65" s="266"/>
      <c r="F65" s="1">
        <v>75</v>
      </c>
      <c r="G65" s="1">
        <v>75</v>
      </c>
      <c r="H65" s="8">
        <v>10000</v>
      </c>
      <c r="I65" s="26">
        <f t="shared" si="6"/>
        <v>6700</v>
      </c>
      <c r="J65" s="26">
        <f t="shared" si="7"/>
        <v>6566</v>
      </c>
    </row>
    <row r="66" spans="1:10" ht="16.5" customHeight="1" x14ac:dyDescent="0.35">
      <c r="A66" s="4">
        <v>9</v>
      </c>
      <c r="B66" s="4"/>
      <c r="C66" s="18" t="s">
        <v>126</v>
      </c>
      <c r="D66" s="263"/>
      <c r="E66" s="263"/>
      <c r="F66" s="1">
        <v>75</v>
      </c>
      <c r="G66" s="1">
        <v>75</v>
      </c>
      <c r="H66" s="5">
        <v>10200</v>
      </c>
      <c r="I66" s="26">
        <f t="shared" si="6"/>
        <v>6834</v>
      </c>
      <c r="J66" s="26">
        <f t="shared" si="7"/>
        <v>6697.32</v>
      </c>
    </row>
    <row r="67" spans="1:10" ht="16.5" customHeight="1" x14ac:dyDescent="0.35">
      <c r="A67" s="6">
        <v>10</v>
      </c>
      <c r="B67" s="4" t="s">
        <v>127</v>
      </c>
      <c r="C67" s="19" t="s">
        <v>128</v>
      </c>
      <c r="D67" s="262">
        <v>1.5</v>
      </c>
      <c r="E67" s="262">
        <v>1.1000000000000001</v>
      </c>
      <c r="F67" s="1">
        <v>50</v>
      </c>
      <c r="G67" s="1">
        <v>50</v>
      </c>
      <c r="H67" s="5">
        <v>10420</v>
      </c>
      <c r="I67" s="26">
        <f t="shared" si="6"/>
        <v>6981.4000000000005</v>
      </c>
      <c r="J67" s="26">
        <f t="shared" si="7"/>
        <v>6841.7720000000008</v>
      </c>
    </row>
    <row r="68" spans="1:10" ht="16.5" customHeight="1" x14ac:dyDescent="0.35">
      <c r="A68" s="6">
        <v>11</v>
      </c>
      <c r="B68" s="4" t="s">
        <v>129</v>
      </c>
      <c r="C68" s="18" t="s">
        <v>130</v>
      </c>
      <c r="D68" s="266"/>
      <c r="E68" s="266"/>
      <c r="F68" s="1">
        <v>50</v>
      </c>
      <c r="G68" s="1">
        <v>50</v>
      </c>
      <c r="H68" s="5">
        <v>10600</v>
      </c>
      <c r="I68" s="26">
        <f t="shared" si="6"/>
        <v>7102</v>
      </c>
      <c r="J68" s="26">
        <f t="shared" si="7"/>
        <v>6959.96</v>
      </c>
    </row>
    <row r="69" spans="1:10" ht="16.5" customHeight="1" x14ac:dyDescent="0.35">
      <c r="A69" s="4">
        <v>12</v>
      </c>
      <c r="B69" s="4" t="s">
        <v>131</v>
      </c>
      <c r="C69" s="19" t="s">
        <v>132</v>
      </c>
      <c r="D69" s="266"/>
      <c r="E69" s="266"/>
      <c r="F69" s="1">
        <v>65</v>
      </c>
      <c r="G69" s="1">
        <v>50</v>
      </c>
      <c r="H69" s="5">
        <v>10600</v>
      </c>
      <c r="I69" s="26">
        <f t="shared" si="6"/>
        <v>7102</v>
      </c>
      <c r="J69" s="26">
        <f t="shared" si="7"/>
        <v>6959.96</v>
      </c>
    </row>
    <row r="70" spans="1:10" ht="16.5" customHeight="1" x14ac:dyDescent="0.35">
      <c r="A70" s="6">
        <v>13</v>
      </c>
      <c r="B70" s="4" t="s">
        <v>133</v>
      </c>
      <c r="C70" s="18" t="s">
        <v>134</v>
      </c>
      <c r="D70" s="266"/>
      <c r="E70" s="266"/>
      <c r="F70" s="1">
        <v>65</v>
      </c>
      <c r="G70" s="1">
        <v>50</v>
      </c>
      <c r="H70" s="5">
        <v>10800</v>
      </c>
      <c r="I70" s="26">
        <f t="shared" si="6"/>
        <v>7236</v>
      </c>
      <c r="J70" s="26">
        <f t="shared" si="7"/>
        <v>7091.28</v>
      </c>
    </row>
    <row r="71" spans="1:10" ht="16.5" customHeight="1" x14ac:dyDescent="0.35">
      <c r="A71" s="6">
        <v>14</v>
      </c>
      <c r="B71" s="4" t="s">
        <v>135</v>
      </c>
      <c r="C71" s="19" t="s">
        <v>136</v>
      </c>
      <c r="D71" s="266"/>
      <c r="E71" s="266"/>
      <c r="F71" s="1">
        <v>75</v>
      </c>
      <c r="G71" s="1">
        <v>75</v>
      </c>
      <c r="H71" s="8">
        <v>11000</v>
      </c>
      <c r="I71" s="26">
        <f t="shared" si="6"/>
        <v>7370</v>
      </c>
      <c r="J71" s="26">
        <f t="shared" si="7"/>
        <v>7222.5999999999995</v>
      </c>
    </row>
    <row r="72" spans="1:10" ht="16.5" customHeight="1" x14ac:dyDescent="0.35">
      <c r="A72" s="4">
        <v>15</v>
      </c>
      <c r="B72" s="4" t="s">
        <v>137</v>
      </c>
      <c r="C72" s="18" t="s">
        <v>138</v>
      </c>
      <c r="D72" s="266"/>
      <c r="E72" s="266"/>
      <c r="F72" s="1">
        <v>75</v>
      </c>
      <c r="G72" s="1">
        <v>75</v>
      </c>
      <c r="H72" s="5">
        <v>11200</v>
      </c>
      <c r="I72" s="26">
        <f t="shared" si="6"/>
        <v>7504</v>
      </c>
      <c r="J72" s="26">
        <f t="shared" si="7"/>
        <v>7353.92</v>
      </c>
    </row>
    <row r="73" spans="1:10" ht="16.5" customHeight="1" x14ac:dyDescent="0.35">
      <c r="A73" s="6">
        <v>16</v>
      </c>
      <c r="B73" s="4" t="s">
        <v>139</v>
      </c>
      <c r="C73" s="18" t="s">
        <v>140</v>
      </c>
      <c r="D73" s="263"/>
      <c r="E73" s="263"/>
      <c r="F73" s="1">
        <v>75</v>
      </c>
      <c r="G73" s="1">
        <v>75</v>
      </c>
      <c r="H73" s="5">
        <v>11200</v>
      </c>
      <c r="I73" s="26">
        <f t="shared" si="6"/>
        <v>7504</v>
      </c>
      <c r="J73" s="26">
        <f t="shared" si="7"/>
        <v>7353.92</v>
      </c>
    </row>
    <row r="74" spans="1:10" ht="16.5" customHeight="1" x14ac:dyDescent="0.35">
      <c r="A74" s="6">
        <v>17</v>
      </c>
      <c r="B74" s="4" t="s">
        <v>141</v>
      </c>
      <c r="C74" s="19" t="s">
        <v>142</v>
      </c>
      <c r="D74" s="262">
        <v>2</v>
      </c>
      <c r="E74" s="262">
        <v>1.5</v>
      </c>
      <c r="F74" s="1">
        <v>50</v>
      </c>
      <c r="G74" s="1">
        <v>40</v>
      </c>
      <c r="H74" s="8">
        <v>15000</v>
      </c>
      <c r="I74" s="26">
        <f t="shared" si="6"/>
        <v>10050</v>
      </c>
      <c r="J74" s="26">
        <f t="shared" si="7"/>
        <v>9849</v>
      </c>
    </row>
    <row r="75" spans="1:10" ht="16.5" customHeight="1" x14ac:dyDescent="0.35">
      <c r="A75" s="4">
        <v>18</v>
      </c>
      <c r="B75" s="4" t="s">
        <v>143</v>
      </c>
      <c r="C75" s="18" t="s">
        <v>144</v>
      </c>
      <c r="D75" s="266"/>
      <c r="E75" s="266"/>
      <c r="F75" s="1">
        <v>50</v>
      </c>
      <c r="G75" s="1">
        <v>40</v>
      </c>
      <c r="H75" s="5">
        <v>15200</v>
      </c>
      <c r="I75" s="26">
        <f t="shared" si="6"/>
        <v>10184</v>
      </c>
      <c r="J75" s="26">
        <f t="shared" si="7"/>
        <v>9980.32</v>
      </c>
    </row>
    <row r="76" spans="1:10" ht="16.5" customHeight="1" x14ac:dyDescent="0.35">
      <c r="A76" s="6">
        <v>19</v>
      </c>
      <c r="B76" s="6" t="s">
        <v>145</v>
      </c>
      <c r="C76" s="14" t="s">
        <v>146</v>
      </c>
      <c r="D76" s="266"/>
      <c r="E76" s="266"/>
      <c r="F76" s="1">
        <v>50</v>
      </c>
      <c r="G76" s="1">
        <v>50</v>
      </c>
      <c r="H76" s="8">
        <v>13000</v>
      </c>
      <c r="I76" s="26">
        <f t="shared" si="6"/>
        <v>8710</v>
      </c>
      <c r="J76" s="26">
        <f t="shared" si="7"/>
        <v>8535.7999999999993</v>
      </c>
    </row>
    <row r="77" spans="1:10" ht="16.5" customHeight="1" x14ac:dyDescent="0.35">
      <c r="A77" s="6">
        <v>20</v>
      </c>
      <c r="B77" s="4" t="s">
        <v>147</v>
      </c>
      <c r="C77" s="18" t="s">
        <v>148</v>
      </c>
      <c r="D77" s="266"/>
      <c r="E77" s="266"/>
      <c r="F77" s="1">
        <v>50</v>
      </c>
      <c r="G77" s="1">
        <v>50</v>
      </c>
      <c r="H77" s="5">
        <v>13200</v>
      </c>
      <c r="I77" s="26">
        <f t="shared" si="6"/>
        <v>8844</v>
      </c>
      <c r="J77" s="26">
        <f t="shared" si="7"/>
        <v>8667.119999999999</v>
      </c>
    </row>
    <row r="78" spans="1:10" ht="16.5" customHeight="1" x14ac:dyDescent="0.35">
      <c r="A78" s="4">
        <v>21</v>
      </c>
      <c r="B78" s="6" t="s">
        <v>149</v>
      </c>
      <c r="C78" s="14" t="s">
        <v>150</v>
      </c>
      <c r="D78" s="266"/>
      <c r="E78" s="266"/>
      <c r="F78" s="1">
        <v>65</v>
      </c>
      <c r="G78" s="1">
        <v>50</v>
      </c>
      <c r="H78" s="8">
        <v>13300</v>
      </c>
      <c r="I78" s="26">
        <f t="shared" si="6"/>
        <v>8911</v>
      </c>
      <c r="J78" s="26">
        <f t="shared" si="7"/>
        <v>8732.7800000000007</v>
      </c>
    </row>
    <row r="79" spans="1:10" ht="16.5" customHeight="1" x14ac:dyDescent="0.35">
      <c r="A79" s="6">
        <v>22</v>
      </c>
      <c r="B79" s="6" t="s">
        <v>151</v>
      </c>
      <c r="C79" s="14" t="s">
        <v>152</v>
      </c>
      <c r="D79" s="266"/>
      <c r="E79" s="266"/>
      <c r="F79" s="1">
        <v>65</v>
      </c>
      <c r="G79" s="1">
        <v>50</v>
      </c>
      <c r="H79" s="5">
        <v>13500</v>
      </c>
      <c r="I79" s="26">
        <f t="shared" si="6"/>
        <v>9045</v>
      </c>
      <c r="J79" s="26">
        <f t="shared" si="7"/>
        <v>8864.1</v>
      </c>
    </row>
    <row r="80" spans="1:10" ht="16.5" customHeight="1" x14ac:dyDescent="0.35">
      <c r="A80" s="6">
        <v>23</v>
      </c>
      <c r="B80" s="4" t="s">
        <v>153</v>
      </c>
      <c r="C80" s="18" t="s">
        <v>154</v>
      </c>
      <c r="D80" s="266"/>
      <c r="E80" s="266"/>
      <c r="F80" s="1">
        <v>65</v>
      </c>
      <c r="G80" s="1">
        <v>50</v>
      </c>
      <c r="H80" s="5">
        <v>13340</v>
      </c>
      <c r="I80" s="26">
        <f t="shared" si="6"/>
        <v>8937.8000000000011</v>
      </c>
      <c r="J80" s="26">
        <f t="shared" si="7"/>
        <v>8759.0440000000017</v>
      </c>
    </row>
    <row r="81" spans="1:10" ht="16.5" customHeight="1" x14ac:dyDescent="0.35">
      <c r="A81" s="4">
        <v>24</v>
      </c>
      <c r="B81" s="6"/>
      <c r="C81" s="14" t="s">
        <v>155</v>
      </c>
      <c r="D81" s="266"/>
      <c r="E81" s="266"/>
      <c r="F81" s="1">
        <v>65</v>
      </c>
      <c r="G81" s="1">
        <v>50</v>
      </c>
      <c r="H81" s="8">
        <v>13300</v>
      </c>
      <c r="I81" s="26">
        <f t="shared" si="6"/>
        <v>8911</v>
      </c>
      <c r="J81" s="26">
        <f t="shared" si="7"/>
        <v>8732.7800000000007</v>
      </c>
    </row>
    <row r="82" spans="1:10" ht="16.5" customHeight="1" x14ac:dyDescent="0.35">
      <c r="A82" s="6">
        <v>25</v>
      </c>
      <c r="B82" s="4" t="s">
        <v>156</v>
      </c>
      <c r="C82" s="18" t="s">
        <v>157</v>
      </c>
      <c r="D82" s="266"/>
      <c r="E82" s="266"/>
      <c r="F82" s="1">
        <v>75</v>
      </c>
      <c r="G82" s="1">
        <v>75</v>
      </c>
      <c r="H82" s="5">
        <v>13600</v>
      </c>
      <c r="I82" s="26">
        <f t="shared" si="6"/>
        <v>9112</v>
      </c>
      <c r="J82" s="26">
        <f t="shared" si="7"/>
        <v>8929.76</v>
      </c>
    </row>
    <row r="83" spans="1:10" ht="16.5" customHeight="1" x14ac:dyDescent="0.35">
      <c r="A83" s="6">
        <v>26</v>
      </c>
      <c r="B83" s="6" t="s">
        <v>158</v>
      </c>
      <c r="C83" s="14" t="s">
        <v>159</v>
      </c>
      <c r="D83" s="266"/>
      <c r="E83" s="266"/>
      <c r="F83" s="1">
        <v>75</v>
      </c>
      <c r="G83" s="1">
        <v>75</v>
      </c>
      <c r="H83" s="8">
        <v>13450</v>
      </c>
      <c r="I83" s="26">
        <f t="shared" si="6"/>
        <v>9011.5</v>
      </c>
      <c r="J83" s="26">
        <f t="shared" si="7"/>
        <v>8831.27</v>
      </c>
    </row>
    <row r="84" spans="1:10" ht="16.5" customHeight="1" x14ac:dyDescent="0.35">
      <c r="A84" s="4">
        <v>27</v>
      </c>
      <c r="B84" s="6" t="s">
        <v>160</v>
      </c>
      <c r="C84" s="14" t="s">
        <v>161</v>
      </c>
      <c r="D84" s="266"/>
      <c r="E84" s="266"/>
      <c r="F84" s="1">
        <v>75</v>
      </c>
      <c r="G84" s="1">
        <v>75</v>
      </c>
      <c r="H84" s="5">
        <v>13800</v>
      </c>
      <c r="I84" s="26">
        <f t="shared" si="6"/>
        <v>9246</v>
      </c>
      <c r="J84" s="26">
        <f t="shared" si="7"/>
        <v>9061.08</v>
      </c>
    </row>
    <row r="85" spans="1:10" ht="16.5" customHeight="1" x14ac:dyDescent="0.35">
      <c r="A85" s="6">
        <v>28</v>
      </c>
      <c r="B85" s="6" t="s">
        <v>162</v>
      </c>
      <c r="C85" s="14" t="s">
        <v>163</v>
      </c>
      <c r="D85" s="266"/>
      <c r="E85" s="266"/>
      <c r="F85" s="1">
        <v>75</v>
      </c>
      <c r="G85" s="1">
        <v>75</v>
      </c>
      <c r="H85" s="5">
        <v>14000</v>
      </c>
      <c r="I85" s="26">
        <f t="shared" si="6"/>
        <v>9380</v>
      </c>
      <c r="J85" s="26">
        <f t="shared" si="7"/>
        <v>9192.4</v>
      </c>
    </row>
    <row r="86" spans="1:10" ht="16.5" customHeight="1" x14ac:dyDescent="0.35">
      <c r="A86" s="6">
        <v>29</v>
      </c>
      <c r="B86" s="6" t="s">
        <v>164</v>
      </c>
      <c r="C86" s="14" t="s">
        <v>165</v>
      </c>
      <c r="D86" s="266"/>
      <c r="E86" s="266"/>
      <c r="F86" s="1">
        <v>75</v>
      </c>
      <c r="G86" s="1">
        <v>75</v>
      </c>
      <c r="H86" s="5">
        <v>14500</v>
      </c>
      <c r="I86" s="26">
        <f t="shared" si="6"/>
        <v>9715</v>
      </c>
      <c r="J86" s="26">
        <f t="shared" si="7"/>
        <v>9520.7000000000007</v>
      </c>
    </row>
    <row r="87" spans="1:10" ht="16.5" customHeight="1" x14ac:dyDescent="0.35">
      <c r="A87" s="4">
        <v>30</v>
      </c>
      <c r="B87" s="4" t="s">
        <v>166</v>
      </c>
      <c r="C87" s="18" t="s">
        <v>167</v>
      </c>
      <c r="D87" s="266"/>
      <c r="E87" s="266"/>
      <c r="F87" s="1">
        <v>75</v>
      </c>
      <c r="G87" s="1">
        <v>75</v>
      </c>
      <c r="H87" s="5">
        <v>13550</v>
      </c>
      <c r="I87" s="26">
        <f t="shared" si="6"/>
        <v>9078.5</v>
      </c>
      <c r="J87" s="26">
        <f t="shared" si="7"/>
        <v>8896.93</v>
      </c>
    </row>
    <row r="88" spans="1:10" ht="16.5" customHeight="1" x14ac:dyDescent="0.35">
      <c r="A88" s="6">
        <v>31</v>
      </c>
      <c r="B88" s="6" t="s">
        <v>168</v>
      </c>
      <c r="C88" s="14" t="s">
        <v>169</v>
      </c>
      <c r="D88" s="266"/>
      <c r="E88" s="266"/>
      <c r="F88" s="1">
        <v>75</v>
      </c>
      <c r="G88" s="1">
        <v>65</v>
      </c>
      <c r="H88" s="8">
        <v>13450</v>
      </c>
      <c r="I88" s="26">
        <f t="shared" si="6"/>
        <v>9011.5</v>
      </c>
      <c r="J88" s="26">
        <f t="shared" si="7"/>
        <v>8831.27</v>
      </c>
    </row>
    <row r="89" spans="1:10" ht="16.5" customHeight="1" x14ac:dyDescent="0.35">
      <c r="A89" s="6">
        <v>32</v>
      </c>
      <c r="B89" s="6" t="s">
        <v>170</v>
      </c>
      <c r="C89" s="14" t="s">
        <v>171</v>
      </c>
      <c r="D89" s="266"/>
      <c r="E89" s="266"/>
      <c r="F89" s="1">
        <v>75</v>
      </c>
      <c r="G89" s="1">
        <v>65</v>
      </c>
      <c r="H89" s="5">
        <v>13740</v>
      </c>
      <c r="I89" s="26">
        <f t="shared" si="6"/>
        <v>9205.8000000000011</v>
      </c>
      <c r="J89" s="26">
        <f t="shared" si="7"/>
        <v>9021.6840000000011</v>
      </c>
    </row>
    <row r="90" spans="1:10" ht="16.5" customHeight="1" x14ac:dyDescent="0.35">
      <c r="A90" s="4">
        <v>33</v>
      </c>
      <c r="B90" s="4"/>
      <c r="C90" s="19" t="s">
        <v>172</v>
      </c>
      <c r="D90" s="266"/>
      <c r="E90" s="266"/>
      <c r="F90" s="1">
        <v>100</v>
      </c>
      <c r="G90" s="1">
        <v>100</v>
      </c>
      <c r="H90" s="8">
        <v>15000</v>
      </c>
      <c r="I90" s="26">
        <f t="shared" si="6"/>
        <v>10050</v>
      </c>
      <c r="J90" s="26">
        <f t="shared" si="7"/>
        <v>9849</v>
      </c>
    </row>
    <row r="91" spans="1:10" ht="16.5" customHeight="1" x14ac:dyDescent="0.35">
      <c r="A91" s="6">
        <v>34</v>
      </c>
      <c r="B91" s="4"/>
      <c r="C91" s="18" t="s">
        <v>173</v>
      </c>
      <c r="D91" s="263"/>
      <c r="E91" s="263"/>
      <c r="F91" s="1">
        <v>100</v>
      </c>
      <c r="G91" s="1">
        <v>100</v>
      </c>
      <c r="H91" s="5">
        <v>15200</v>
      </c>
      <c r="I91" s="26">
        <f t="shared" si="6"/>
        <v>10184</v>
      </c>
      <c r="J91" s="26">
        <f t="shared" si="7"/>
        <v>9980.32</v>
      </c>
    </row>
    <row r="92" spans="1:10" ht="16.5" customHeight="1" x14ac:dyDescent="0.35">
      <c r="A92" s="6">
        <v>35</v>
      </c>
      <c r="B92" s="4"/>
      <c r="C92" s="19" t="s">
        <v>174</v>
      </c>
      <c r="D92" s="262">
        <v>3</v>
      </c>
      <c r="E92" s="262">
        <v>2.25</v>
      </c>
      <c r="F92" s="1">
        <v>50</v>
      </c>
      <c r="G92" s="1">
        <v>40</v>
      </c>
      <c r="H92" s="8">
        <v>18000</v>
      </c>
      <c r="I92" s="26">
        <f t="shared" si="6"/>
        <v>12060</v>
      </c>
      <c r="J92" s="26">
        <f t="shared" si="7"/>
        <v>11818.8</v>
      </c>
    </row>
    <row r="93" spans="1:10" ht="16.5" customHeight="1" x14ac:dyDescent="0.35">
      <c r="A93" s="4">
        <v>36</v>
      </c>
      <c r="B93" s="4" t="s">
        <v>175</v>
      </c>
      <c r="C93" s="18" t="s">
        <v>176</v>
      </c>
      <c r="D93" s="266"/>
      <c r="E93" s="266"/>
      <c r="F93" s="1">
        <v>50</v>
      </c>
      <c r="G93" s="1">
        <v>40</v>
      </c>
      <c r="H93" s="5">
        <v>18560</v>
      </c>
      <c r="I93" s="26">
        <f t="shared" si="6"/>
        <v>12435.2</v>
      </c>
      <c r="J93" s="26">
        <f t="shared" si="7"/>
        <v>12186.496000000001</v>
      </c>
    </row>
    <row r="94" spans="1:10" ht="16.5" customHeight="1" x14ac:dyDescent="0.35">
      <c r="A94" s="6">
        <v>37</v>
      </c>
      <c r="B94" s="4" t="s">
        <v>177</v>
      </c>
      <c r="C94" s="19" t="s">
        <v>178</v>
      </c>
      <c r="D94" s="266"/>
      <c r="E94" s="266"/>
      <c r="F94" s="1">
        <v>50</v>
      </c>
      <c r="G94" s="1">
        <v>50</v>
      </c>
      <c r="H94" s="8">
        <v>18250</v>
      </c>
      <c r="I94" s="26">
        <f t="shared" si="6"/>
        <v>12227.5</v>
      </c>
      <c r="J94" s="26">
        <f t="shared" si="7"/>
        <v>11982.949999999999</v>
      </c>
    </row>
    <row r="95" spans="1:10" ht="16.5" customHeight="1" x14ac:dyDescent="0.35">
      <c r="A95" s="6">
        <v>38</v>
      </c>
      <c r="B95" s="4" t="s">
        <v>179</v>
      </c>
      <c r="C95" s="18" t="s">
        <v>180</v>
      </c>
      <c r="D95" s="266"/>
      <c r="E95" s="266"/>
      <c r="F95" s="1">
        <v>50</v>
      </c>
      <c r="G95" s="1">
        <v>50</v>
      </c>
      <c r="H95" s="5">
        <v>18670</v>
      </c>
      <c r="I95" s="26">
        <f t="shared" si="6"/>
        <v>12508.900000000001</v>
      </c>
      <c r="J95" s="26">
        <f t="shared" si="7"/>
        <v>12258.722000000002</v>
      </c>
    </row>
    <row r="96" spans="1:10" ht="16.5" customHeight="1" x14ac:dyDescent="0.35">
      <c r="A96" s="4">
        <v>39</v>
      </c>
      <c r="B96" s="6" t="s">
        <v>181</v>
      </c>
      <c r="C96" s="14" t="s">
        <v>182</v>
      </c>
      <c r="D96" s="266"/>
      <c r="E96" s="266"/>
      <c r="F96" s="1">
        <v>65</v>
      </c>
      <c r="G96" s="1">
        <v>50</v>
      </c>
      <c r="H96" s="8">
        <v>18100</v>
      </c>
      <c r="I96" s="26">
        <f t="shared" si="6"/>
        <v>12127</v>
      </c>
      <c r="J96" s="26">
        <f t="shared" si="7"/>
        <v>11884.46</v>
      </c>
    </row>
    <row r="97" spans="1:10" ht="16.5" customHeight="1" x14ac:dyDescent="0.35">
      <c r="A97" s="6">
        <v>40</v>
      </c>
      <c r="B97" s="6" t="s">
        <v>183</v>
      </c>
      <c r="C97" s="14" t="s">
        <v>184</v>
      </c>
      <c r="D97" s="266"/>
      <c r="E97" s="266"/>
      <c r="F97" s="1">
        <v>65</v>
      </c>
      <c r="G97" s="1">
        <v>50</v>
      </c>
      <c r="H97" s="5">
        <v>18770</v>
      </c>
      <c r="I97" s="26">
        <f t="shared" si="6"/>
        <v>12575.900000000001</v>
      </c>
      <c r="J97" s="26">
        <f t="shared" si="7"/>
        <v>12324.382000000001</v>
      </c>
    </row>
    <row r="98" spans="1:10" ht="16.5" customHeight="1" x14ac:dyDescent="0.35">
      <c r="A98" s="6">
        <v>41</v>
      </c>
      <c r="B98" s="6" t="s">
        <v>185</v>
      </c>
      <c r="C98" s="14" t="s">
        <v>186</v>
      </c>
      <c r="D98" s="266"/>
      <c r="E98" s="266"/>
      <c r="F98" s="1">
        <v>75</v>
      </c>
      <c r="G98" s="1">
        <v>75</v>
      </c>
      <c r="H98" s="8">
        <v>18020</v>
      </c>
      <c r="I98" s="26">
        <f t="shared" si="6"/>
        <v>12073.400000000001</v>
      </c>
      <c r="J98" s="26">
        <f t="shared" si="7"/>
        <v>11831.932000000001</v>
      </c>
    </row>
    <row r="99" spans="1:10" ht="16.5" customHeight="1" x14ac:dyDescent="0.35">
      <c r="A99" s="4">
        <v>42</v>
      </c>
      <c r="B99" s="6" t="s">
        <v>187</v>
      </c>
      <c r="C99" s="14" t="s">
        <v>188</v>
      </c>
      <c r="D99" s="266"/>
      <c r="E99" s="266"/>
      <c r="F99" s="1">
        <v>75</v>
      </c>
      <c r="G99" s="1">
        <v>75</v>
      </c>
      <c r="H99" s="5">
        <v>18680</v>
      </c>
      <c r="I99" s="26">
        <f t="shared" si="6"/>
        <v>12515.6</v>
      </c>
      <c r="J99" s="26">
        <f t="shared" si="7"/>
        <v>12265.288</v>
      </c>
    </row>
    <row r="100" spans="1:10" ht="16.5" customHeight="1" x14ac:dyDescent="0.35">
      <c r="A100" s="6">
        <v>43</v>
      </c>
      <c r="B100" s="6" t="s">
        <v>189</v>
      </c>
      <c r="C100" s="14" t="s">
        <v>190</v>
      </c>
      <c r="D100" s="266"/>
      <c r="E100" s="266"/>
      <c r="F100" s="1">
        <v>100</v>
      </c>
      <c r="G100" s="1">
        <v>100</v>
      </c>
      <c r="H100" s="8">
        <v>19100</v>
      </c>
      <c r="I100" s="26">
        <f t="shared" si="6"/>
        <v>12797</v>
      </c>
      <c r="J100" s="26">
        <f t="shared" si="7"/>
        <v>12541.06</v>
      </c>
    </row>
    <row r="101" spans="1:10" ht="16.5" customHeight="1" x14ac:dyDescent="0.35">
      <c r="A101" s="6">
        <v>44</v>
      </c>
      <c r="B101" s="6" t="s">
        <v>191</v>
      </c>
      <c r="C101" s="14" t="s">
        <v>192</v>
      </c>
      <c r="D101" s="266"/>
      <c r="E101" s="266"/>
      <c r="F101" s="1">
        <v>100</v>
      </c>
      <c r="G101" s="1">
        <v>100</v>
      </c>
      <c r="H101" s="5">
        <v>19500</v>
      </c>
      <c r="I101" s="26">
        <f t="shared" si="6"/>
        <v>13065</v>
      </c>
      <c r="J101" s="26">
        <f t="shared" si="7"/>
        <v>12803.699999999999</v>
      </c>
    </row>
    <row r="102" spans="1:10" ht="16.5" customHeight="1" x14ac:dyDescent="0.35">
      <c r="A102" s="4">
        <v>45</v>
      </c>
      <c r="B102" s="6" t="s">
        <v>193</v>
      </c>
      <c r="C102" s="14" t="s">
        <v>194</v>
      </c>
      <c r="D102" s="266"/>
      <c r="E102" s="266"/>
      <c r="F102" s="1">
        <v>100</v>
      </c>
      <c r="G102" s="1">
        <v>100</v>
      </c>
      <c r="H102" s="5">
        <v>14800</v>
      </c>
      <c r="I102" s="26">
        <f t="shared" si="6"/>
        <v>9916</v>
      </c>
      <c r="J102" s="26">
        <f t="shared" si="7"/>
        <v>9717.68</v>
      </c>
    </row>
    <row r="103" spans="1:10" ht="16.5" customHeight="1" x14ac:dyDescent="0.35">
      <c r="A103" s="6">
        <v>46</v>
      </c>
      <c r="B103" s="4" t="s">
        <v>195</v>
      </c>
      <c r="C103" s="18" t="s">
        <v>196</v>
      </c>
      <c r="D103" s="263"/>
      <c r="E103" s="263"/>
      <c r="F103" s="1">
        <v>100</v>
      </c>
      <c r="G103" s="1">
        <v>100</v>
      </c>
      <c r="H103" s="5">
        <v>15000</v>
      </c>
      <c r="I103" s="26">
        <f t="shared" si="6"/>
        <v>10050</v>
      </c>
      <c r="J103" s="26">
        <f t="shared" si="7"/>
        <v>9849</v>
      </c>
    </row>
    <row r="104" spans="1:10" ht="16.5" customHeight="1" x14ac:dyDescent="0.35">
      <c r="A104" s="6">
        <v>47</v>
      </c>
      <c r="B104" s="6" t="s">
        <v>197</v>
      </c>
      <c r="C104" s="14" t="s">
        <v>198</v>
      </c>
      <c r="D104" s="262">
        <v>5</v>
      </c>
      <c r="E104" s="262">
        <v>3.75</v>
      </c>
      <c r="F104" s="1">
        <v>80</v>
      </c>
      <c r="G104" s="1">
        <v>65</v>
      </c>
      <c r="H104" s="5">
        <v>24600</v>
      </c>
      <c r="I104" s="26">
        <f t="shared" si="6"/>
        <v>16482</v>
      </c>
      <c r="J104" s="26">
        <f t="shared" si="7"/>
        <v>16152.36</v>
      </c>
    </row>
    <row r="105" spans="1:10" ht="16.5" customHeight="1" x14ac:dyDescent="0.35">
      <c r="A105" s="4">
        <v>48</v>
      </c>
      <c r="B105" s="4"/>
      <c r="C105" s="20" t="s">
        <v>199</v>
      </c>
      <c r="D105" s="266"/>
      <c r="E105" s="266"/>
      <c r="F105" s="1">
        <v>80</v>
      </c>
      <c r="G105" s="1">
        <v>65</v>
      </c>
      <c r="H105" s="5">
        <v>26000</v>
      </c>
      <c r="I105" s="26">
        <f t="shared" si="6"/>
        <v>17420</v>
      </c>
      <c r="J105" s="26">
        <f t="shared" si="7"/>
        <v>17071.599999999999</v>
      </c>
    </row>
    <row r="106" spans="1:10" ht="16.5" customHeight="1" x14ac:dyDescent="0.35">
      <c r="A106" s="6">
        <v>49</v>
      </c>
      <c r="B106" s="6" t="s">
        <v>200</v>
      </c>
      <c r="C106" s="20" t="s">
        <v>201</v>
      </c>
      <c r="D106" s="263"/>
      <c r="E106" s="263"/>
      <c r="F106" s="1">
        <v>80</v>
      </c>
      <c r="G106" s="1">
        <v>65</v>
      </c>
      <c r="H106" s="5">
        <v>23600</v>
      </c>
      <c r="I106" s="26">
        <f t="shared" si="6"/>
        <v>15812.000000000002</v>
      </c>
      <c r="J106" s="26">
        <f t="shared" si="7"/>
        <v>15495.760000000002</v>
      </c>
    </row>
    <row r="107" spans="1:10" ht="16.5" customHeight="1" x14ac:dyDescent="0.35">
      <c r="A107" s="6">
        <v>50</v>
      </c>
      <c r="B107" s="4" t="s">
        <v>202</v>
      </c>
      <c r="C107" s="18" t="s">
        <v>203</v>
      </c>
      <c r="D107" s="7">
        <v>0.75</v>
      </c>
      <c r="E107" s="7">
        <v>0.56000000000000005</v>
      </c>
      <c r="F107" s="2">
        <v>25</v>
      </c>
      <c r="G107" s="2">
        <v>25</v>
      </c>
      <c r="H107" s="5">
        <v>5170</v>
      </c>
      <c r="I107" s="26">
        <f t="shared" si="6"/>
        <v>3463.9</v>
      </c>
      <c r="J107" s="26">
        <f t="shared" si="7"/>
        <v>3394.6219999999998</v>
      </c>
    </row>
    <row r="108" spans="1:10" ht="16.5" customHeight="1" x14ac:dyDescent="0.35">
      <c r="A108" s="4">
        <v>51</v>
      </c>
      <c r="B108" s="4" t="s">
        <v>204</v>
      </c>
      <c r="C108" s="18" t="s">
        <v>205</v>
      </c>
      <c r="D108" s="262">
        <v>1</v>
      </c>
      <c r="E108" s="262">
        <v>0.75</v>
      </c>
      <c r="F108" s="1">
        <v>40</v>
      </c>
      <c r="G108" s="1">
        <v>40</v>
      </c>
      <c r="H108" s="5">
        <v>9000</v>
      </c>
      <c r="I108" s="26">
        <f t="shared" si="6"/>
        <v>6030</v>
      </c>
      <c r="J108" s="26">
        <f t="shared" si="7"/>
        <v>5909.4</v>
      </c>
    </row>
    <row r="109" spans="1:10" ht="16.5" customHeight="1" x14ac:dyDescent="0.35">
      <c r="A109" s="6">
        <v>52</v>
      </c>
      <c r="B109" s="4"/>
      <c r="C109" s="18" t="s">
        <v>206</v>
      </c>
      <c r="D109" s="263"/>
      <c r="E109" s="263"/>
      <c r="F109" s="1">
        <v>40</v>
      </c>
      <c r="G109" s="1">
        <v>40</v>
      </c>
      <c r="H109" s="5">
        <v>9000</v>
      </c>
      <c r="I109" s="26">
        <f t="shared" si="6"/>
        <v>6030</v>
      </c>
      <c r="J109" s="26">
        <f t="shared" si="7"/>
        <v>5909.4</v>
      </c>
    </row>
    <row r="110" spans="1:10" ht="16.5" customHeight="1" x14ac:dyDescent="0.35">
      <c r="A110" s="6">
        <v>53</v>
      </c>
      <c r="B110" s="4"/>
      <c r="C110" s="20" t="s">
        <v>207</v>
      </c>
      <c r="D110" s="262">
        <v>2</v>
      </c>
      <c r="E110" s="262">
        <v>1.5</v>
      </c>
      <c r="F110" s="1">
        <v>75</v>
      </c>
      <c r="G110" s="1">
        <v>75</v>
      </c>
      <c r="H110" s="5">
        <v>12500</v>
      </c>
      <c r="I110" s="26">
        <f t="shared" si="6"/>
        <v>8375</v>
      </c>
      <c r="J110" s="26">
        <f t="shared" si="7"/>
        <v>8207.5</v>
      </c>
    </row>
    <row r="111" spans="1:10" ht="16.5" customHeight="1" x14ac:dyDescent="0.35">
      <c r="A111" s="4">
        <v>54</v>
      </c>
      <c r="B111" s="4" t="s">
        <v>208</v>
      </c>
      <c r="C111" s="20" t="s">
        <v>209</v>
      </c>
      <c r="D111" s="266"/>
      <c r="E111" s="266"/>
      <c r="F111" s="1">
        <v>75</v>
      </c>
      <c r="G111" s="1">
        <v>75</v>
      </c>
      <c r="H111" s="5">
        <v>12500</v>
      </c>
      <c r="I111" s="26">
        <f t="shared" si="6"/>
        <v>8375</v>
      </c>
      <c r="J111" s="26">
        <f t="shared" si="7"/>
        <v>8207.5</v>
      </c>
    </row>
    <row r="112" spans="1:10" ht="16.5" customHeight="1" x14ac:dyDescent="0.35">
      <c r="A112" s="6">
        <v>55</v>
      </c>
      <c r="B112" s="4" t="s">
        <v>210</v>
      </c>
      <c r="C112" s="20" t="s">
        <v>211</v>
      </c>
      <c r="D112" s="266"/>
      <c r="E112" s="266"/>
      <c r="F112" s="1">
        <v>65</v>
      </c>
      <c r="G112" s="1">
        <v>50</v>
      </c>
      <c r="H112" s="5">
        <v>12200</v>
      </c>
      <c r="I112" s="26">
        <f t="shared" si="6"/>
        <v>8174.0000000000009</v>
      </c>
      <c r="J112" s="26">
        <f t="shared" si="7"/>
        <v>8010.52</v>
      </c>
    </row>
    <row r="113" spans="1:10" ht="16.5" customHeight="1" x14ac:dyDescent="0.35">
      <c r="A113" s="6">
        <v>56</v>
      </c>
      <c r="B113" s="4" t="s">
        <v>212</v>
      </c>
      <c r="C113" s="20" t="s">
        <v>213</v>
      </c>
      <c r="D113" s="263"/>
      <c r="E113" s="263"/>
      <c r="F113" s="1">
        <v>50</v>
      </c>
      <c r="G113" s="1">
        <v>50</v>
      </c>
      <c r="H113" s="5">
        <v>12200</v>
      </c>
      <c r="I113" s="26">
        <f t="shared" si="6"/>
        <v>8174.0000000000009</v>
      </c>
      <c r="J113" s="26">
        <f t="shared" si="7"/>
        <v>8010.52</v>
      </c>
    </row>
    <row r="114" spans="1:10" ht="16.5" customHeight="1" x14ac:dyDescent="0.35">
      <c r="A114" s="300" t="s">
        <v>214</v>
      </c>
      <c r="B114" s="300"/>
      <c r="C114" s="300"/>
      <c r="D114" s="300"/>
      <c r="E114" s="300"/>
      <c r="F114" s="300"/>
      <c r="G114" s="300"/>
      <c r="H114" s="207" t="s">
        <v>109</v>
      </c>
      <c r="I114" s="315" t="s">
        <v>334</v>
      </c>
      <c r="J114" s="315"/>
    </row>
    <row r="115" spans="1:10" ht="16.5" customHeight="1" x14ac:dyDescent="0.35">
      <c r="A115" s="207" t="s">
        <v>2</v>
      </c>
      <c r="B115" s="287" t="s">
        <v>3</v>
      </c>
      <c r="C115" s="298" t="s">
        <v>4</v>
      </c>
      <c r="D115" s="287" t="s">
        <v>5</v>
      </c>
      <c r="E115" s="287"/>
      <c r="F115" s="287" t="s">
        <v>6</v>
      </c>
      <c r="G115" s="287"/>
      <c r="H115" s="259"/>
      <c r="I115" s="341">
        <v>0.33</v>
      </c>
      <c r="J115" s="341">
        <v>0.02</v>
      </c>
    </row>
    <row r="116" spans="1:10" ht="16.5" customHeight="1" x14ac:dyDescent="0.35">
      <c r="A116" s="208"/>
      <c r="B116" s="287"/>
      <c r="C116" s="298"/>
      <c r="D116" s="11" t="s">
        <v>9</v>
      </c>
      <c r="E116" s="11" t="s">
        <v>10</v>
      </c>
      <c r="F116" s="11" t="s">
        <v>11</v>
      </c>
      <c r="G116" s="11" t="s">
        <v>12</v>
      </c>
      <c r="H116" s="208"/>
      <c r="I116" s="341"/>
      <c r="J116" s="341"/>
    </row>
    <row r="117" spans="1:10" ht="16.5" customHeight="1" x14ac:dyDescent="0.35">
      <c r="A117" s="4">
        <v>1</v>
      </c>
      <c r="B117" s="4" t="s">
        <v>215</v>
      </c>
      <c r="C117" s="12" t="s">
        <v>216</v>
      </c>
      <c r="D117" s="2">
        <v>0.5</v>
      </c>
      <c r="E117" s="2">
        <v>0.37</v>
      </c>
      <c r="F117" s="2">
        <v>25</v>
      </c>
      <c r="G117" s="2">
        <v>25</v>
      </c>
      <c r="H117" s="13">
        <v>5370</v>
      </c>
      <c r="I117" s="297">
        <f>H117*0.63</f>
        <v>3383.1</v>
      </c>
      <c r="J117" s="297"/>
    </row>
    <row r="118" spans="1:10" ht="16.5" customHeight="1" x14ac:dyDescent="0.35">
      <c r="A118" s="4">
        <v>2</v>
      </c>
      <c r="B118" s="4" t="s">
        <v>217</v>
      </c>
      <c r="C118" s="12" t="s">
        <v>218</v>
      </c>
      <c r="D118" s="2">
        <v>1</v>
      </c>
      <c r="E118" s="2">
        <v>0.75</v>
      </c>
      <c r="F118" s="2">
        <v>25</v>
      </c>
      <c r="G118" s="2">
        <v>25</v>
      </c>
      <c r="H118" s="13">
        <v>7070</v>
      </c>
      <c r="I118" s="320">
        <v>4793</v>
      </c>
      <c r="J118" s="320"/>
    </row>
    <row r="119" spans="1:10" ht="16.5" customHeight="1" x14ac:dyDescent="0.35">
      <c r="A119" s="4">
        <v>3</v>
      </c>
      <c r="B119" s="21" t="s">
        <v>219</v>
      </c>
      <c r="C119" s="22" t="s">
        <v>220</v>
      </c>
      <c r="D119" s="23">
        <v>2</v>
      </c>
      <c r="E119" s="4">
        <v>1.5</v>
      </c>
      <c r="F119" s="4">
        <v>50</v>
      </c>
      <c r="G119" s="4">
        <v>50</v>
      </c>
      <c r="H119" s="4">
        <v>12200</v>
      </c>
      <c r="I119" s="26">
        <f t="shared" ref="I119:I128" si="8">H119*0.67</f>
        <v>8174.0000000000009</v>
      </c>
      <c r="J119" s="26">
        <f t="shared" ref="J119:J128" si="9">I119*0.98</f>
        <v>8010.52</v>
      </c>
    </row>
    <row r="120" spans="1:10" ht="16.5" customHeight="1" x14ac:dyDescent="0.35">
      <c r="A120" s="4">
        <v>4</v>
      </c>
      <c r="B120" s="21" t="s">
        <v>221</v>
      </c>
      <c r="C120" s="22" t="s">
        <v>222</v>
      </c>
      <c r="D120" s="23">
        <v>2</v>
      </c>
      <c r="E120" s="4">
        <v>1.5</v>
      </c>
      <c r="F120" s="4">
        <v>50</v>
      </c>
      <c r="G120" s="4">
        <v>50</v>
      </c>
      <c r="H120" s="4">
        <v>12200</v>
      </c>
      <c r="I120" s="26">
        <f t="shared" si="8"/>
        <v>8174.0000000000009</v>
      </c>
      <c r="J120" s="26">
        <f t="shared" si="9"/>
        <v>8010.52</v>
      </c>
    </row>
    <row r="121" spans="1:10" ht="16.5" customHeight="1" x14ac:dyDescent="0.35">
      <c r="A121" s="4">
        <v>5</v>
      </c>
      <c r="B121" s="21" t="s">
        <v>223</v>
      </c>
      <c r="C121" s="22" t="s">
        <v>224</v>
      </c>
      <c r="D121" s="23">
        <v>2</v>
      </c>
      <c r="E121" s="4">
        <v>1.5</v>
      </c>
      <c r="F121" s="4">
        <v>65</v>
      </c>
      <c r="G121" s="4">
        <v>50</v>
      </c>
      <c r="H121" s="4">
        <v>12300</v>
      </c>
      <c r="I121" s="26">
        <f t="shared" si="8"/>
        <v>8241</v>
      </c>
      <c r="J121" s="26">
        <f t="shared" si="9"/>
        <v>8076.18</v>
      </c>
    </row>
    <row r="122" spans="1:10" ht="16.5" customHeight="1" x14ac:dyDescent="0.35">
      <c r="A122" s="4">
        <v>6</v>
      </c>
      <c r="B122" s="21" t="s">
        <v>225</v>
      </c>
      <c r="C122" s="22" t="s">
        <v>226</v>
      </c>
      <c r="D122" s="23">
        <v>2</v>
      </c>
      <c r="E122" s="4">
        <v>1.5</v>
      </c>
      <c r="F122" s="4">
        <v>65</v>
      </c>
      <c r="G122" s="4">
        <v>50</v>
      </c>
      <c r="H122" s="4">
        <v>12300</v>
      </c>
      <c r="I122" s="26">
        <f t="shared" si="8"/>
        <v>8241</v>
      </c>
      <c r="J122" s="26">
        <f t="shared" si="9"/>
        <v>8076.18</v>
      </c>
    </row>
    <row r="123" spans="1:10" ht="16.5" customHeight="1" x14ac:dyDescent="0.35">
      <c r="A123" s="4">
        <v>7</v>
      </c>
      <c r="B123" s="21" t="s">
        <v>227</v>
      </c>
      <c r="C123" s="22" t="s">
        <v>228</v>
      </c>
      <c r="D123" s="21">
        <v>3</v>
      </c>
      <c r="E123" s="4">
        <v>2.25</v>
      </c>
      <c r="F123" s="4">
        <v>65</v>
      </c>
      <c r="G123" s="4">
        <v>50</v>
      </c>
      <c r="H123" s="4">
        <v>12900</v>
      </c>
      <c r="I123" s="26">
        <f t="shared" si="8"/>
        <v>8643</v>
      </c>
      <c r="J123" s="26">
        <f t="shared" si="9"/>
        <v>8470.14</v>
      </c>
    </row>
    <row r="124" spans="1:10" ht="16.5" customHeight="1" x14ac:dyDescent="0.35">
      <c r="A124" s="4">
        <v>8</v>
      </c>
      <c r="B124" s="21" t="s">
        <v>229</v>
      </c>
      <c r="C124" s="24" t="s">
        <v>230</v>
      </c>
      <c r="D124" s="21">
        <v>3</v>
      </c>
      <c r="E124" s="4">
        <v>2.25</v>
      </c>
      <c r="F124" s="4">
        <v>65</v>
      </c>
      <c r="G124" s="4">
        <v>50</v>
      </c>
      <c r="H124" s="4">
        <v>13000</v>
      </c>
      <c r="I124" s="26">
        <f t="shared" si="8"/>
        <v>8710</v>
      </c>
      <c r="J124" s="26">
        <f t="shared" si="9"/>
        <v>8535.7999999999993</v>
      </c>
    </row>
    <row r="125" spans="1:10" ht="16.5" customHeight="1" x14ac:dyDescent="0.35">
      <c r="A125" s="4">
        <v>9</v>
      </c>
      <c r="B125" s="21" t="s">
        <v>231</v>
      </c>
      <c r="C125" s="24" t="s">
        <v>232</v>
      </c>
      <c r="D125" s="21">
        <v>3</v>
      </c>
      <c r="E125" s="4">
        <v>2.25</v>
      </c>
      <c r="F125" s="4">
        <v>65</v>
      </c>
      <c r="G125" s="4">
        <v>50</v>
      </c>
      <c r="H125" s="4">
        <v>12900</v>
      </c>
      <c r="I125" s="26">
        <f t="shared" si="8"/>
        <v>8643</v>
      </c>
      <c r="J125" s="26">
        <f t="shared" si="9"/>
        <v>8470.14</v>
      </c>
    </row>
    <row r="126" spans="1:10" ht="16.5" customHeight="1" x14ac:dyDescent="0.35">
      <c r="A126" s="4">
        <v>10</v>
      </c>
      <c r="B126" s="21" t="s">
        <v>233</v>
      </c>
      <c r="C126" s="24" t="s">
        <v>234</v>
      </c>
      <c r="D126" s="21">
        <v>3</v>
      </c>
      <c r="E126" s="4">
        <v>2.25</v>
      </c>
      <c r="F126" s="4">
        <v>65</v>
      </c>
      <c r="G126" s="4">
        <v>50</v>
      </c>
      <c r="H126" s="4">
        <v>19300</v>
      </c>
      <c r="I126" s="26">
        <f t="shared" si="8"/>
        <v>12931</v>
      </c>
      <c r="J126" s="26">
        <f t="shared" si="9"/>
        <v>12672.38</v>
      </c>
    </row>
    <row r="127" spans="1:10" ht="16.5" customHeight="1" x14ac:dyDescent="0.35">
      <c r="A127" s="4">
        <v>11</v>
      </c>
      <c r="B127" s="21" t="s">
        <v>235</v>
      </c>
      <c r="C127" s="24" t="s">
        <v>236</v>
      </c>
      <c r="D127" s="21">
        <v>5</v>
      </c>
      <c r="E127" s="1">
        <v>3.75</v>
      </c>
      <c r="F127" s="4">
        <v>65</v>
      </c>
      <c r="G127" s="4">
        <v>50</v>
      </c>
      <c r="H127" s="4">
        <v>18700</v>
      </c>
      <c r="I127" s="26">
        <f t="shared" si="8"/>
        <v>12529</v>
      </c>
      <c r="J127" s="26">
        <f t="shared" si="9"/>
        <v>12278.42</v>
      </c>
    </row>
    <row r="128" spans="1:10" ht="16.5" customHeight="1" x14ac:dyDescent="0.35">
      <c r="A128" s="4">
        <v>12</v>
      </c>
      <c r="B128" s="21" t="s">
        <v>237</v>
      </c>
      <c r="C128" s="24" t="s">
        <v>238</v>
      </c>
      <c r="D128" s="21">
        <v>5</v>
      </c>
      <c r="E128" s="1">
        <v>3.75</v>
      </c>
      <c r="F128" s="4">
        <v>65</v>
      </c>
      <c r="G128" s="4">
        <v>50</v>
      </c>
      <c r="H128" s="4">
        <v>22900</v>
      </c>
      <c r="I128" s="26">
        <f t="shared" si="8"/>
        <v>15343.000000000002</v>
      </c>
      <c r="J128" s="26">
        <f t="shared" si="9"/>
        <v>15036.140000000001</v>
      </c>
    </row>
    <row r="129" spans="1:10" ht="16.5" customHeight="1" x14ac:dyDescent="0.35">
      <c r="A129" s="300" t="s">
        <v>239</v>
      </c>
      <c r="B129" s="300"/>
      <c r="C129" s="300"/>
      <c r="D129" s="300"/>
      <c r="E129" s="300"/>
      <c r="F129" s="300"/>
      <c r="G129" s="300"/>
      <c r="H129" s="207" t="s">
        <v>109</v>
      </c>
      <c r="I129" s="315" t="s">
        <v>334</v>
      </c>
      <c r="J129" s="315"/>
    </row>
    <row r="130" spans="1:10" ht="16.5" customHeight="1" x14ac:dyDescent="0.35">
      <c r="A130" s="287" t="s">
        <v>2</v>
      </c>
      <c r="B130" s="287" t="s">
        <v>3</v>
      </c>
      <c r="C130" s="298" t="s">
        <v>4</v>
      </c>
      <c r="D130" s="287" t="s">
        <v>5</v>
      </c>
      <c r="E130" s="287"/>
      <c r="F130" s="272" t="s">
        <v>6</v>
      </c>
      <c r="G130" s="273"/>
      <c r="H130" s="259"/>
      <c r="I130" s="341">
        <v>0.33</v>
      </c>
      <c r="J130" s="341">
        <v>0.02</v>
      </c>
    </row>
    <row r="131" spans="1:10" ht="16.5" customHeight="1" x14ac:dyDescent="0.35">
      <c r="A131" s="287"/>
      <c r="B131" s="287"/>
      <c r="C131" s="298"/>
      <c r="D131" s="11" t="s">
        <v>9</v>
      </c>
      <c r="E131" s="11" t="s">
        <v>10</v>
      </c>
      <c r="F131" s="274"/>
      <c r="G131" s="275"/>
      <c r="H131" s="208"/>
      <c r="I131" s="341"/>
      <c r="J131" s="341"/>
    </row>
    <row r="132" spans="1:10" ht="16.5" customHeight="1" x14ac:dyDescent="0.35">
      <c r="A132" s="4">
        <v>1</v>
      </c>
      <c r="B132" s="4" t="s">
        <v>240</v>
      </c>
      <c r="C132" s="25" t="s">
        <v>241</v>
      </c>
      <c r="D132" s="4">
        <v>0.5</v>
      </c>
      <c r="E132" s="4"/>
      <c r="F132" s="292">
        <v>32</v>
      </c>
      <c r="G132" s="292"/>
      <c r="H132" s="4">
        <v>8240</v>
      </c>
      <c r="I132" s="26">
        <f t="shared" ref="I132:I154" si="10">H132*0.67</f>
        <v>5520.8</v>
      </c>
      <c r="J132" s="26">
        <f t="shared" ref="J132:J154" si="11">I132*0.98</f>
        <v>5410.384</v>
      </c>
    </row>
    <row r="133" spans="1:10" ht="16.5" customHeight="1" x14ac:dyDescent="0.35">
      <c r="A133" s="4">
        <v>2</v>
      </c>
      <c r="B133" s="4" t="s">
        <v>242</v>
      </c>
      <c r="C133" s="25" t="s">
        <v>243</v>
      </c>
      <c r="D133" s="4">
        <v>0.5</v>
      </c>
      <c r="E133" s="4"/>
      <c r="F133" s="292">
        <v>32</v>
      </c>
      <c r="G133" s="292"/>
      <c r="H133" s="4">
        <v>8450</v>
      </c>
      <c r="I133" s="26">
        <f t="shared" si="10"/>
        <v>5661.5</v>
      </c>
      <c r="J133" s="26">
        <f t="shared" si="11"/>
        <v>5548.2699999999995</v>
      </c>
    </row>
    <row r="134" spans="1:10" ht="16.5" customHeight="1" x14ac:dyDescent="0.35">
      <c r="A134" s="4">
        <v>3</v>
      </c>
      <c r="B134" s="4" t="s">
        <v>244</v>
      </c>
      <c r="C134" s="25" t="s">
        <v>245</v>
      </c>
      <c r="D134" s="4">
        <v>0.75</v>
      </c>
      <c r="E134" s="4"/>
      <c r="F134" s="292">
        <v>32</v>
      </c>
      <c r="G134" s="292"/>
      <c r="H134" s="4">
        <v>8550</v>
      </c>
      <c r="I134" s="26">
        <f t="shared" si="10"/>
        <v>5728.5</v>
      </c>
      <c r="J134" s="26">
        <f t="shared" si="11"/>
        <v>5613.93</v>
      </c>
    </row>
    <row r="135" spans="1:10" ht="16.5" customHeight="1" x14ac:dyDescent="0.35">
      <c r="A135" s="4">
        <v>4</v>
      </c>
      <c r="B135" s="4" t="s">
        <v>246</v>
      </c>
      <c r="C135" s="25" t="s">
        <v>247</v>
      </c>
      <c r="D135" s="4">
        <v>0.75</v>
      </c>
      <c r="E135" s="4"/>
      <c r="F135" s="292">
        <v>32</v>
      </c>
      <c r="G135" s="292"/>
      <c r="H135" s="4">
        <v>8750</v>
      </c>
      <c r="I135" s="26">
        <f t="shared" si="10"/>
        <v>5862.5</v>
      </c>
      <c r="J135" s="26">
        <f t="shared" si="11"/>
        <v>5745.25</v>
      </c>
    </row>
    <row r="136" spans="1:10" ht="16.5" customHeight="1" x14ac:dyDescent="0.35">
      <c r="A136" s="4">
        <v>5</v>
      </c>
      <c r="B136" s="4" t="s">
        <v>248</v>
      </c>
      <c r="C136" s="25" t="s">
        <v>249</v>
      </c>
      <c r="D136" s="4">
        <v>1</v>
      </c>
      <c r="E136" s="4"/>
      <c r="F136" s="292">
        <v>32</v>
      </c>
      <c r="G136" s="292"/>
      <c r="H136" s="26">
        <v>8800</v>
      </c>
      <c r="I136" s="26">
        <f t="shared" si="10"/>
        <v>5896</v>
      </c>
      <c r="J136" s="26">
        <f t="shared" si="11"/>
        <v>5778.08</v>
      </c>
    </row>
    <row r="137" spans="1:10" ht="16.5" customHeight="1" x14ac:dyDescent="0.35">
      <c r="A137" s="4">
        <v>6</v>
      </c>
      <c r="B137" s="4" t="s">
        <v>250</v>
      </c>
      <c r="C137" s="25" t="s">
        <v>251</v>
      </c>
      <c r="D137" s="4">
        <v>1</v>
      </c>
      <c r="E137" s="4"/>
      <c r="F137" s="292">
        <v>32</v>
      </c>
      <c r="G137" s="292"/>
      <c r="H137" s="26">
        <v>9000</v>
      </c>
      <c r="I137" s="26">
        <f t="shared" si="10"/>
        <v>6030</v>
      </c>
      <c r="J137" s="26">
        <f t="shared" si="11"/>
        <v>5909.4</v>
      </c>
    </row>
    <row r="138" spans="1:10" ht="16.5" customHeight="1" x14ac:dyDescent="0.35">
      <c r="A138" s="4">
        <v>7</v>
      </c>
      <c r="B138" s="4" t="s">
        <v>252</v>
      </c>
      <c r="C138" s="25" t="s">
        <v>253</v>
      </c>
      <c r="D138" s="4">
        <v>1</v>
      </c>
      <c r="E138" s="4"/>
      <c r="F138" s="292">
        <v>32</v>
      </c>
      <c r="G138" s="292"/>
      <c r="H138" s="4">
        <v>9480</v>
      </c>
      <c r="I138" s="26">
        <f t="shared" si="10"/>
        <v>6351.6</v>
      </c>
      <c r="J138" s="26">
        <f t="shared" si="11"/>
        <v>6224.5680000000002</v>
      </c>
    </row>
    <row r="139" spans="1:10" ht="16.5" customHeight="1" x14ac:dyDescent="0.35">
      <c r="A139" s="4">
        <v>8</v>
      </c>
      <c r="B139" s="4" t="s">
        <v>254</v>
      </c>
      <c r="C139" s="25" t="s">
        <v>255</v>
      </c>
      <c r="D139" s="4">
        <v>1</v>
      </c>
      <c r="E139" s="4"/>
      <c r="F139" s="292">
        <v>32</v>
      </c>
      <c r="G139" s="292"/>
      <c r="H139" s="4">
        <v>9790</v>
      </c>
      <c r="I139" s="26">
        <f t="shared" si="10"/>
        <v>6559.3</v>
      </c>
      <c r="J139" s="26">
        <f t="shared" si="11"/>
        <v>6428.1140000000005</v>
      </c>
    </row>
    <row r="140" spans="1:10" ht="16.5" customHeight="1" x14ac:dyDescent="0.35">
      <c r="A140" s="4">
        <v>9</v>
      </c>
      <c r="B140" s="4" t="s">
        <v>256</v>
      </c>
      <c r="C140" s="25" t="s">
        <v>257</v>
      </c>
      <c r="D140" s="4">
        <v>1.5</v>
      </c>
      <c r="E140" s="4"/>
      <c r="F140" s="292">
        <v>32</v>
      </c>
      <c r="G140" s="292"/>
      <c r="H140" s="4">
        <v>11330</v>
      </c>
      <c r="I140" s="26">
        <f t="shared" si="10"/>
        <v>7591.1</v>
      </c>
      <c r="J140" s="26">
        <f t="shared" si="11"/>
        <v>7439.2780000000002</v>
      </c>
    </row>
    <row r="141" spans="1:10" ht="16.5" customHeight="1" x14ac:dyDescent="0.35">
      <c r="A141" s="4">
        <v>10</v>
      </c>
      <c r="B141" s="4" t="s">
        <v>258</v>
      </c>
      <c r="C141" s="25" t="s">
        <v>259</v>
      </c>
      <c r="D141" s="4">
        <v>1.5</v>
      </c>
      <c r="E141" s="4"/>
      <c r="F141" s="292">
        <v>32</v>
      </c>
      <c r="G141" s="292"/>
      <c r="H141" s="4">
        <v>11640</v>
      </c>
      <c r="I141" s="26">
        <f t="shared" si="10"/>
        <v>7798.8</v>
      </c>
      <c r="J141" s="26">
        <f t="shared" si="11"/>
        <v>7642.8239999999996</v>
      </c>
    </row>
    <row r="142" spans="1:10" ht="16.5" customHeight="1" x14ac:dyDescent="0.35">
      <c r="A142" s="4">
        <v>11</v>
      </c>
      <c r="B142" s="4" t="s">
        <v>260</v>
      </c>
      <c r="C142" s="25" t="s">
        <v>261</v>
      </c>
      <c r="D142" s="4">
        <v>1.5</v>
      </c>
      <c r="E142" s="4"/>
      <c r="F142" s="292">
        <v>32</v>
      </c>
      <c r="G142" s="292"/>
      <c r="H142" s="4">
        <v>11800</v>
      </c>
      <c r="I142" s="26">
        <f t="shared" si="10"/>
        <v>7906.0000000000009</v>
      </c>
      <c r="J142" s="26">
        <f t="shared" si="11"/>
        <v>7747.880000000001</v>
      </c>
    </row>
    <row r="143" spans="1:10" ht="16.5" customHeight="1" x14ac:dyDescent="0.35">
      <c r="A143" s="4">
        <v>12</v>
      </c>
      <c r="B143" s="4" t="s">
        <v>262</v>
      </c>
      <c r="C143" s="25" t="s">
        <v>263</v>
      </c>
      <c r="D143" s="4">
        <v>1.5</v>
      </c>
      <c r="E143" s="4"/>
      <c r="F143" s="292">
        <v>32</v>
      </c>
      <c r="G143" s="292"/>
      <c r="H143" s="4">
        <v>12670</v>
      </c>
      <c r="I143" s="26">
        <f t="shared" si="10"/>
        <v>8488.9</v>
      </c>
      <c r="J143" s="26">
        <f t="shared" si="11"/>
        <v>8319.1219999999994</v>
      </c>
    </row>
    <row r="144" spans="1:10" ht="16.5" customHeight="1" x14ac:dyDescent="0.35">
      <c r="A144" s="4">
        <v>13</v>
      </c>
      <c r="B144" s="4" t="s">
        <v>264</v>
      </c>
      <c r="C144" s="25" t="s">
        <v>265</v>
      </c>
      <c r="D144" s="4">
        <v>2</v>
      </c>
      <c r="E144" s="4"/>
      <c r="F144" s="292">
        <v>40</v>
      </c>
      <c r="G144" s="292"/>
      <c r="H144" s="4">
        <v>14730</v>
      </c>
      <c r="I144" s="26">
        <f t="shared" si="10"/>
        <v>9869.1</v>
      </c>
      <c r="J144" s="26">
        <f t="shared" si="11"/>
        <v>9671.7180000000008</v>
      </c>
    </row>
    <row r="145" spans="1:10" ht="16.5" customHeight="1" x14ac:dyDescent="0.35">
      <c r="A145" s="4">
        <v>14</v>
      </c>
      <c r="B145" s="4" t="s">
        <v>266</v>
      </c>
      <c r="C145" s="25" t="s">
        <v>267</v>
      </c>
      <c r="D145" s="4">
        <v>2</v>
      </c>
      <c r="E145" s="4"/>
      <c r="F145" s="292">
        <v>32</v>
      </c>
      <c r="G145" s="292"/>
      <c r="H145" s="4">
        <v>15250</v>
      </c>
      <c r="I145" s="26">
        <f t="shared" si="10"/>
        <v>10217.5</v>
      </c>
      <c r="J145" s="26">
        <f t="shared" si="11"/>
        <v>10013.15</v>
      </c>
    </row>
    <row r="146" spans="1:10" ht="16.5" customHeight="1" x14ac:dyDescent="0.35">
      <c r="A146" s="4">
        <v>15</v>
      </c>
      <c r="B146" s="4" t="s">
        <v>268</v>
      </c>
      <c r="C146" s="25" t="s">
        <v>269</v>
      </c>
      <c r="D146" s="4">
        <v>2</v>
      </c>
      <c r="E146" s="4"/>
      <c r="F146" s="292">
        <v>32</v>
      </c>
      <c r="G146" s="292"/>
      <c r="H146" s="4">
        <v>15860</v>
      </c>
      <c r="I146" s="26">
        <f t="shared" si="10"/>
        <v>10626.2</v>
      </c>
      <c r="J146" s="26">
        <f t="shared" si="11"/>
        <v>10413.676000000001</v>
      </c>
    </row>
    <row r="147" spans="1:10" ht="16.5" customHeight="1" x14ac:dyDescent="0.35">
      <c r="A147" s="4">
        <v>16</v>
      </c>
      <c r="B147" s="4" t="s">
        <v>270</v>
      </c>
      <c r="C147" s="25" t="s">
        <v>271</v>
      </c>
      <c r="D147" s="4">
        <v>2</v>
      </c>
      <c r="E147" s="4"/>
      <c r="F147" s="292">
        <v>32</v>
      </c>
      <c r="G147" s="292"/>
      <c r="H147" s="4">
        <v>15970</v>
      </c>
      <c r="I147" s="26">
        <f t="shared" si="10"/>
        <v>10699.900000000001</v>
      </c>
      <c r="J147" s="26">
        <f t="shared" si="11"/>
        <v>10485.902000000002</v>
      </c>
    </row>
    <row r="148" spans="1:10" ht="16.5" customHeight="1" x14ac:dyDescent="0.35">
      <c r="A148" s="4">
        <v>17</v>
      </c>
      <c r="B148" s="4" t="s">
        <v>272</v>
      </c>
      <c r="C148" s="25" t="s">
        <v>273</v>
      </c>
      <c r="D148" s="4">
        <v>2</v>
      </c>
      <c r="E148" s="4"/>
      <c r="F148" s="292">
        <v>32</v>
      </c>
      <c r="G148" s="292"/>
      <c r="H148" s="4">
        <v>16480</v>
      </c>
      <c r="I148" s="26">
        <f t="shared" si="10"/>
        <v>11041.6</v>
      </c>
      <c r="J148" s="26">
        <f t="shared" si="11"/>
        <v>10820.768</v>
      </c>
    </row>
    <row r="149" spans="1:10" ht="16.5" customHeight="1" x14ac:dyDescent="0.35">
      <c r="A149" s="4">
        <v>18</v>
      </c>
      <c r="B149" s="4" t="s">
        <v>274</v>
      </c>
      <c r="C149" s="25" t="s">
        <v>275</v>
      </c>
      <c r="D149" s="4">
        <v>2</v>
      </c>
      <c r="E149" s="4"/>
      <c r="F149" s="292">
        <v>65</v>
      </c>
      <c r="G149" s="292"/>
      <c r="H149" s="4">
        <v>14940</v>
      </c>
      <c r="I149" s="26">
        <f t="shared" si="10"/>
        <v>10009.800000000001</v>
      </c>
      <c r="J149" s="26">
        <f t="shared" si="11"/>
        <v>9809.6040000000012</v>
      </c>
    </row>
    <row r="150" spans="1:10" ht="16.5" customHeight="1" x14ac:dyDescent="0.35">
      <c r="A150" s="4">
        <v>19</v>
      </c>
      <c r="B150" s="4" t="s">
        <v>276</v>
      </c>
      <c r="C150" s="25" t="s">
        <v>277</v>
      </c>
      <c r="D150" s="4">
        <v>3</v>
      </c>
      <c r="E150" s="4"/>
      <c r="F150" s="292">
        <v>32</v>
      </c>
      <c r="G150" s="292"/>
      <c r="H150" s="4">
        <v>23500</v>
      </c>
      <c r="I150" s="26">
        <f t="shared" si="10"/>
        <v>15745.000000000002</v>
      </c>
      <c r="J150" s="26">
        <f t="shared" si="11"/>
        <v>15430.100000000002</v>
      </c>
    </row>
    <row r="151" spans="1:10" ht="16.5" customHeight="1" x14ac:dyDescent="0.35">
      <c r="A151" s="4">
        <v>20</v>
      </c>
      <c r="B151" s="4" t="s">
        <v>278</v>
      </c>
      <c r="C151" s="25" t="s">
        <v>279</v>
      </c>
      <c r="D151" s="4">
        <v>3</v>
      </c>
      <c r="E151" s="4"/>
      <c r="F151" s="292">
        <v>32</v>
      </c>
      <c r="G151" s="292"/>
      <c r="H151" s="4">
        <v>24000</v>
      </c>
      <c r="I151" s="26">
        <f t="shared" si="10"/>
        <v>16080.000000000002</v>
      </c>
      <c r="J151" s="26">
        <f t="shared" si="11"/>
        <v>15758.400000000001</v>
      </c>
    </row>
    <row r="152" spans="1:10" ht="16.5" customHeight="1" x14ac:dyDescent="0.35">
      <c r="A152" s="4">
        <v>21</v>
      </c>
      <c r="B152" s="4" t="s">
        <v>280</v>
      </c>
      <c r="C152" s="25" t="s">
        <v>281</v>
      </c>
      <c r="D152" s="4">
        <v>3</v>
      </c>
      <c r="E152" s="4"/>
      <c r="F152" s="292">
        <v>32</v>
      </c>
      <c r="G152" s="292"/>
      <c r="H152" s="4">
        <v>24500</v>
      </c>
      <c r="I152" s="26">
        <f t="shared" si="10"/>
        <v>16415</v>
      </c>
      <c r="J152" s="26">
        <f t="shared" si="11"/>
        <v>16086.699999999999</v>
      </c>
    </row>
    <row r="153" spans="1:10" ht="16.5" customHeight="1" x14ac:dyDescent="0.35">
      <c r="A153" s="4">
        <v>22</v>
      </c>
      <c r="B153" s="4" t="s">
        <v>282</v>
      </c>
      <c r="C153" s="25" t="s">
        <v>283</v>
      </c>
      <c r="D153" s="4">
        <v>3</v>
      </c>
      <c r="E153" s="4"/>
      <c r="F153" s="292">
        <v>65</v>
      </c>
      <c r="G153" s="292"/>
      <c r="H153" s="4">
        <v>23690</v>
      </c>
      <c r="I153" s="26">
        <f t="shared" si="10"/>
        <v>15872.300000000001</v>
      </c>
      <c r="J153" s="26">
        <f t="shared" si="11"/>
        <v>15554.854000000001</v>
      </c>
    </row>
    <row r="154" spans="1:10" ht="16.5" customHeight="1" x14ac:dyDescent="0.35">
      <c r="A154" s="4">
        <v>23</v>
      </c>
      <c r="B154" s="4" t="s">
        <v>284</v>
      </c>
      <c r="C154" s="25" t="s">
        <v>283</v>
      </c>
      <c r="D154" s="4">
        <v>3</v>
      </c>
      <c r="E154" s="4"/>
      <c r="F154" s="292">
        <v>65</v>
      </c>
      <c r="G154" s="292"/>
      <c r="H154" s="4">
        <v>15450</v>
      </c>
      <c r="I154" s="26">
        <f t="shared" si="10"/>
        <v>10351.5</v>
      </c>
      <c r="J154" s="26">
        <f t="shared" si="11"/>
        <v>10144.469999999999</v>
      </c>
    </row>
    <row r="155" spans="1:10" ht="16.5" customHeight="1" x14ac:dyDescent="0.35">
      <c r="A155" s="300" t="s">
        <v>285</v>
      </c>
      <c r="B155" s="300"/>
      <c r="C155" s="300"/>
      <c r="D155" s="300"/>
      <c r="E155" s="300"/>
      <c r="F155" s="300"/>
      <c r="G155" s="300"/>
      <c r="H155" s="207" t="s">
        <v>109</v>
      </c>
      <c r="I155" s="315" t="s">
        <v>334</v>
      </c>
      <c r="J155" s="315"/>
    </row>
    <row r="156" spans="1:10" ht="16.5" customHeight="1" x14ac:dyDescent="0.35">
      <c r="A156" s="287" t="s">
        <v>2</v>
      </c>
      <c r="B156" s="287" t="s">
        <v>3</v>
      </c>
      <c r="C156" s="298" t="s">
        <v>4</v>
      </c>
      <c r="D156" s="287" t="s">
        <v>5</v>
      </c>
      <c r="E156" s="287"/>
      <c r="F156" s="287" t="s">
        <v>6</v>
      </c>
      <c r="G156" s="287"/>
      <c r="H156" s="259"/>
      <c r="I156" s="341">
        <v>0.33</v>
      </c>
      <c r="J156" s="341">
        <v>0.02</v>
      </c>
    </row>
    <row r="157" spans="1:10" ht="16.5" customHeight="1" x14ac:dyDescent="0.35">
      <c r="A157" s="287"/>
      <c r="B157" s="287"/>
      <c r="C157" s="298"/>
      <c r="D157" s="11" t="s">
        <v>9</v>
      </c>
      <c r="E157" s="11" t="s">
        <v>10</v>
      </c>
      <c r="F157" s="11" t="s">
        <v>11</v>
      </c>
      <c r="G157" s="11" t="s">
        <v>12</v>
      </c>
      <c r="H157" s="208"/>
      <c r="I157" s="341"/>
      <c r="J157" s="341"/>
    </row>
    <row r="158" spans="1:10" ht="16.5" customHeight="1" x14ac:dyDescent="0.35">
      <c r="A158" s="4">
        <v>1</v>
      </c>
      <c r="B158" s="4" t="s">
        <v>286</v>
      </c>
      <c r="C158" s="25" t="s">
        <v>287</v>
      </c>
      <c r="D158" s="4">
        <v>0.5</v>
      </c>
      <c r="E158" s="4"/>
      <c r="F158" s="292">
        <v>32</v>
      </c>
      <c r="G158" s="292"/>
      <c r="H158" s="4">
        <v>6800</v>
      </c>
      <c r="I158" s="26">
        <f t="shared" ref="I158:I172" si="12">H158*0.67</f>
        <v>4556</v>
      </c>
      <c r="J158" s="26">
        <f t="shared" ref="J158:J172" si="13">I158*0.98</f>
        <v>4464.88</v>
      </c>
    </row>
    <row r="159" spans="1:10" ht="16.5" customHeight="1" x14ac:dyDescent="0.35">
      <c r="A159" s="4">
        <v>2</v>
      </c>
      <c r="B159" s="4" t="s">
        <v>288</v>
      </c>
      <c r="C159" s="25" t="s">
        <v>289</v>
      </c>
      <c r="D159" s="4">
        <v>0.5</v>
      </c>
      <c r="E159" s="4"/>
      <c r="F159" s="292">
        <v>32</v>
      </c>
      <c r="G159" s="292"/>
      <c r="H159" s="4">
        <v>7600</v>
      </c>
      <c r="I159" s="26">
        <f t="shared" si="12"/>
        <v>5092</v>
      </c>
      <c r="J159" s="26">
        <f t="shared" si="13"/>
        <v>4990.16</v>
      </c>
    </row>
    <row r="160" spans="1:10" ht="16.5" customHeight="1" x14ac:dyDescent="0.35">
      <c r="A160" s="4">
        <v>3</v>
      </c>
      <c r="B160" s="4" t="s">
        <v>290</v>
      </c>
      <c r="C160" s="25" t="s">
        <v>291</v>
      </c>
      <c r="D160" s="4">
        <v>0.75</v>
      </c>
      <c r="E160" s="4"/>
      <c r="F160" s="292">
        <v>32</v>
      </c>
      <c r="G160" s="292"/>
      <c r="H160" s="4">
        <v>7800</v>
      </c>
      <c r="I160" s="26">
        <f t="shared" si="12"/>
        <v>5226</v>
      </c>
      <c r="J160" s="26">
        <f t="shared" si="13"/>
        <v>5121.4799999999996</v>
      </c>
    </row>
    <row r="161" spans="1:10" ht="16.5" customHeight="1" x14ac:dyDescent="0.35">
      <c r="A161" s="4">
        <v>4</v>
      </c>
      <c r="B161" s="4" t="s">
        <v>292</v>
      </c>
      <c r="C161" s="25" t="s">
        <v>293</v>
      </c>
      <c r="D161" s="4">
        <v>0.75</v>
      </c>
      <c r="E161" s="4"/>
      <c r="F161" s="292">
        <v>32</v>
      </c>
      <c r="G161" s="292"/>
      <c r="H161" s="4">
        <v>8000</v>
      </c>
      <c r="I161" s="26">
        <f t="shared" si="12"/>
        <v>5360</v>
      </c>
      <c r="J161" s="26">
        <f t="shared" si="13"/>
        <v>5252.8</v>
      </c>
    </row>
    <row r="162" spans="1:10" ht="16.5" customHeight="1" x14ac:dyDescent="0.35">
      <c r="A162" s="4">
        <v>5</v>
      </c>
      <c r="B162" s="4" t="s">
        <v>294</v>
      </c>
      <c r="C162" s="25" t="s">
        <v>295</v>
      </c>
      <c r="D162" s="4">
        <v>1</v>
      </c>
      <c r="E162" s="4"/>
      <c r="F162" s="292">
        <v>32</v>
      </c>
      <c r="G162" s="292"/>
      <c r="H162" s="4">
        <v>8200</v>
      </c>
      <c r="I162" s="26">
        <f t="shared" si="12"/>
        <v>5494</v>
      </c>
      <c r="J162" s="26">
        <f t="shared" si="13"/>
        <v>5384.12</v>
      </c>
    </row>
    <row r="163" spans="1:10" ht="16.5" customHeight="1" x14ac:dyDescent="0.35">
      <c r="A163" s="4">
        <v>6</v>
      </c>
      <c r="B163" s="4" t="s">
        <v>296</v>
      </c>
      <c r="C163" s="25" t="s">
        <v>297</v>
      </c>
      <c r="D163" s="4">
        <v>1</v>
      </c>
      <c r="E163" s="4"/>
      <c r="F163" s="292">
        <v>32</v>
      </c>
      <c r="G163" s="292"/>
      <c r="H163" s="4">
        <v>8400</v>
      </c>
      <c r="I163" s="26">
        <f t="shared" si="12"/>
        <v>5628</v>
      </c>
      <c r="J163" s="26">
        <f t="shared" si="13"/>
        <v>5515.44</v>
      </c>
    </row>
    <row r="164" spans="1:10" ht="16.5" customHeight="1" x14ac:dyDescent="0.35">
      <c r="A164" s="4">
        <v>7</v>
      </c>
      <c r="B164" s="4" t="s">
        <v>298</v>
      </c>
      <c r="C164" s="25" t="s">
        <v>299</v>
      </c>
      <c r="D164" s="4">
        <v>1</v>
      </c>
      <c r="E164" s="4"/>
      <c r="F164" s="292">
        <v>32</v>
      </c>
      <c r="G164" s="292"/>
      <c r="H164" s="4">
        <v>8600</v>
      </c>
      <c r="I164" s="26">
        <f t="shared" si="12"/>
        <v>5762</v>
      </c>
      <c r="J164" s="26">
        <f t="shared" si="13"/>
        <v>5646.76</v>
      </c>
    </row>
    <row r="165" spans="1:10" ht="16.5" customHeight="1" x14ac:dyDescent="0.35">
      <c r="A165" s="4">
        <v>8</v>
      </c>
      <c r="B165" s="4" t="s">
        <v>300</v>
      </c>
      <c r="C165" s="25" t="s">
        <v>301</v>
      </c>
      <c r="D165" s="4">
        <v>1.5</v>
      </c>
      <c r="E165" s="4"/>
      <c r="F165" s="292">
        <v>32</v>
      </c>
      <c r="G165" s="292"/>
      <c r="H165" s="4">
        <v>9000</v>
      </c>
      <c r="I165" s="26">
        <f t="shared" si="12"/>
        <v>6030</v>
      </c>
      <c r="J165" s="26">
        <f t="shared" si="13"/>
        <v>5909.4</v>
      </c>
    </row>
    <row r="166" spans="1:10" ht="16.5" customHeight="1" x14ac:dyDescent="0.35">
      <c r="A166" s="4">
        <v>9</v>
      </c>
      <c r="B166" s="4" t="s">
        <v>302</v>
      </c>
      <c r="C166" s="25" t="s">
        <v>303</v>
      </c>
      <c r="D166" s="4">
        <v>1.5</v>
      </c>
      <c r="E166" s="4"/>
      <c r="F166" s="292">
        <v>32</v>
      </c>
      <c r="G166" s="292"/>
      <c r="H166" s="4">
        <v>10600</v>
      </c>
      <c r="I166" s="26">
        <f t="shared" si="12"/>
        <v>7102</v>
      </c>
      <c r="J166" s="26">
        <f t="shared" si="13"/>
        <v>6959.96</v>
      </c>
    </row>
    <row r="167" spans="1:10" ht="16.5" customHeight="1" x14ac:dyDescent="0.35">
      <c r="A167" s="4">
        <v>10</v>
      </c>
      <c r="B167" s="4" t="s">
        <v>304</v>
      </c>
      <c r="C167" s="25" t="s">
        <v>305</v>
      </c>
      <c r="D167" s="4">
        <v>1.5</v>
      </c>
      <c r="E167" s="4"/>
      <c r="F167" s="292">
        <v>32</v>
      </c>
      <c r="G167" s="292"/>
      <c r="H167" s="4">
        <v>11000</v>
      </c>
      <c r="I167" s="26">
        <f t="shared" si="12"/>
        <v>7370</v>
      </c>
      <c r="J167" s="26">
        <f t="shared" si="13"/>
        <v>7222.5999999999995</v>
      </c>
    </row>
    <row r="168" spans="1:10" ht="16.5" customHeight="1" x14ac:dyDescent="0.35">
      <c r="A168" s="4">
        <v>11</v>
      </c>
      <c r="B168" s="4" t="s">
        <v>306</v>
      </c>
      <c r="C168" s="25" t="s">
        <v>307</v>
      </c>
      <c r="D168" s="4">
        <v>2</v>
      </c>
      <c r="E168" s="4"/>
      <c r="F168" s="292">
        <v>32</v>
      </c>
      <c r="G168" s="292"/>
      <c r="H168" s="4">
        <v>13000</v>
      </c>
      <c r="I168" s="26">
        <f t="shared" si="12"/>
        <v>8710</v>
      </c>
      <c r="J168" s="26">
        <f t="shared" si="13"/>
        <v>8535.7999999999993</v>
      </c>
    </row>
    <row r="169" spans="1:10" ht="16.5" customHeight="1" x14ac:dyDescent="0.35">
      <c r="A169" s="4">
        <v>12</v>
      </c>
      <c r="B169" s="4" t="s">
        <v>308</v>
      </c>
      <c r="C169" s="25" t="s">
        <v>309</v>
      </c>
      <c r="D169" s="4">
        <v>2</v>
      </c>
      <c r="E169" s="4"/>
      <c r="F169" s="292">
        <v>32</v>
      </c>
      <c r="G169" s="292"/>
      <c r="H169" s="4">
        <v>15500</v>
      </c>
      <c r="I169" s="26">
        <f t="shared" si="12"/>
        <v>10385</v>
      </c>
      <c r="J169" s="26">
        <f t="shared" si="13"/>
        <v>10177.299999999999</v>
      </c>
    </row>
    <row r="170" spans="1:10" ht="16.5" customHeight="1" x14ac:dyDescent="0.35">
      <c r="A170" s="4">
        <v>13</v>
      </c>
      <c r="B170" s="4" t="s">
        <v>310</v>
      </c>
      <c r="C170" s="25" t="s">
        <v>311</v>
      </c>
      <c r="D170" s="4">
        <v>3</v>
      </c>
      <c r="E170" s="4"/>
      <c r="F170" s="292">
        <v>32</v>
      </c>
      <c r="G170" s="292"/>
      <c r="H170" s="4">
        <v>19000</v>
      </c>
      <c r="I170" s="26">
        <f t="shared" si="12"/>
        <v>12730</v>
      </c>
      <c r="J170" s="26">
        <f t="shared" si="13"/>
        <v>12475.4</v>
      </c>
    </row>
    <row r="171" spans="1:10" ht="16.5" customHeight="1" x14ac:dyDescent="0.35">
      <c r="A171" s="4">
        <v>14</v>
      </c>
      <c r="B171" s="4" t="s">
        <v>312</v>
      </c>
      <c r="C171" s="25" t="s">
        <v>313</v>
      </c>
      <c r="D171" s="4">
        <v>3</v>
      </c>
      <c r="E171" s="4"/>
      <c r="F171" s="292">
        <v>32</v>
      </c>
      <c r="G171" s="292"/>
      <c r="H171" s="4">
        <v>20000</v>
      </c>
      <c r="I171" s="26">
        <f t="shared" si="12"/>
        <v>13400</v>
      </c>
      <c r="J171" s="26">
        <f t="shared" si="13"/>
        <v>13132</v>
      </c>
    </row>
    <row r="172" spans="1:10" ht="16.5" customHeight="1" x14ac:dyDescent="0.35">
      <c r="A172" s="4">
        <v>15</v>
      </c>
      <c r="B172" s="4" t="s">
        <v>314</v>
      </c>
      <c r="C172" s="25" t="s">
        <v>315</v>
      </c>
      <c r="D172" s="4">
        <v>3</v>
      </c>
      <c r="E172" s="4"/>
      <c r="F172" s="292">
        <v>32</v>
      </c>
      <c r="G172" s="292"/>
      <c r="H172" s="4">
        <v>20500</v>
      </c>
      <c r="I172" s="26">
        <f t="shared" si="12"/>
        <v>13735</v>
      </c>
      <c r="J172" s="26">
        <f t="shared" si="13"/>
        <v>13460.3</v>
      </c>
    </row>
  </sheetData>
  <mergeCells count="114">
    <mergeCell ref="I7:J7"/>
    <mergeCell ref="I8:J8"/>
    <mergeCell ref="I9:J9"/>
    <mergeCell ref="I10:J10"/>
    <mergeCell ref="I26:J26"/>
    <mergeCell ref="I27:J27"/>
    <mergeCell ref="A1:J3"/>
    <mergeCell ref="A4:J4"/>
    <mergeCell ref="A5:A6"/>
    <mergeCell ref="B5:B6"/>
    <mergeCell ref="C5:C6"/>
    <mergeCell ref="D5:E5"/>
    <mergeCell ref="F5:G5"/>
    <mergeCell ref="H5:H6"/>
    <mergeCell ref="I5:J5"/>
    <mergeCell ref="I56:I57"/>
    <mergeCell ref="J56:J57"/>
    <mergeCell ref="D58:D59"/>
    <mergeCell ref="E58:E59"/>
    <mergeCell ref="I32:J32"/>
    <mergeCell ref="I47:J47"/>
    <mergeCell ref="A55:G55"/>
    <mergeCell ref="H55:H57"/>
    <mergeCell ref="I55:J55"/>
    <mergeCell ref="A56:A57"/>
    <mergeCell ref="B56:B57"/>
    <mergeCell ref="C56:C57"/>
    <mergeCell ref="D56:E56"/>
    <mergeCell ref="F56:G56"/>
    <mergeCell ref="D92:D103"/>
    <mergeCell ref="E92:E103"/>
    <mergeCell ref="D104:D106"/>
    <mergeCell ref="E104:E106"/>
    <mergeCell ref="D108:D109"/>
    <mergeCell ref="E108:E109"/>
    <mergeCell ref="D61:D66"/>
    <mergeCell ref="E61:E66"/>
    <mergeCell ref="D67:D73"/>
    <mergeCell ref="E67:E73"/>
    <mergeCell ref="D74:D91"/>
    <mergeCell ref="E74:E91"/>
    <mergeCell ref="I115:I116"/>
    <mergeCell ref="J115:J116"/>
    <mergeCell ref="I117:J117"/>
    <mergeCell ref="I118:J118"/>
    <mergeCell ref="D110:D113"/>
    <mergeCell ref="E110:E113"/>
    <mergeCell ref="A114:G114"/>
    <mergeCell ref="H114:H116"/>
    <mergeCell ref="I114:J114"/>
    <mergeCell ref="A115:A116"/>
    <mergeCell ref="B115:B116"/>
    <mergeCell ref="C115:C116"/>
    <mergeCell ref="D115:E115"/>
    <mergeCell ref="F115:G115"/>
    <mergeCell ref="F132:G132"/>
    <mergeCell ref="F133:G133"/>
    <mergeCell ref="F134:G134"/>
    <mergeCell ref="F135:G135"/>
    <mergeCell ref="A129:G129"/>
    <mergeCell ref="H129:H131"/>
    <mergeCell ref="I129:J129"/>
    <mergeCell ref="A130:A131"/>
    <mergeCell ref="B130:B131"/>
    <mergeCell ref="C130:C131"/>
    <mergeCell ref="D130:E130"/>
    <mergeCell ref="F130:G131"/>
    <mergeCell ref="I130:I131"/>
    <mergeCell ref="J130:J131"/>
    <mergeCell ref="F142:G142"/>
    <mergeCell ref="F143:G143"/>
    <mergeCell ref="F144:G144"/>
    <mergeCell ref="F145:G145"/>
    <mergeCell ref="F146:G146"/>
    <mergeCell ref="F147:G147"/>
    <mergeCell ref="F136:G136"/>
    <mergeCell ref="F137:G137"/>
    <mergeCell ref="F138:G138"/>
    <mergeCell ref="F139:G139"/>
    <mergeCell ref="F140:G140"/>
    <mergeCell ref="F141:G141"/>
    <mergeCell ref="D156:E156"/>
    <mergeCell ref="F156:G156"/>
    <mergeCell ref="I156:I157"/>
    <mergeCell ref="F148:G148"/>
    <mergeCell ref="F149:G149"/>
    <mergeCell ref="F150:G150"/>
    <mergeCell ref="F151:G151"/>
    <mergeCell ref="F152:G152"/>
    <mergeCell ref="F153:G153"/>
    <mergeCell ref="I31:J31"/>
    <mergeCell ref="F167:G167"/>
    <mergeCell ref="F168:G168"/>
    <mergeCell ref="F169:G169"/>
    <mergeCell ref="F170:G170"/>
    <mergeCell ref="F171:G171"/>
    <mergeCell ref="F172:G172"/>
    <mergeCell ref="F161:G161"/>
    <mergeCell ref="F162:G162"/>
    <mergeCell ref="F163:G163"/>
    <mergeCell ref="F164:G164"/>
    <mergeCell ref="F165:G165"/>
    <mergeCell ref="F166:G166"/>
    <mergeCell ref="J156:J157"/>
    <mergeCell ref="F158:G158"/>
    <mergeCell ref="F159:G159"/>
    <mergeCell ref="F160:G160"/>
    <mergeCell ref="F154:G154"/>
    <mergeCell ref="A155:G155"/>
    <mergeCell ref="H155:H157"/>
    <mergeCell ref="I155:J155"/>
    <mergeCell ref="A156:A157"/>
    <mergeCell ref="B156:B157"/>
    <mergeCell ref="C156:C157"/>
  </mergeCells>
  <conditionalFormatting sqref="B1:B172">
    <cfRule type="duplicateValues" dxfId="13" priority="1"/>
    <cfRule type="duplicateValues" dxfId="12" priority="2"/>
  </conditionalFormatting>
  <pageMargins left="0.7" right="0.7" top="0.75" bottom="0.75" header="0.3" footer="0.3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I172"/>
  <sheetViews>
    <sheetView topLeftCell="A106" workbookViewId="0">
      <selection activeCell="I118" sqref="I118"/>
    </sheetView>
  </sheetViews>
  <sheetFormatPr defaultRowHeight="15.75" customHeight="1" x14ac:dyDescent="0.35"/>
  <cols>
    <col min="2" max="2" width="12.26953125" customWidth="1"/>
    <col min="3" max="3" width="18.1796875" customWidth="1"/>
    <col min="9" max="9" width="9.453125" customWidth="1"/>
  </cols>
  <sheetData>
    <row r="1" spans="1:9" ht="15.75" customHeight="1" x14ac:dyDescent="0.35">
      <c r="A1" s="203" t="s">
        <v>0</v>
      </c>
      <c r="B1" s="204"/>
      <c r="C1" s="204"/>
      <c r="D1" s="204"/>
      <c r="E1" s="204"/>
      <c r="F1" s="204"/>
      <c r="G1" s="204"/>
      <c r="H1" s="204"/>
      <c r="I1" s="204"/>
    </row>
    <row r="2" spans="1:9" ht="15.75" customHeight="1" x14ac:dyDescent="0.35">
      <c r="A2" s="203"/>
      <c r="B2" s="204"/>
      <c r="C2" s="204"/>
      <c r="D2" s="204"/>
      <c r="E2" s="204"/>
      <c r="F2" s="204"/>
      <c r="G2" s="204"/>
      <c r="H2" s="204"/>
      <c r="I2" s="204"/>
    </row>
    <row r="3" spans="1:9" ht="15.75" customHeight="1" x14ac:dyDescent="0.35">
      <c r="A3" s="203"/>
      <c r="B3" s="204"/>
      <c r="C3" s="204"/>
      <c r="D3" s="204"/>
      <c r="E3" s="204"/>
      <c r="F3" s="204"/>
      <c r="G3" s="204"/>
      <c r="H3" s="204"/>
      <c r="I3" s="204"/>
    </row>
    <row r="4" spans="1:9" ht="24" customHeight="1" x14ac:dyDescent="0.35">
      <c r="A4" s="313" t="s">
        <v>543</v>
      </c>
      <c r="B4" s="314"/>
      <c r="C4" s="314"/>
      <c r="D4" s="314"/>
      <c r="E4" s="314"/>
      <c r="F4" s="314"/>
      <c r="G4" s="314"/>
      <c r="H4" s="314"/>
      <c r="I4" s="314"/>
    </row>
    <row r="5" spans="1:9" ht="15.75" customHeight="1" x14ac:dyDescent="0.35">
      <c r="A5" s="287" t="s">
        <v>2</v>
      </c>
      <c r="B5" s="287" t="s">
        <v>3</v>
      </c>
      <c r="C5" s="287" t="s">
        <v>4</v>
      </c>
      <c r="D5" s="287" t="s">
        <v>5</v>
      </c>
      <c r="E5" s="287"/>
      <c r="F5" s="287" t="s">
        <v>6</v>
      </c>
      <c r="G5" s="287"/>
      <c r="H5" s="287" t="s">
        <v>7</v>
      </c>
      <c r="I5" s="110" t="s">
        <v>505</v>
      </c>
    </row>
    <row r="6" spans="1:9" ht="15.75" customHeight="1" x14ac:dyDescent="0.35">
      <c r="A6" s="287"/>
      <c r="B6" s="287"/>
      <c r="C6" s="287"/>
      <c r="D6" s="11" t="s">
        <v>9</v>
      </c>
      <c r="E6" s="11" t="s">
        <v>10</v>
      </c>
      <c r="F6" s="11" t="s">
        <v>11</v>
      </c>
      <c r="G6" s="11" t="s">
        <v>12</v>
      </c>
      <c r="H6" s="287"/>
      <c r="I6" s="111">
        <v>0.34350000000000003</v>
      </c>
    </row>
    <row r="7" spans="1:9" ht="15.75" customHeight="1" x14ac:dyDescent="0.35">
      <c r="A7" s="6">
        <v>1</v>
      </c>
      <c r="B7" s="4" t="s">
        <v>13</v>
      </c>
      <c r="C7" s="12" t="s">
        <v>14</v>
      </c>
      <c r="D7" s="2">
        <v>0.5</v>
      </c>
      <c r="E7" s="2">
        <v>0.37</v>
      </c>
      <c r="F7" s="2">
        <v>25</v>
      </c>
      <c r="G7" s="2">
        <v>25</v>
      </c>
      <c r="H7" s="13">
        <v>2640</v>
      </c>
      <c r="I7" s="102">
        <f>H7*0.63</f>
        <v>1663.2</v>
      </c>
    </row>
    <row r="8" spans="1:9" ht="15.75" customHeight="1" x14ac:dyDescent="0.35">
      <c r="A8" s="6">
        <v>2</v>
      </c>
      <c r="B8" s="4" t="s">
        <v>15</v>
      </c>
      <c r="C8" s="12" t="s">
        <v>16</v>
      </c>
      <c r="D8" s="2">
        <v>1</v>
      </c>
      <c r="E8" s="2">
        <v>0.75</v>
      </c>
      <c r="F8" s="2">
        <v>25</v>
      </c>
      <c r="G8" s="2">
        <v>25</v>
      </c>
      <c r="H8" s="13">
        <v>3420</v>
      </c>
      <c r="I8" s="102">
        <f>H8*0.63</f>
        <v>2154.6</v>
      </c>
    </row>
    <row r="9" spans="1:9" ht="15.75" customHeight="1" x14ac:dyDescent="0.35">
      <c r="A9" s="4">
        <v>3</v>
      </c>
      <c r="B9" s="4" t="s">
        <v>17</v>
      </c>
      <c r="C9" s="12" t="s">
        <v>18</v>
      </c>
      <c r="D9" s="2">
        <v>0.5</v>
      </c>
      <c r="E9" s="2">
        <v>0.37</v>
      </c>
      <c r="F9" s="2">
        <v>25</v>
      </c>
      <c r="G9" s="2">
        <v>25</v>
      </c>
      <c r="H9" s="13">
        <v>2840</v>
      </c>
      <c r="I9" s="102">
        <f>H9*0.63</f>
        <v>1789.2</v>
      </c>
    </row>
    <row r="10" spans="1:9" ht="15.75" customHeight="1" x14ac:dyDescent="0.35">
      <c r="A10" s="6">
        <v>4</v>
      </c>
      <c r="B10" s="4" t="s">
        <v>19</v>
      </c>
      <c r="C10" s="12" t="s">
        <v>20</v>
      </c>
      <c r="D10" s="2">
        <v>1</v>
      </c>
      <c r="E10" s="2">
        <v>0.75</v>
      </c>
      <c r="F10" s="2">
        <v>25</v>
      </c>
      <c r="G10" s="2">
        <v>25</v>
      </c>
      <c r="H10" s="13">
        <v>3660</v>
      </c>
      <c r="I10" s="102">
        <f>H10*0.63</f>
        <v>2305.8000000000002</v>
      </c>
    </row>
    <row r="11" spans="1:9" ht="15.75" customHeight="1" x14ac:dyDescent="0.35">
      <c r="A11" s="6">
        <v>5</v>
      </c>
      <c r="B11" s="6" t="s">
        <v>21</v>
      </c>
      <c r="C11" s="14" t="s">
        <v>22</v>
      </c>
      <c r="D11" s="2">
        <v>0.5</v>
      </c>
      <c r="E11" s="2">
        <v>0.37</v>
      </c>
      <c r="F11" s="2">
        <v>25</v>
      </c>
      <c r="G11" s="2">
        <v>25</v>
      </c>
      <c r="H11" s="8">
        <v>3160</v>
      </c>
      <c r="I11" s="26">
        <f>H11*0.6565</f>
        <v>2074.54</v>
      </c>
    </row>
    <row r="12" spans="1:9" ht="15.75" customHeight="1" x14ac:dyDescent="0.35">
      <c r="A12" s="6">
        <v>6</v>
      </c>
      <c r="B12" s="6" t="s">
        <v>23</v>
      </c>
      <c r="C12" s="14" t="s">
        <v>24</v>
      </c>
      <c r="D12" s="2">
        <v>1</v>
      </c>
      <c r="E12" s="2">
        <v>0.75</v>
      </c>
      <c r="F12" s="2">
        <v>25</v>
      </c>
      <c r="G12" s="2">
        <v>25</v>
      </c>
      <c r="H12" s="8">
        <v>4120</v>
      </c>
      <c r="I12" s="26">
        <f t="shared" ref="I12:I25" si="0">H12*0.6565</f>
        <v>2704.7799999999997</v>
      </c>
    </row>
    <row r="13" spans="1:9" ht="15.75" customHeight="1" x14ac:dyDescent="0.35">
      <c r="A13" s="4">
        <v>7</v>
      </c>
      <c r="B13" s="4" t="s">
        <v>25</v>
      </c>
      <c r="C13" s="12" t="s">
        <v>26</v>
      </c>
      <c r="D13" s="2">
        <v>1.5</v>
      </c>
      <c r="E13" s="2">
        <v>1</v>
      </c>
      <c r="F13" s="2">
        <v>25</v>
      </c>
      <c r="G13" s="2">
        <v>25</v>
      </c>
      <c r="H13" s="8">
        <v>5750</v>
      </c>
      <c r="I13" s="26">
        <f t="shared" si="0"/>
        <v>3774.875</v>
      </c>
    </row>
    <row r="14" spans="1:9" ht="15.75" customHeight="1" x14ac:dyDescent="0.35">
      <c r="A14" s="6">
        <v>8</v>
      </c>
      <c r="B14" s="6" t="s">
        <v>27</v>
      </c>
      <c r="C14" s="14" t="s">
        <v>28</v>
      </c>
      <c r="D14" s="2">
        <v>0.5</v>
      </c>
      <c r="E14" s="2">
        <v>0.37</v>
      </c>
      <c r="F14" s="2">
        <v>25</v>
      </c>
      <c r="G14" s="2">
        <v>25</v>
      </c>
      <c r="H14" s="8">
        <v>3520</v>
      </c>
      <c r="I14" s="26">
        <f t="shared" si="0"/>
        <v>2310.88</v>
      </c>
    </row>
    <row r="15" spans="1:9" ht="15.75" customHeight="1" x14ac:dyDescent="0.35">
      <c r="A15" s="6">
        <v>9</v>
      </c>
      <c r="B15" s="4" t="s">
        <v>29</v>
      </c>
      <c r="C15" s="15" t="s">
        <v>30</v>
      </c>
      <c r="D15" s="2">
        <v>1</v>
      </c>
      <c r="E15" s="2">
        <v>0.75</v>
      </c>
      <c r="F15" s="2">
        <v>25</v>
      </c>
      <c r="G15" s="2">
        <v>25</v>
      </c>
      <c r="H15" s="8">
        <v>3660</v>
      </c>
      <c r="I15" s="26">
        <f t="shared" si="0"/>
        <v>2402.79</v>
      </c>
    </row>
    <row r="16" spans="1:9" ht="15.75" customHeight="1" x14ac:dyDescent="0.35">
      <c r="A16" s="6">
        <v>10</v>
      </c>
      <c r="B16" s="4" t="s">
        <v>31</v>
      </c>
      <c r="C16" s="12" t="s">
        <v>32</v>
      </c>
      <c r="D16" s="2">
        <v>1</v>
      </c>
      <c r="E16" s="2">
        <v>0.75</v>
      </c>
      <c r="F16" s="2">
        <v>25</v>
      </c>
      <c r="G16" s="2">
        <v>25</v>
      </c>
      <c r="H16" s="8">
        <v>4220</v>
      </c>
      <c r="I16" s="26">
        <f t="shared" si="0"/>
        <v>2770.43</v>
      </c>
    </row>
    <row r="17" spans="1:9" ht="15.75" customHeight="1" x14ac:dyDescent="0.35">
      <c r="A17" s="4">
        <v>11</v>
      </c>
      <c r="B17" s="6" t="s">
        <v>33</v>
      </c>
      <c r="C17" s="14" t="s">
        <v>34</v>
      </c>
      <c r="D17" s="2">
        <v>0.75</v>
      </c>
      <c r="E17" s="2">
        <v>0.56000000000000005</v>
      </c>
      <c r="F17" s="2">
        <v>25</v>
      </c>
      <c r="G17" s="2">
        <v>25</v>
      </c>
      <c r="H17" s="8">
        <v>4080</v>
      </c>
      <c r="I17" s="26">
        <f t="shared" si="0"/>
        <v>2678.52</v>
      </c>
    </row>
    <row r="18" spans="1:9" ht="15.75" customHeight="1" x14ac:dyDescent="0.35">
      <c r="A18" s="6">
        <v>12</v>
      </c>
      <c r="B18" s="4" t="s">
        <v>35</v>
      </c>
      <c r="C18" s="16" t="s">
        <v>36</v>
      </c>
      <c r="D18" s="2">
        <v>1</v>
      </c>
      <c r="E18" s="2">
        <v>0.75</v>
      </c>
      <c r="F18" s="2">
        <v>25</v>
      </c>
      <c r="G18" s="2">
        <v>25</v>
      </c>
      <c r="H18" s="8">
        <v>4730</v>
      </c>
      <c r="I18" s="26">
        <f t="shared" si="0"/>
        <v>3105.2449999999999</v>
      </c>
    </row>
    <row r="19" spans="1:9" ht="15.75" customHeight="1" x14ac:dyDescent="0.35">
      <c r="A19" s="6">
        <v>13</v>
      </c>
      <c r="B19" s="4" t="s">
        <v>37</v>
      </c>
      <c r="C19" s="16" t="s">
        <v>38</v>
      </c>
      <c r="D19" s="2">
        <v>1</v>
      </c>
      <c r="E19" s="2">
        <v>0.75</v>
      </c>
      <c r="F19" s="2">
        <v>25</v>
      </c>
      <c r="G19" s="2">
        <v>25</v>
      </c>
      <c r="H19" s="8">
        <v>4730</v>
      </c>
      <c r="I19" s="26">
        <f t="shared" si="0"/>
        <v>3105.2449999999999</v>
      </c>
    </row>
    <row r="20" spans="1:9" ht="15.75" customHeight="1" x14ac:dyDescent="0.35">
      <c r="A20" s="6">
        <v>14</v>
      </c>
      <c r="B20" s="6" t="s">
        <v>39</v>
      </c>
      <c r="C20" s="14" t="s">
        <v>40</v>
      </c>
      <c r="D20" s="2">
        <v>1</v>
      </c>
      <c r="E20" s="2">
        <v>0.75</v>
      </c>
      <c r="F20" s="2">
        <v>25</v>
      </c>
      <c r="G20" s="2">
        <v>25</v>
      </c>
      <c r="H20" s="8">
        <v>5170</v>
      </c>
      <c r="I20" s="26">
        <f t="shared" si="0"/>
        <v>3394.105</v>
      </c>
    </row>
    <row r="21" spans="1:9" ht="15.75" customHeight="1" x14ac:dyDescent="0.35">
      <c r="A21" s="4">
        <v>15</v>
      </c>
      <c r="B21" s="6" t="s">
        <v>41</v>
      </c>
      <c r="C21" s="14" t="s">
        <v>42</v>
      </c>
      <c r="D21" s="2">
        <v>1</v>
      </c>
      <c r="E21" s="2">
        <v>0.75</v>
      </c>
      <c r="F21" s="2">
        <v>25</v>
      </c>
      <c r="G21" s="2">
        <v>25</v>
      </c>
      <c r="H21" s="8">
        <v>4670</v>
      </c>
      <c r="I21" s="26">
        <f t="shared" si="0"/>
        <v>3065.855</v>
      </c>
    </row>
    <row r="22" spans="1:9" ht="15.75" customHeight="1" x14ac:dyDescent="0.35">
      <c r="A22" s="6">
        <v>16</v>
      </c>
      <c r="B22" s="4" t="s">
        <v>43</v>
      </c>
      <c r="C22" s="12" t="s">
        <v>44</v>
      </c>
      <c r="D22" s="2">
        <v>1.2</v>
      </c>
      <c r="E22" s="2">
        <v>0.9</v>
      </c>
      <c r="F22" s="2">
        <v>25</v>
      </c>
      <c r="G22" s="2">
        <v>25</v>
      </c>
      <c r="H22" s="8">
        <v>6650</v>
      </c>
      <c r="I22" s="26">
        <f t="shared" si="0"/>
        <v>4365.7249999999995</v>
      </c>
    </row>
    <row r="23" spans="1:9" ht="15.75" customHeight="1" x14ac:dyDescent="0.35">
      <c r="A23" s="6">
        <v>17</v>
      </c>
      <c r="B23" s="6" t="s">
        <v>45</v>
      </c>
      <c r="C23" s="14" t="s">
        <v>46</v>
      </c>
      <c r="D23" s="2">
        <v>1.5</v>
      </c>
      <c r="E23" s="2">
        <v>1.1000000000000001</v>
      </c>
      <c r="F23" s="2">
        <v>25</v>
      </c>
      <c r="G23" s="2">
        <v>25</v>
      </c>
      <c r="H23" s="8">
        <v>8150</v>
      </c>
      <c r="I23" s="26">
        <f t="shared" si="0"/>
        <v>5350.4749999999995</v>
      </c>
    </row>
    <row r="24" spans="1:9" ht="15.75" customHeight="1" x14ac:dyDescent="0.35">
      <c r="A24" s="6">
        <v>18</v>
      </c>
      <c r="B24" s="6" t="s">
        <v>47</v>
      </c>
      <c r="C24" s="14" t="s">
        <v>48</v>
      </c>
      <c r="D24" s="2">
        <v>2</v>
      </c>
      <c r="E24" s="2">
        <v>1.5</v>
      </c>
      <c r="F24" s="2">
        <v>25</v>
      </c>
      <c r="G24" s="2">
        <v>25</v>
      </c>
      <c r="H24" s="8">
        <v>9190</v>
      </c>
      <c r="I24" s="26">
        <f t="shared" si="0"/>
        <v>6033.2349999999997</v>
      </c>
    </row>
    <row r="25" spans="1:9" ht="15.75" customHeight="1" x14ac:dyDescent="0.35">
      <c r="A25" s="4">
        <v>19</v>
      </c>
      <c r="B25" s="6" t="s">
        <v>49</v>
      </c>
      <c r="C25" s="14" t="s">
        <v>50</v>
      </c>
      <c r="D25" s="2">
        <v>0.5</v>
      </c>
      <c r="E25" s="2">
        <v>0.37</v>
      </c>
      <c r="F25" s="2">
        <v>25</v>
      </c>
      <c r="G25" s="2">
        <v>25</v>
      </c>
      <c r="H25" s="8">
        <v>3310</v>
      </c>
      <c r="I25" s="26">
        <f t="shared" si="0"/>
        <v>2173.0149999999999</v>
      </c>
    </row>
    <row r="26" spans="1:9" ht="15.75" customHeight="1" x14ac:dyDescent="0.35">
      <c r="A26" s="6">
        <v>20</v>
      </c>
      <c r="B26" s="4" t="s">
        <v>51</v>
      </c>
      <c r="C26" s="12" t="s">
        <v>52</v>
      </c>
      <c r="D26" s="2">
        <v>0.5</v>
      </c>
      <c r="E26" s="2">
        <v>0.37</v>
      </c>
      <c r="F26" s="2">
        <v>25</v>
      </c>
      <c r="G26" s="2">
        <v>25</v>
      </c>
      <c r="H26" s="10">
        <v>4380</v>
      </c>
      <c r="I26" s="102">
        <f>H26*0.63</f>
        <v>2759.4</v>
      </c>
    </row>
    <row r="27" spans="1:9" ht="15.75" customHeight="1" x14ac:dyDescent="0.35">
      <c r="A27" s="6">
        <v>21</v>
      </c>
      <c r="B27" s="4" t="s">
        <v>53</v>
      </c>
      <c r="C27" s="12" t="s">
        <v>54</v>
      </c>
      <c r="D27" s="2">
        <v>1</v>
      </c>
      <c r="E27" s="2">
        <v>0.75</v>
      </c>
      <c r="F27" s="2">
        <v>25</v>
      </c>
      <c r="G27" s="2">
        <v>25</v>
      </c>
      <c r="H27" s="10">
        <v>5300</v>
      </c>
      <c r="I27" s="102">
        <f>H27*0.63</f>
        <v>3339</v>
      </c>
    </row>
    <row r="28" spans="1:9" ht="15.75" customHeight="1" x14ac:dyDescent="0.35">
      <c r="A28" s="6">
        <v>22</v>
      </c>
      <c r="B28" s="6" t="s">
        <v>55</v>
      </c>
      <c r="C28" s="14" t="s">
        <v>56</v>
      </c>
      <c r="D28" s="2">
        <v>1.1000000000000001</v>
      </c>
      <c r="E28" s="2">
        <v>0.8</v>
      </c>
      <c r="F28" s="2">
        <v>25</v>
      </c>
      <c r="G28" s="2">
        <v>25</v>
      </c>
      <c r="H28" s="8">
        <v>5040</v>
      </c>
      <c r="I28" s="26">
        <f t="shared" ref="I28:I30" si="1">H28*0.6565</f>
        <v>3308.7599999999998</v>
      </c>
    </row>
    <row r="29" spans="1:9" ht="15.75" customHeight="1" x14ac:dyDescent="0.35">
      <c r="A29" s="4">
        <v>23</v>
      </c>
      <c r="B29" s="6" t="s">
        <v>57</v>
      </c>
      <c r="C29" s="14" t="s">
        <v>58</v>
      </c>
      <c r="D29" s="2">
        <v>1.1000000000000001</v>
      </c>
      <c r="E29" s="2">
        <v>0.8</v>
      </c>
      <c r="F29" s="2">
        <v>25</v>
      </c>
      <c r="G29" s="2">
        <v>25</v>
      </c>
      <c r="H29" s="8">
        <v>5150</v>
      </c>
      <c r="I29" s="26">
        <f t="shared" si="1"/>
        <v>3380.9749999999999</v>
      </c>
    </row>
    <row r="30" spans="1:9" ht="15.75" customHeight="1" x14ac:dyDescent="0.35">
      <c r="A30" s="6">
        <v>24</v>
      </c>
      <c r="B30" s="4" t="s">
        <v>59</v>
      </c>
      <c r="C30" s="16" t="s">
        <v>60</v>
      </c>
      <c r="D30" s="2">
        <v>1.25</v>
      </c>
      <c r="E30" s="2">
        <v>0.94</v>
      </c>
      <c r="F30" s="2">
        <v>25</v>
      </c>
      <c r="G30" s="2">
        <v>25</v>
      </c>
      <c r="H30" s="8">
        <v>6630</v>
      </c>
      <c r="I30" s="26">
        <f t="shared" si="1"/>
        <v>4352.5950000000003</v>
      </c>
    </row>
    <row r="31" spans="1:9" ht="15.75" customHeight="1" x14ac:dyDescent="0.35">
      <c r="A31" s="6">
        <v>25</v>
      </c>
      <c r="B31" s="6" t="s">
        <v>61</v>
      </c>
      <c r="C31" s="14" t="s">
        <v>62</v>
      </c>
      <c r="D31" s="17">
        <v>0.5</v>
      </c>
      <c r="E31" s="17">
        <v>0.37</v>
      </c>
      <c r="F31" s="17">
        <v>25</v>
      </c>
      <c r="G31" s="17">
        <v>25</v>
      </c>
      <c r="H31" s="9">
        <v>4950</v>
      </c>
      <c r="I31" s="102">
        <f>H31*0.63</f>
        <v>3118.5</v>
      </c>
    </row>
    <row r="32" spans="1:9" ht="15.75" customHeight="1" x14ac:dyDescent="0.35">
      <c r="A32" s="6">
        <v>26</v>
      </c>
      <c r="B32" s="6" t="s">
        <v>63</v>
      </c>
      <c r="C32" s="14" t="s">
        <v>64</v>
      </c>
      <c r="D32" s="17">
        <v>0.5</v>
      </c>
      <c r="E32" s="17">
        <v>0.37</v>
      </c>
      <c r="F32" s="17">
        <v>25</v>
      </c>
      <c r="G32" s="17">
        <v>25</v>
      </c>
      <c r="H32" s="9">
        <v>5000</v>
      </c>
      <c r="I32" s="102">
        <f>H32*0.63</f>
        <v>3150</v>
      </c>
    </row>
    <row r="33" spans="1:9" ht="15.75" customHeight="1" x14ac:dyDescent="0.35">
      <c r="A33" s="4">
        <v>27</v>
      </c>
      <c r="B33" s="6" t="s">
        <v>65</v>
      </c>
      <c r="C33" s="14" t="s">
        <v>66</v>
      </c>
      <c r="D33" s="2">
        <v>1</v>
      </c>
      <c r="E33" s="2">
        <v>0.75</v>
      </c>
      <c r="F33" s="2">
        <v>25</v>
      </c>
      <c r="G33" s="2">
        <v>25</v>
      </c>
      <c r="H33" s="8">
        <v>5560</v>
      </c>
      <c r="I33" s="26">
        <f t="shared" ref="I33:I54" si="2">H33*0.6565</f>
        <v>3650.14</v>
      </c>
    </row>
    <row r="34" spans="1:9" ht="15.75" customHeight="1" x14ac:dyDescent="0.35">
      <c r="A34" s="6">
        <v>28</v>
      </c>
      <c r="B34" s="6" t="s">
        <v>67</v>
      </c>
      <c r="C34" s="14" t="s">
        <v>68</v>
      </c>
      <c r="D34" s="2">
        <v>1</v>
      </c>
      <c r="E34" s="2">
        <v>0.75</v>
      </c>
      <c r="F34" s="2">
        <v>25</v>
      </c>
      <c r="G34" s="2">
        <v>25</v>
      </c>
      <c r="H34" s="8">
        <v>5650</v>
      </c>
      <c r="I34" s="26">
        <f t="shared" si="2"/>
        <v>3709.2249999999999</v>
      </c>
    </row>
    <row r="35" spans="1:9" ht="15.75" customHeight="1" x14ac:dyDescent="0.35">
      <c r="A35" s="6">
        <v>29</v>
      </c>
      <c r="B35" s="6" t="s">
        <v>69</v>
      </c>
      <c r="C35" s="14" t="s">
        <v>70</v>
      </c>
      <c r="D35" s="2">
        <v>1.5</v>
      </c>
      <c r="E35" s="2">
        <v>1.1000000000000001</v>
      </c>
      <c r="F35" s="2">
        <v>25</v>
      </c>
      <c r="G35" s="2">
        <v>25</v>
      </c>
      <c r="H35" s="8">
        <v>7840</v>
      </c>
      <c r="I35" s="26">
        <f t="shared" si="2"/>
        <v>5146.96</v>
      </c>
    </row>
    <row r="36" spans="1:9" ht="15.75" customHeight="1" x14ac:dyDescent="0.35">
      <c r="A36" s="6">
        <v>30</v>
      </c>
      <c r="B36" s="6" t="s">
        <v>71</v>
      </c>
      <c r="C36" s="14" t="s">
        <v>72</v>
      </c>
      <c r="D36" s="2">
        <v>1.5</v>
      </c>
      <c r="E36" s="2">
        <v>1.1000000000000001</v>
      </c>
      <c r="F36" s="2">
        <v>25</v>
      </c>
      <c r="G36" s="2">
        <v>25</v>
      </c>
      <c r="H36" s="8">
        <v>8170</v>
      </c>
      <c r="I36" s="26">
        <f t="shared" si="2"/>
        <v>5363.6049999999996</v>
      </c>
    </row>
    <row r="37" spans="1:9" ht="15.75" customHeight="1" x14ac:dyDescent="0.35">
      <c r="A37" s="4">
        <v>31</v>
      </c>
      <c r="B37" s="4" t="s">
        <v>73</v>
      </c>
      <c r="C37" s="12" t="s">
        <v>74</v>
      </c>
      <c r="D37" s="2">
        <v>0.5</v>
      </c>
      <c r="E37" s="2">
        <v>0.37</v>
      </c>
      <c r="F37" s="2">
        <v>25</v>
      </c>
      <c r="G37" s="2">
        <v>25</v>
      </c>
      <c r="H37" s="8">
        <v>6450</v>
      </c>
      <c r="I37" s="26">
        <f t="shared" si="2"/>
        <v>4234.4250000000002</v>
      </c>
    </row>
    <row r="38" spans="1:9" ht="15.75" customHeight="1" x14ac:dyDescent="0.35">
      <c r="A38" s="6">
        <v>32</v>
      </c>
      <c r="B38" s="6" t="s">
        <v>75</v>
      </c>
      <c r="C38" s="14" t="s">
        <v>76</v>
      </c>
      <c r="D38" s="3">
        <v>0.9</v>
      </c>
      <c r="E38" s="3">
        <v>0.7</v>
      </c>
      <c r="F38" s="3">
        <v>25</v>
      </c>
      <c r="G38" s="3">
        <v>25</v>
      </c>
      <c r="H38" s="8">
        <v>6640</v>
      </c>
      <c r="I38" s="26">
        <f t="shared" si="2"/>
        <v>4359.16</v>
      </c>
    </row>
    <row r="39" spans="1:9" ht="15.75" customHeight="1" x14ac:dyDescent="0.35">
      <c r="A39" s="6">
        <v>33</v>
      </c>
      <c r="B39" s="6" t="s">
        <v>77</v>
      </c>
      <c r="C39" s="14" t="s">
        <v>78</v>
      </c>
      <c r="D39" s="3">
        <v>1</v>
      </c>
      <c r="E39" s="3">
        <v>0.75</v>
      </c>
      <c r="F39" s="3">
        <v>25</v>
      </c>
      <c r="G39" s="3">
        <v>25</v>
      </c>
      <c r="H39" s="8">
        <v>7100</v>
      </c>
      <c r="I39" s="26">
        <f t="shared" si="2"/>
        <v>4661.1499999999996</v>
      </c>
    </row>
    <row r="40" spans="1:9" ht="15.75" customHeight="1" x14ac:dyDescent="0.35">
      <c r="A40" s="6">
        <v>34</v>
      </c>
      <c r="B40" s="4" t="s">
        <v>79</v>
      </c>
      <c r="C40" s="15" t="s">
        <v>80</v>
      </c>
      <c r="D40" s="3">
        <v>0.5</v>
      </c>
      <c r="E40" s="3">
        <v>0.37</v>
      </c>
      <c r="F40" s="3">
        <v>25</v>
      </c>
      <c r="G40" s="3">
        <v>25</v>
      </c>
      <c r="H40" s="8">
        <v>5500</v>
      </c>
      <c r="I40" s="26">
        <f t="shared" si="2"/>
        <v>3610.75</v>
      </c>
    </row>
    <row r="41" spans="1:9" ht="15.75" customHeight="1" x14ac:dyDescent="0.35">
      <c r="A41" s="4">
        <v>35</v>
      </c>
      <c r="B41" s="4"/>
      <c r="C41" s="15" t="s">
        <v>81</v>
      </c>
      <c r="D41" s="3">
        <v>1</v>
      </c>
      <c r="E41" s="3">
        <v>0.75</v>
      </c>
      <c r="F41" s="3">
        <v>25</v>
      </c>
      <c r="G41" s="3">
        <v>25</v>
      </c>
      <c r="H41" s="8">
        <v>6200</v>
      </c>
      <c r="I41" s="26">
        <f t="shared" si="2"/>
        <v>4070.2999999999997</v>
      </c>
    </row>
    <row r="42" spans="1:9" ht="15.75" customHeight="1" x14ac:dyDescent="0.35">
      <c r="A42" s="6">
        <v>36</v>
      </c>
      <c r="B42" s="4" t="s">
        <v>82</v>
      </c>
      <c r="C42" s="12" t="s">
        <v>83</v>
      </c>
      <c r="D42" s="1">
        <v>0.5</v>
      </c>
      <c r="E42" s="1">
        <v>0.37</v>
      </c>
      <c r="F42" s="1">
        <v>25</v>
      </c>
      <c r="G42" s="1">
        <v>25</v>
      </c>
      <c r="H42" s="8">
        <v>7140</v>
      </c>
      <c r="I42" s="26">
        <f t="shared" si="2"/>
        <v>4687.41</v>
      </c>
    </row>
    <row r="43" spans="1:9" ht="15.75" customHeight="1" x14ac:dyDescent="0.35">
      <c r="A43" s="6">
        <v>37</v>
      </c>
      <c r="B43" s="6" t="s">
        <v>84</v>
      </c>
      <c r="C43" s="14" t="s">
        <v>85</v>
      </c>
      <c r="D43" s="1">
        <v>1.1000000000000001</v>
      </c>
      <c r="E43" s="1">
        <v>0.8</v>
      </c>
      <c r="F43" s="1">
        <v>25</v>
      </c>
      <c r="G43" s="1">
        <v>25</v>
      </c>
      <c r="H43" s="8">
        <v>7700</v>
      </c>
      <c r="I43" s="26">
        <f t="shared" si="2"/>
        <v>5055.05</v>
      </c>
    </row>
    <row r="44" spans="1:9" ht="15.75" customHeight="1" x14ac:dyDescent="0.35">
      <c r="A44" s="6">
        <v>38</v>
      </c>
      <c r="B44" s="6" t="s">
        <v>86</v>
      </c>
      <c r="C44" s="14" t="s">
        <v>87</v>
      </c>
      <c r="D44" s="1">
        <v>1.5</v>
      </c>
      <c r="E44" s="1">
        <v>1.1000000000000001</v>
      </c>
      <c r="F44" s="1">
        <v>25</v>
      </c>
      <c r="G44" s="1">
        <v>25</v>
      </c>
      <c r="H44" s="8">
        <v>8690</v>
      </c>
      <c r="I44" s="26">
        <f t="shared" si="2"/>
        <v>5704.9849999999997</v>
      </c>
    </row>
    <row r="45" spans="1:9" ht="15.75" customHeight="1" x14ac:dyDescent="0.35">
      <c r="A45" s="4">
        <v>39</v>
      </c>
      <c r="B45" s="4" t="s">
        <v>88</v>
      </c>
      <c r="C45" s="12" t="s">
        <v>89</v>
      </c>
      <c r="D45" s="2">
        <v>0.5</v>
      </c>
      <c r="E45" s="2">
        <v>0.37</v>
      </c>
      <c r="F45" s="2">
        <v>25</v>
      </c>
      <c r="G45" s="2">
        <v>12</v>
      </c>
      <c r="H45" s="8">
        <v>4860</v>
      </c>
      <c r="I45" s="26">
        <f t="shared" si="2"/>
        <v>3190.5899999999997</v>
      </c>
    </row>
    <row r="46" spans="1:9" ht="15.75" customHeight="1" x14ac:dyDescent="0.35">
      <c r="A46" s="6">
        <v>40</v>
      </c>
      <c r="B46" s="4" t="s">
        <v>90</v>
      </c>
      <c r="C46" s="12" t="s">
        <v>91</v>
      </c>
      <c r="D46" s="2">
        <v>1</v>
      </c>
      <c r="E46" s="2">
        <v>0.75</v>
      </c>
      <c r="F46" s="2">
        <v>25</v>
      </c>
      <c r="G46" s="2">
        <v>25</v>
      </c>
      <c r="H46" s="8">
        <v>5600</v>
      </c>
      <c r="I46" s="26">
        <f t="shared" si="2"/>
        <v>3676.3999999999996</v>
      </c>
    </row>
    <row r="47" spans="1:9" ht="15.75" customHeight="1" x14ac:dyDescent="0.35">
      <c r="A47" s="6">
        <v>41</v>
      </c>
      <c r="B47" s="6" t="s">
        <v>92</v>
      </c>
      <c r="C47" s="14" t="s">
        <v>93</v>
      </c>
      <c r="D47" s="17">
        <v>1</v>
      </c>
      <c r="E47" s="17">
        <v>0.75</v>
      </c>
      <c r="F47" s="17">
        <v>25</v>
      </c>
      <c r="G47" s="17">
        <v>25</v>
      </c>
      <c r="H47" s="9">
        <v>8420</v>
      </c>
      <c r="I47" s="102">
        <f>H47*0.63</f>
        <v>5304.6</v>
      </c>
    </row>
    <row r="48" spans="1:9" ht="15.75" customHeight="1" x14ac:dyDescent="0.35">
      <c r="A48" s="6">
        <v>42</v>
      </c>
      <c r="B48" s="6" t="s">
        <v>94</v>
      </c>
      <c r="C48" s="14" t="s">
        <v>95</v>
      </c>
      <c r="D48" s="2">
        <v>1.1000000000000001</v>
      </c>
      <c r="E48" s="2">
        <v>0.8</v>
      </c>
      <c r="F48" s="2">
        <v>25</v>
      </c>
      <c r="G48" s="2">
        <v>25</v>
      </c>
      <c r="H48" s="8">
        <v>12020</v>
      </c>
      <c r="I48" s="26">
        <f t="shared" si="2"/>
        <v>7891.13</v>
      </c>
    </row>
    <row r="49" spans="1:9" ht="15.75" customHeight="1" x14ac:dyDescent="0.35">
      <c r="A49" s="4">
        <v>43</v>
      </c>
      <c r="B49" s="4" t="s">
        <v>96</v>
      </c>
      <c r="C49" s="12" t="s">
        <v>97</v>
      </c>
      <c r="D49" s="2">
        <v>0.5</v>
      </c>
      <c r="E49" s="2">
        <v>0.37</v>
      </c>
      <c r="F49" s="2">
        <v>25</v>
      </c>
      <c r="G49" s="2">
        <v>25</v>
      </c>
      <c r="H49" s="8">
        <v>7530</v>
      </c>
      <c r="I49" s="26">
        <f t="shared" si="2"/>
        <v>4943.4449999999997</v>
      </c>
    </row>
    <row r="50" spans="1:9" ht="15.75" customHeight="1" x14ac:dyDescent="0.35">
      <c r="A50" s="6">
        <v>44</v>
      </c>
      <c r="B50" s="4" t="s">
        <v>98</v>
      </c>
      <c r="C50" s="12" t="s">
        <v>99</v>
      </c>
      <c r="D50" s="2">
        <v>1</v>
      </c>
      <c r="E50" s="2">
        <v>0.75</v>
      </c>
      <c r="F50" s="2">
        <v>25</v>
      </c>
      <c r="G50" s="2">
        <v>25</v>
      </c>
      <c r="H50" s="8">
        <v>9150</v>
      </c>
      <c r="I50" s="26">
        <f t="shared" si="2"/>
        <v>6006.9749999999995</v>
      </c>
    </row>
    <row r="51" spans="1:9" ht="15.75" customHeight="1" x14ac:dyDescent="0.35">
      <c r="A51" s="6">
        <v>45</v>
      </c>
      <c r="B51" s="4" t="s">
        <v>100</v>
      </c>
      <c r="C51" s="12" t="s">
        <v>101</v>
      </c>
      <c r="D51" s="2">
        <v>1</v>
      </c>
      <c r="E51" s="2">
        <v>0.75</v>
      </c>
      <c r="F51" s="2">
        <v>25</v>
      </c>
      <c r="G51" s="2">
        <v>25</v>
      </c>
      <c r="H51" s="5">
        <v>16800</v>
      </c>
      <c r="I51" s="26">
        <f t="shared" si="2"/>
        <v>11029.199999999999</v>
      </c>
    </row>
    <row r="52" spans="1:9" ht="15.75" customHeight="1" x14ac:dyDescent="0.35">
      <c r="A52" s="6">
        <v>46</v>
      </c>
      <c r="B52" s="6" t="s">
        <v>102</v>
      </c>
      <c r="C52" s="14" t="s">
        <v>103</v>
      </c>
      <c r="D52" s="2">
        <v>0.5</v>
      </c>
      <c r="E52" s="2">
        <v>0.37</v>
      </c>
      <c r="F52" s="2">
        <v>25</v>
      </c>
      <c r="G52" s="2">
        <v>25</v>
      </c>
      <c r="H52" s="8">
        <v>17760</v>
      </c>
      <c r="I52" s="26">
        <f t="shared" si="2"/>
        <v>11659.439999999999</v>
      </c>
    </row>
    <row r="53" spans="1:9" ht="15.75" customHeight="1" x14ac:dyDescent="0.35">
      <c r="A53" s="4">
        <v>47</v>
      </c>
      <c r="B53" s="6" t="s">
        <v>104</v>
      </c>
      <c r="C53" s="14" t="s">
        <v>105</v>
      </c>
      <c r="D53" s="2">
        <v>1</v>
      </c>
      <c r="E53" s="2">
        <v>0.75</v>
      </c>
      <c r="F53" s="2">
        <v>25</v>
      </c>
      <c r="G53" s="2">
        <v>25</v>
      </c>
      <c r="H53" s="8">
        <v>19120</v>
      </c>
      <c r="I53" s="26">
        <f t="shared" si="2"/>
        <v>12552.279999999999</v>
      </c>
    </row>
    <row r="54" spans="1:9" ht="15.75" customHeight="1" x14ac:dyDescent="0.35">
      <c r="A54" s="6">
        <v>48</v>
      </c>
      <c r="B54" s="6" t="s">
        <v>106</v>
      </c>
      <c r="C54" s="14" t="s">
        <v>107</v>
      </c>
      <c r="D54" s="2">
        <v>1.1000000000000001</v>
      </c>
      <c r="E54" s="2">
        <v>0.8</v>
      </c>
      <c r="F54" s="2">
        <v>25</v>
      </c>
      <c r="G54" s="2">
        <v>25</v>
      </c>
      <c r="H54" s="8">
        <v>20900</v>
      </c>
      <c r="I54" s="26">
        <f t="shared" si="2"/>
        <v>13720.849999999999</v>
      </c>
    </row>
    <row r="55" spans="1:9" ht="15.75" customHeight="1" x14ac:dyDescent="0.35">
      <c r="A55" s="267" t="s">
        <v>108</v>
      </c>
      <c r="B55" s="268"/>
      <c r="C55" s="268"/>
      <c r="D55" s="268"/>
      <c r="E55" s="268"/>
      <c r="F55" s="268"/>
      <c r="G55" s="269"/>
      <c r="H55" s="207" t="s">
        <v>109</v>
      </c>
      <c r="I55" s="92" t="s">
        <v>334</v>
      </c>
    </row>
    <row r="56" spans="1:9" ht="15.75" customHeight="1" x14ac:dyDescent="0.35">
      <c r="A56" s="207" t="s">
        <v>2</v>
      </c>
      <c r="B56" s="287" t="s">
        <v>3</v>
      </c>
      <c r="C56" s="260" t="s">
        <v>4</v>
      </c>
      <c r="D56" s="209" t="s">
        <v>5</v>
      </c>
      <c r="E56" s="210"/>
      <c r="F56" s="209" t="s">
        <v>6</v>
      </c>
      <c r="G56" s="210"/>
      <c r="H56" s="259"/>
      <c r="I56" s="342">
        <v>0.34350000000000003</v>
      </c>
    </row>
    <row r="57" spans="1:9" ht="15.75" customHeight="1" x14ac:dyDescent="0.35">
      <c r="A57" s="208"/>
      <c r="B57" s="287"/>
      <c r="C57" s="261"/>
      <c r="D57" s="11" t="s">
        <v>9</v>
      </c>
      <c r="E57" s="11" t="s">
        <v>10</v>
      </c>
      <c r="F57" s="11" t="s">
        <v>11</v>
      </c>
      <c r="G57" s="11" t="s">
        <v>12</v>
      </c>
      <c r="H57" s="208"/>
      <c r="I57" s="343"/>
    </row>
    <row r="58" spans="1:9" ht="15.75" customHeight="1" x14ac:dyDescent="0.35">
      <c r="A58" s="6">
        <v>1</v>
      </c>
      <c r="B58" s="6" t="s">
        <v>110</v>
      </c>
      <c r="C58" s="14" t="s">
        <v>111</v>
      </c>
      <c r="D58" s="303">
        <v>0.5</v>
      </c>
      <c r="E58" s="303">
        <v>0.37</v>
      </c>
      <c r="F58" s="2">
        <v>25</v>
      </c>
      <c r="G58" s="2">
        <v>25</v>
      </c>
      <c r="H58" s="8">
        <v>4680</v>
      </c>
      <c r="I58" s="26">
        <f t="shared" ref="I58:I113" si="3">H58*0.6565</f>
        <v>3072.42</v>
      </c>
    </row>
    <row r="59" spans="1:9" ht="15.75" customHeight="1" x14ac:dyDescent="0.35">
      <c r="A59" s="6">
        <v>2</v>
      </c>
      <c r="B59" s="6" t="s">
        <v>112</v>
      </c>
      <c r="C59" s="14" t="s">
        <v>113</v>
      </c>
      <c r="D59" s="303"/>
      <c r="E59" s="303"/>
      <c r="F59" s="2">
        <v>40</v>
      </c>
      <c r="G59" s="2">
        <v>40</v>
      </c>
      <c r="H59" s="8">
        <v>6430</v>
      </c>
      <c r="I59" s="26">
        <f t="shared" si="3"/>
        <v>4221.2950000000001</v>
      </c>
    </row>
    <row r="60" spans="1:9" ht="15.75" customHeight="1" x14ac:dyDescent="0.35">
      <c r="A60" s="4">
        <v>3</v>
      </c>
      <c r="B60" s="4" t="s">
        <v>114</v>
      </c>
      <c r="C60" s="18" t="s">
        <v>115</v>
      </c>
      <c r="D60" s="2">
        <v>0.75</v>
      </c>
      <c r="E60" s="2">
        <v>0.56000000000000005</v>
      </c>
      <c r="F60" s="2">
        <v>40</v>
      </c>
      <c r="G60" s="2">
        <v>40</v>
      </c>
      <c r="H60" s="5">
        <v>6240</v>
      </c>
      <c r="I60" s="26">
        <f t="shared" si="3"/>
        <v>4096.5599999999995</v>
      </c>
    </row>
    <row r="61" spans="1:9" ht="15.75" customHeight="1" x14ac:dyDescent="0.35">
      <c r="A61" s="6">
        <v>4</v>
      </c>
      <c r="B61" s="6" t="s">
        <v>116</v>
      </c>
      <c r="C61" s="14" t="s">
        <v>117</v>
      </c>
      <c r="D61" s="262">
        <v>1</v>
      </c>
      <c r="E61" s="262">
        <v>0.75</v>
      </c>
      <c r="F61" s="1">
        <v>25</v>
      </c>
      <c r="G61" s="1">
        <v>25</v>
      </c>
      <c r="H61" s="8">
        <v>7572</v>
      </c>
      <c r="I61" s="26">
        <f t="shared" si="3"/>
        <v>4971.018</v>
      </c>
    </row>
    <row r="62" spans="1:9" ht="15.75" customHeight="1" x14ac:dyDescent="0.35">
      <c r="A62" s="6">
        <v>5</v>
      </c>
      <c r="B62" s="6" t="s">
        <v>118</v>
      </c>
      <c r="C62" s="14" t="s">
        <v>119</v>
      </c>
      <c r="D62" s="266"/>
      <c r="E62" s="266"/>
      <c r="F62" s="1">
        <v>50</v>
      </c>
      <c r="G62" s="1">
        <v>50</v>
      </c>
      <c r="H62" s="8">
        <v>8900</v>
      </c>
      <c r="I62" s="26">
        <f t="shared" si="3"/>
        <v>5842.8499999999995</v>
      </c>
    </row>
    <row r="63" spans="1:9" ht="15.75" customHeight="1" x14ac:dyDescent="0.35">
      <c r="A63" s="4">
        <v>6</v>
      </c>
      <c r="B63" s="6" t="s">
        <v>120</v>
      </c>
      <c r="C63" s="14" t="s">
        <v>121</v>
      </c>
      <c r="D63" s="266"/>
      <c r="E63" s="266"/>
      <c r="F63" s="1">
        <v>50</v>
      </c>
      <c r="G63" s="1">
        <v>50</v>
      </c>
      <c r="H63" s="5">
        <v>9100</v>
      </c>
      <c r="I63" s="26">
        <f t="shared" si="3"/>
        <v>5974.15</v>
      </c>
    </row>
    <row r="64" spans="1:9" ht="15.75" customHeight="1" x14ac:dyDescent="0.35">
      <c r="A64" s="6">
        <v>7</v>
      </c>
      <c r="B64" s="4" t="s">
        <v>122</v>
      </c>
      <c r="C64" s="18" t="s">
        <v>123</v>
      </c>
      <c r="D64" s="266"/>
      <c r="E64" s="266"/>
      <c r="F64" s="1">
        <v>50</v>
      </c>
      <c r="G64" s="1">
        <v>50</v>
      </c>
      <c r="H64" s="5">
        <v>9000</v>
      </c>
      <c r="I64" s="26">
        <f t="shared" si="3"/>
        <v>5908.5</v>
      </c>
    </row>
    <row r="65" spans="1:9" ht="15.75" customHeight="1" x14ac:dyDescent="0.35">
      <c r="A65" s="6">
        <v>8</v>
      </c>
      <c r="B65" s="4" t="s">
        <v>124</v>
      </c>
      <c r="C65" s="19" t="s">
        <v>125</v>
      </c>
      <c r="D65" s="266"/>
      <c r="E65" s="266"/>
      <c r="F65" s="1">
        <v>75</v>
      </c>
      <c r="G65" s="1">
        <v>75</v>
      </c>
      <c r="H65" s="8">
        <v>10000</v>
      </c>
      <c r="I65" s="26">
        <f t="shared" si="3"/>
        <v>6565</v>
      </c>
    </row>
    <row r="66" spans="1:9" ht="15.75" customHeight="1" x14ac:dyDescent="0.35">
      <c r="A66" s="4">
        <v>9</v>
      </c>
      <c r="B66" s="4"/>
      <c r="C66" s="18" t="s">
        <v>126</v>
      </c>
      <c r="D66" s="263"/>
      <c r="E66" s="263"/>
      <c r="F66" s="1">
        <v>75</v>
      </c>
      <c r="G66" s="1">
        <v>75</v>
      </c>
      <c r="H66" s="5">
        <v>10200</v>
      </c>
      <c r="I66" s="26">
        <f t="shared" si="3"/>
        <v>6696.2999999999993</v>
      </c>
    </row>
    <row r="67" spans="1:9" ht="15.75" customHeight="1" x14ac:dyDescent="0.35">
      <c r="A67" s="6">
        <v>10</v>
      </c>
      <c r="B67" s="4" t="s">
        <v>127</v>
      </c>
      <c r="C67" s="19" t="s">
        <v>128</v>
      </c>
      <c r="D67" s="262">
        <v>1.5</v>
      </c>
      <c r="E67" s="262">
        <v>1.1000000000000001</v>
      </c>
      <c r="F67" s="1">
        <v>50</v>
      </c>
      <c r="G67" s="1">
        <v>50</v>
      </c>
      <c r="H67" s="5">
        <v>10420</v>
      </c>
      <c r="I67" s="26">
        <f t="shared" si="3"/>
        <v>6840.73</v>
      </c>
    </row>
    <row r="68" spans="1:9" ht="15.75" customHeight="1" x14ac:dyDescent="0.35">
      <c r="A68" s="6">
        <v>11</v>
      </c>
      <c r="B68" s="4" t="s">
        <v>129</v>
      </c>
      <c r="C68" s="18" t="s">
        <v>130</v>
      </c>
      <c r="D68" s="266"/>
      <c r="E68" s="266"/>
      <c r="F68" s="1">
        <v>50</v>
      </c>
      <c r="G68" s="1">
        <v>50</v>
      </c>
      <c r="H68" s="5">
        <v>10600</v>
      </c>
      <c r="I68" s="26">
        <f t="shared" si="3"/>
        <v>6958.9</v>
      </c>
    </row>
    <row r="69" spans="1:9" ht="15.75" customHeight="1" x14ac:dyDescent="0.35">
      <c r="A69" s="4">
        <v>12</v>
      </c>
      <c r="B69" s="4" t="s">
        <v>131</v>
      </c>
      <c r="C69" s="19" t="s">
        <v>132</v>
      </c>
      <c r="D69" s="266"/>
      <c r="E69" s="266"/>
      <c r="F69" s="1">
        <v>65</v>
      </c>
      <c r="G69" s="1">
        <v>50</v>
      </c>
      <c r="H69" s="5">
        <v>10600</v>
      </c>
      <c r="I69" s="26">
        <f t="shared" si="3"/>
        <v>6958.9</v>
      </c>
    </row>
    <row r="70" spans="1:9" ht="15.75" customHeight="1" x14ac:dyDescent="0.35">
      <c r="A70" s="6">
        <v>13</v>
      </c>
      <c r="B70" s="4" t="s">
        <v>133</v>
      </c>
      <c r="C70" s="18" t="s">
        <v>134</v>
      </c>
      <c r="D70" s="266"/>
      <c r="E70" s="266"/>
      <c r="F70" s="1">
        <v>65</v>
      </c>
      <c r="G70" s="1">
        <v>50</v>
      </c>
      <c r="H70" s="5">
        <v>10800</v>
      </c>
      <c r="I70" s="26">
        <f t="shared" si="3"/>
        <v>7090.2</v>
      </c>
    </row>
    <row r="71" spans="1:9" ht="15.75" customHeight="1" x14ac:dyDescent="0.35">
      <c r="A71" s="6">
        <v>14</v>
      </c>
      <c r="B71" s="4" t="s">
        <v>135</v>
      </c>
      <c r="C71" s="19" t="s">
        <v>136</v>
      </c>
      <c r="D71" s="266"/>
      <c r="E71" s="266"/>
      <c r="F71" s="1">
        <v>75</v>
      </c>
      <c r="G71" s="1">
        <v>75</v>
      </c>
      <c r="H71" s="8">
        <v>11000</v>
      </c>
      <c r="I71" s="26">
        <f t="shared" si="3"/>
        <v>7221.5</v>
      </c>
    </row>
    <row r="72" spans="1:9" ht="15.75" customHeight="1" x14ac:dyDescent="0.35">
      <c r="A72" s="4">
        <v>15</v>
      </c>
      <c r="B72" s="4" t="s">
        <v>137</v>
      </c>
      <c r="C72" s="18" t="s">
        <v>138</v>
      </c>
      <c r="D72" s="266"/>
      <c r="E72" s="266"/>
      <c r="F72" s="1">
        <v>75</v>
      </c>
      <c r="G72" s="1">
        <v>75</v>
      </c>
      <c r="H72" s="5">
        <v>11200</v>
      </c>
      <c r="I72" s="26">
        <f t="shared" si="3"/>
        <v>7352.7999999999993</v>
      </c>
    </row>
    <row r="73" spans="1:9" ht="15.75" customHeight="1" x14ac:dyDescent="0.35">
      <c r="A73" s="6">
        <v>16</v>
      </c>
      <c r="B73" s="4" t="s">
        <v>139</v>
      </c>
      <c r="C73" s="18" t="s">
        <v>140</v>
      </c>
      <c r="D73" s="263"/>
      <c r="E73" s="263"/>
      <c r="F73" s="1">
        <v>75</v>
      </c>
      <c r="G73" s="1">
        <v>75</v>
      </c>
      <c r="H73" s="5">
        <v>11200</v>
      </c>
      <c r="I73" s="26">
        <f t="shared" si="3"/>
        <v>7352.7999999999993</v>
      </c>
    </row>
    <row r="74" spans="1:9" ht="15.75" customHeight="1" x14ac:dyDescent="0.35">
      <c r="A74" s="6">
        <v>17</v>
      </c>
      <c r="B74" s="4" t="s">
        <v>141</v>
      </c>
      <c r="C74" s="19" t="s">
        <v>142</v>
      </c>
      <c r="D74" s="262">
        <v>2</v>
      </c>
      <c r="E74" s="262">
        <v>1.5</v>
      </c>
      <c r="F74" s="1">
        <v>50</v>
      </c>
      <c r="G74" s="1">
        <v>40</v>
      </c>
      <c r="H74" s="8">
        <v>15000</v>
      </c>
      <c r="I74" s="26">
        <f t="shared" si="3"/>
        <v>9847.5</v>
      </c>
    </row>
    <row r="75" spans="1:9" ht="15.75" customHeight="1" x14ac:dyDescent="0.35">
      <c r="A75" s="4">
        <v>18</v>
      </c>
      <c r="B75" s="4" t="s">
        <v>143</v>
      </c>
      <c r="C75" s="18" t="s">
        <v>144</v>
      </c>
      <c r="D75" s="266"/>
      <c r="E75" s="266"/>
      <c r="F75" s="1">
        <v>50</v>
      </c>
      <c r="G75" s="1">
        <v>40</v>
      </c>
      <c r="H75" s="5">
        <v>15200</v>
      </c>
      <c r="I75" s="26">
        <f t="shared" si="3"/>
        <v>9978.7999999999993</v>
      </c>
    </row>
    <row r="76" spans="1:9" ht="15.75" customHeight="1" x14ac:dyDescent="0.35">
      <c r="A76" s="6">
        <v>19</v>
      </c>
      <c r="B76" s="6" t="s">
        <v>145</v>
      </c>
      <c r="C76" s="14" t="s">
        <v>146</v>
      </c>
      <c r="D76" s="266"/>
      <c r="E76" s="266"/>
      <c r="F76" s="1">
        <v>50</v>
      </c>
      <c r="G76" s="1">
        <v>50</v>
      </c>
      <c r="H76" s="8">
        <v>13000</v>
      </c>
      <c r="I76" s="26">
        <f t="shared" si="3"/>
        <v>8534.5</v>
      </c>
    </row>
    <row r="77" spans="1:9" ht="15.75" customHeight="1" x14ac:dyDescent="0.35">
      <c r="A77" s="6">
        <v>20</v>
      </c>
      <c r="B77" s="4" t="s">
        <v>147</v>
      </c>
      <c r="C77" s="18" t="s">
        <v>148</v>
      </c>
      <c r="D77" s="266"/>
      <c r="E77" s="266"/>
      <c r="F77" s="1">
        <v>50</v>
      </c>
      <c r="G77" s="1">
        <v>50</v>
      </c>
      <c r="H77" s="5">
        <v>13200</v>
      </c>
      <c r="I77" s="26">
        <f t="shared" si="3"/>
        <v>8665.7999999999993</v>
      </c>
    </row>
    <row r="78" spans="1:9" ht="15.75" customHeight="1" x14ac:dyDescent="0.35">
      <c r="A78" s="4">
        <v>21</v>
      </c>
      <c r="B78" s="6" t="s">
        <v>149</v>
      </c>
      <c r="C78" s="14" t="s">
        <v>150</v>
      </c>
      <c r="D78" s="266"/>
      <c r="E78" s="266"/>
      <c r="F78" s="1">
        <v>65</v>
      </c>
      <c r="G78" s="1">
        <v>50</v>
      </c>
      <c r="H78" s="8">
        <v>13300</v>
      </c>
      <c r="I78" s="26">
        <f t="shared" si="3"/>
        <v>8731.4499999999989</v>
      </c>
    </row>
    <row r="79" spans="1:9" ht="15.75" customHeight="1" x14ac:dyDescent="0.35">
      <c r="A79" s="6">
        <v>22</v>
      </c>
      <c r="B79" s="6" t="s">
        <v>151</v>
      </c>
      <c r="C79" s="14" t="s">
        <v>152</v>
      </c>
      <c r="D79" s="266"/>
      <c r="E79" s="266"/>
      <c r="F79" s="1">
        <v>65</v>
      </c>
      <c r="G79" s="1">
        <v>50</v>
      </c>
      <c r="H79" s="5">
        <v>13500</v>
      </c>
      <c r="I79" s="26">
        <f t="shared" si="3"/>
        <v>8862.75</v>
      </c>
    </row>
    <row r="80" spans="1:9" ht="15.75" customHeight="1" x14ac:dyDescent="0.35">
      <c r="A80" s="6">
        <v>23</v>
      </c>
      <c r="B80" s="4" t="s">
        <v>153</v>
      </c>
      <c r="C80" s="18" t="s">
        <v>154</v>
      </c>
      <c r="D80" s="266"/>
      <c r="E80" s="266"/>
      <c r="F80" s="1">
        <v>65</v>
      </c>
      <c r="G80" s="1">
        <v>50</v>
      </c>
      <c r="H80" s="5">
        <v>13340</v>
      </c>
      <c r="I80" s="26">
        <f t="shared" si="3"/>
        <v>8757.7099999999991</v>
      </c>
    </row>
    <row r="81" spans="1:9" ht="15.75" customHeight="1" x14ac:dyDescent="0.35">
      <c r="A81" s="4">
        <v>24</v>
      </c>
      <c r="B81" s="6"/>
      <c r="C81" s="14" t="s">
        <v>155</v>
      </c>
      <c r="D81" s="266"/>
      <c r="E81" s="266"/>
      <c r="F81" s="1">
        <v>65</v>
      </c>
      <c r="G81" s="1">
        <v>50</v>
      </c>
      <c r="H81" s="8">
        <v>13300</v>
      </c>
      <c r="I81" s="26">
        <f t="shared" si="3"/>
        <v>8731.4499999999989</v>
      </c>
    </row>
    <row r="82" spans="1:9" ht="15.75" customHeight="1" x14ac:dyDescent="0.35">
      <c r="A82" s="6">
        <v>25</v>
      </c>
      <c r="B82" s="4" t="s">
        <v>156</v>
      </c>
      <c r="C82" s="18" t="s">
        <v>157</v>
      </c>
      <c r="D82" s="266"/>
      <c r="E82" s="266"/>
      <c r="F82" s="1">
        <v>75</v>
      </c>
      <c r="G82" s="1">
        <v>75</v>
      </c>
      <c r="H82" s="5">
        <v>13600</v>
      </c>
      <c r="I82" s="26">
        <f t="shared" si="3"/>
        <v>8928.4</v>
      </c>
    </row>
    <row r="83" spans="1:9" ht="15.75" customHeight="1" x14ac:dyDescent="0.35">
      <c r="A83" s="6">
        <v>26</v>
      </c>
      <c r="B83" s="6" t="s">
        <v>158</v>
      </c>
      <c r="C83" s="14" t="s">
        <v>159</v>
      </c>
      <c r="D83" s="266"/>
      <c r="E83" s="266"/>
      <c r="F83" s="1">
        <v>75</v>
      </c>
      <c r="G83" s="1">
        <v>75</v>
      </c>
      <c r="H83" s="8">
        <v>13450</v>
      </c>
      <c r="I83" s="26">
        <f t="shared" si="3"/>
        <v>8829.9249999999993</v>
      </c>
    </row>
    <row r="84" spans="1:9" ht="15.75" customHeight="1" x14ac:dyDescent="0.35">
      <c r="A84" s="4">
        <v>27</v>
      </c>
      <c r="B84" s="6" t="s">
        <v>160</v>
      </c>
      <c r="C84" s="14" t="s">
        <v>161</v>
      </c>
      <c r="D84" s="266"/>
      <c r="E84" s="266"/>
      <c r="F84" s="1">
        <v>75</v>
      </c>
      <c r="G84" s="1">
        <v>75</v>
      </c>
      <c r="H84" s="5">
        <v>13800</v>
      </c>
      <c r="I84" s="26">
        <f t="shared" si="3"/>
        <v>9059.6999999999989</v>
      </c>
    </row>
    <row r="85" spans="1:9" ht="15.75" customHeight="1" x14ac:dyDescent="0.35">
      <c r="A85" s="6">
        <v>28</v>
      </c>
      <c r="B85" s="6" t="s">
        <v>162</v>
      </c>
      <c r="C85" s="14" t="s">
        <v>163</v>
      </c>
      <c r="D85" s="266"/>
      <c r="E85" s="266"/>
      <c r="F85" s="1">
        <v>75</v>
      </c>
      <c r="G85" s="1">
        <v>75</v>
      </c>
      <c r="H85" s="5">
        <v>14000</v>
      </c>
      <c r="I85" s="26">
        <f t="shared" si="3"/>
        <v>9191</v>
      </c>
    </row>
    <row r="86" spans="1:9" ht="15.75" customHeight="1" x14ac:dyDescent="0.35">
      <c r="A86" s="6">
        <v>29</v>
      </c>
      <c r="B86" s="6" t="s">
        <v>164</v>
      </c>
      <c r="C86" s="14" t="s">
        <v>165</v>
      </c>
      <c r="D86" s="266"/>
      <c r="E86" s="266"/>
      <c r="F86" s="1">
        <v>75</v>
      </c>
      <c r="G86" s="1">
        <v>75</v>
      </c>
      <c r="H86" s="5">
        <v>14500</v>
      </c>
      <c r="I86" s="26">
        <f t="shared" si="3"/>
        <v>9519.25</v>
      </c>
    </row>
    <row r="87" spans="1:9" ht="15.75" customHeight="1" x14ac:dyDescent="0.35">
      <c r="A87" s="4">
        <v>30</v>
      </c>
      <c r="B87" s="4" t="s">
        <v>166</v>
      </c>
      <c r="C87" s="18" t="s">
        <v>167</v>
      </c>
      <c r="D87" s="266"/>
      <c r="E87" s="266"/>
      <c r="F87" s="1">
        <v>75</v>
      </c>
      <c r="G87" s="1">
        <v>75</v>
      </c>
      <c r="H87" s="5">
        <v>13550</v>
      </c>
      <c r="I87" s="26">
        <f t="shared" si="3"/>
        <v>8895.5749999999989</v>
      </c>
    </row>
    <row r="88" spans="1:9" ht="15.75" customHeight="1" x14ac:dyDescent="0.35">
      <c r="A88" s="6">
        <v>31</v>
      </c>
      <c r="B88" s="6" t="s">
        <v>168</v>
      </c>
      <c r="C88" s="14" t="s">
        <v>169</v>
      </c>
      <c r="D88" s="266"/>
      <c r="E88" s="266"/>
      <c r="F88" s="1">
        <v>75</v>
      </c>
      <c r="G88" s="1">
        <v>65</v>
      </c>
      <c r="H88" s="8">
        <v>13450</v>
      </c>
      <c r="I88" s="26">
        <f t="shared" si="3"/>
        <v>8829.9249999999993</v>
      </c>
    </row>
    <row r="89" spans="1:9" ht="15.75" customHeight="1" x14ac:dyDescent="0.35">
      <c r="A89" s="6">
        <v>32</v>
      </c>
      <c r="B89" s="6" t="s">
        <v>170</v>
      </c>
      <c r="C89" s="14" t="s">
        <v>171</v>
      </c>
      <c r="D89" s="266"/>
      <c r="E89" s="266"/>
      <c r="F89" s="1">
        <v>75</v>
      </c>
      <c r="G89" s="1">
        <v>65</v>
      </c>
      <c r="H89" s="5">
        <v>13740</v>
      </c>
      <c r="I89" s="26">
        <f t="shared" si="3"/>
        <v>9020.31</v>
      </c>
    </row>
    <row r="90" spans="1:9" ht="15.75" customHeight="1" x14ac:dyDescent="0.35">
      <c r="A90" s="4">
        <v>33</v>
      </c>
      <c r="B90" s="4"/>
      <c r="C90" s="19" t="s">
        <v>172</v>
      </c>
      <c r="D90" s="266"/>
      <c r="E90" s="266"/>
      <c r="F90" s="1">
        <v>100</v>
      </c>
      <c r="G90" s="1">
        <v>100</v>
      </c>
      <c r="H90" s="8">
        <v>15000</v>
      </c>
      <c r="I90" s="26">
        <f t="shared" si="3"/>
        <v>9847.5</v>
      </c>
    </row>
    <row r="91" spans="1:9" ht="15.75" customHeight="1" x14ac:dyDescent="0.35">
      <c r="A91" s="6">
        <v>34</v>
      </c>
      <c r="B91" s="4"/>
      <c r="C91" s="18" t="s">
        <v>173</v>
      </c>
      <c r="D91" s="263"/>
      <c r="E91" s="263"/>
      <c r="F91" s="1">
        <v>100</v>
      </c>
      <c r="G91" s="1">
        <v>100</v>
      </c>
      <c r="H91" s="5">
        <v>15200</v>
      </c>
      <c r="I91" s="26">
        <f t="shared" si="3"/>
        <v>9978.7999999999993</v>
      </c>
    </row>
    <row r="92" spans="1:9" ht="15.75" customHeight="1" x14ac:dyDescent="0.35">
      <c r="A92" s="6">
        <v>35</v>
      </c>
      <c r="B92" s="4"/>
      <c r="C92" s="19" t="s">
        <v>174</v>
      </c>
      <c r="D92" s="262">
        <v>3</v>
      </c>
      <c r="E92" s="262">
        <v>2.25</v>
      </c>
      <c r="F92" s="1">
        <v>50</v>
      </c>
      <c r="G92" s="1">
        <v>40</v>
      </c>
      <c r="H92" s="8">
        <v>18000</v>
      </c>
      <c r="I92" s="26">
        <f t="shared" si="3"/>
        <v>11817</v>
      </c>
    </row>
    <row r="93" spans="1:9" ht="15.75" customHeight="1" x14ac:dyDescent="0.35">
      <c r="A93" s="4">
        <v>36</v>
      </c>
      <c r="B93" s="4" t="s">
        <v>175</v>
      </c>
      <c r="C93" s="18" t="s">
        <v>176</v>
      </c>
      <c r="D93" s="266"/>
      <c r="E93" s="266"/>
      <c r="F93" s="1">
        <v>50</v>
      </c>
      <c r="G93" s="1">
        <v>40</v>
      </c>
      <c r="H93" s="5">
        <v>18560</v>
      </c>
      <c r="I93" s="26">
        <f t="shared" si="3"/>
        <v>12184.64</v>
      </c>
    </row>
    <row r="94" spans="1:9" ht="15.75" customHeight="1" x14ac:dyDescent="0.35">
      <c r="A94" s="6">
        <v>37</v>
      </c>
      <c r="B94" s="4" t="s">
        <v>177</v>
      </c>
      <c r="C94" s="19" t="s">
        <v>178</v>
      </c>
      <c r="D94" s="266"/>
      <c r="E94" s="266"/>
      <c r="F94" s="1">
        <v>50</v>
      </c>
      <c r="G94" s="1">
        <v>50</v>
      </c>
      <c r="H94" s="8">
        <v>18250</v>
      </c>
      <c r="I94" s="26">
        <f t="shared" si="3"/>
        <v>11981.125</v>
      </c>
    </row>
    <row r="95" spans="1:9" ht="15.75" customHeight="1" x14ac:dyDescent="0.35">
      <c r="A95" s="6">
        <v>38</v>
      </c>
      <c r="B95" s="4" t="s">
        <v>179</v>
      </c>
      <c r="C95" s="18" t="s">
        <v>180</v>
      </c>
      <c r="D95" s="266"/>
      <c r="E95" s="266"/>
      <c r="F95" s="1">
        <v>50</v>
      </c>
      <c r="G95" s="1">
        <v>50</v>
      </c>
      <c r="H95" s="5">
        <v>18670</v>
      </c>
      <c r="I95" s="26">
        <f t="shared" si="3"/>
        <v>12256.855</v>
      </c>
    </row>
    <row r="96" spans="1:9" ht="15.75" customHeight="1" x14ac:dyDescent="0.35">
      <c r="A96" s="4">
        <v>39</v>
      </c>
      <c r="B96" s="6" t="s">
        <v>181</v>
      </c>
      <c r="C96" s="14" t="s">
        <v>182</v>
      </c>
      <c r="D96" s="266"/>
      <c r="E96" s="266"/>
      <c r="F96" s="1">
        <v>65</v>
      </c>
      <c r="G96" s="1">
        <v>50</v>
      </c>
      <c r="H96" s="8">
        <v>18100</v>
      </c>
      <c r="I96" s="26">
        <f t="shared" si="3"/>
        <v>11882.65</v>
      </c>
    </row>
    <row r="97" spans="1:9" ht="15.75" customHeight="1" x14ac:dyDescent="0.35">
      <c r="A97" s="6">
        <v>40</v>
      </c>
      <c r="B97" s="6" t="s">
        <v>183</v>
      </c>
      <c r="C97" s="14" t="s">
        <v>184</v>
      </c>
      <c r="D97" s="266"/>
      <c r="E97" s="266"/>
      <c r="F97" s="1">
        <v>65</v>
      </c>
      <c r="G97" s="1">
        <v>50</v>
      </c>
      <c r="H97" s="5">
        <v>18770</v>
      </c>
      <c r="I97" s="26">
        <f t="shared" si="3"/>
        <v>12322.504999999999</v>
      </c>
    </row>
    <row r="98" spans="1:9" ht="15.75" customHeight="1" x14ac:dyDescent="0.35">
      <c r="A98" s="6">
        <v>41</v>
      </c>
      <c r="B98" s="6" t="s">
        <v>185</v>
      </c>
      <c r="C98" s="14" t="s">
        <v>186</v>
      </c>
      <c r="D98" s="266"/>
      <c r="E98" s="266"/>
      <c r="F98" s="1">
        <v>75</v>
      </c>
      <c r="G98" s="1">
        <v>75</v>
      </c>
      <c r="H98" s="8">
        <v>18020</v>
      </c>
      <c r="I98" s="26">
        <f t="shared" si="3"/>
        <v>11830.13</v>
      </c>
    </row>
    <row r="99" spans="1:9" ht="15.75" customHeight="1" x14ac:dyDescent="0.35">
      <c r="A99" s="4">
        <v>42</v>
      </c>
      <c r="B99" s="6" t="s">
        <v>187</v>
      </c>
      <c r="C99" s="14" t="s">
        <v>188</v>
      </c>
      <c r="D99" s="266"/>
      <c r="E99" s="266"/>
      <c r="F99" s="1">
        <v>75</v>
      </c>
      <c r="G99" s="1">
        <v>75</v>
      </c>
      <c r="H99" s="5">
        <v>18680</v>
      </c>
      <c r="I99" s="26">
        <f t="shared" si="3"/>
        <v>12263.42</v>
      </c>
    </row>
    <row r="100" spans="1:9" ht="15.75" customHeight="1" x14ac:dyDescent="0.35">
      <c r="A100" s="6">
        <v>43</v>
      </c>
      <c r="B100" s="6" t="s">
        <v>189</v>
      </c>
      <c r="C100" s="14" t="s">
        <v>190</v>
      </c>
      <c r="D100" s="266"/>
      <c r="E100" s="266"/>
      <c r="F100" s="1">
        <v>100</v>
      </c>
      <c r="G100" s="1">
        <v>100</v>
      </c>
      <c r="H100" s="8">
        <v>19100</v>
      </c>
      <c r="I100" s="26">
        <f t="shared" si="3"/>
        <v>12539.15</v>
      </c>
    </row>
    <row r="101" spans="1:9" ht="15.75" customHeight="1" x14ac:dyDescent="0.35">
      <c r="A101" s="6">
        <v>44</v>
      </c>
      <c r="B101" s="6" t="s">
        <v>191</v>
      </c>
      <c r="C101" s="14" t="s">
        <v>192</v>
      </c>
      <c r="D101" s="266"/>
      <c r="E101" s="266"/>
      <c r="F101" s="1">
        <v>100</v>
      </c>
      <c r="G101" s="1">
        <v>100</v>
      </c>
      <c r="H101" s="5">
        <v>19500</v>
      </c>
      <c r="I101" s="26">
        <f t="shared" si="3"/>
        <v>12801.75</v>
      </c>
    </row>
    <row r="102" spans="1:9" ht="15.75" customHeight="1" x14ac:dyDescent="0.35">
      <c r="A102" s="4">
        <v>45</v>
      </c>
      <c r="B102" s="6" t="s">
        <v>193</v>
      </c>
      <c r="C102" s="14" t="s">
        <v>194</v>
      </c>
      <c r="D102" s="266"/>
      <c r="E102" s="266"/>
      <c r="F102" s="1">
        <v>100</v>
      </c>
      <c r="G102" s="1">
        <v>100</v>
      </c>
      <c r="H102" s="5">
        <v>14800</v>
      </c>
      <c r="I102" s="26">
        <f t="shared" si="3"/>
        <v>9716.1999999999989</v>
      </c>
    </row>
    <row r="103" spans="1:9" ht="15.75" customHeight="1" x14ac:dyDescent="0.35">
      <c r="A103" s="6">
        <v>46</v>
      </c>
      <c r="B103" s="4" t="s">
        <v>195</v>
      </c>
      <c r="C103" s="18" t="s">
        <v>196</v>
      </c>
      <c r="D103" s="263"/>
      <c r="E103" s="263"/>
      <c r="F103" s="1">
        <v>100</v>
      </c>
      <c r="G103" s="1">
        <v>100</v>
      </c>
      <c r="H103" s="5">
        <v>15000</v>
      </c>
      <c r="I103" s="26">
        <f t="shared" si="3"/>
        <v>9847.5</v>
      </c>
    </row>
    <row r="104" spans="1:9" ht="15.75" customHeight="1" x14ac:dyDescent="0.35">
      <c r="A104" s="6">
        <v>47</v>
      </c>
      <c r="B104" s="6" t="s">
        <v>197</v>
      </c>
      <c r="C104" s="14" t="s">
        <v>198</v>
      </c>
      <c r="D104" s="262">
        <v>5</v>
      </c>
      <c r="E104" s="262">
        <v>3.75</v>
      </c>
      <c r="F104" s="1">
        <v>80</v>
      </c>
      <c r="G104" s="1">
        <v>65</v>
      </c>
      <c r="H104" s="5">
        <v>24600</v>
      </c>
      <c r="I104" s="26">
        <f t="shared" si="3"/>
        <v>16149.9</v>
      </c>
    </row>
    <row r="105" spans="1:9" ht="15.75" customHeight="1" x14ac:dyDescent="0.35">
      <c r="A105" s="4">
        <v>48</v>
      </c>
      <c r="B105" s="4"/>
      <c r="C105" s="20" t="s">
        <v>199</v>
      </c>
      <c r="D105" s="266"/>
      <c r="E105" s="266"/>
      <c r="F105" s="1">
        <v>80</v>
      </c>
      <c r="G105" s="1">
        <v>65</v>
      </c>
      <c r="H105" s="5">
        <v>26000</v>
      </c>
      <c r="I105" s="26">
        <f t="shared" si="3"/>
        <v>17069</v>
      </c>
    </row>
    <row r="106" spans="1:9" ht="15.75" customHeight="1" x14ac:dyDescent="0.35">
      <c r="A106" s="6">
        <v>49</v>
      </c>
      <c r="B106" s="6" t="s">
        <v>200</v>
      </c>
      <c r="C106" s="20" t="s">
        <v>201</v>
      </c>
      <c r="D106" s="263"/>
      <c r="E106" s="263"/>
      <c r="F106" s="1">
        <v>80</v>
      </c>
      <c r="G106" s="1">
        <v>65</v>
      </c>
      <c r="H106" s="5">
        <v>23600</v>
      </c>
      <c r="I106" s="26">
        <f t="shared" si="3"/>
        <v>15493.4</v>
      </c>
    </row>
    <row r="107" spans="1:9" ht="15.75" customHeight="1" x14ac:dyDescent="0.35">
      <c r="A107" s="6">
        <v>50</v>
      </c>
      <c r="B107" s="4" t="s">
        <v>202</v>
      </c>
      <c r="C107" s="18" t="s">
        <v>203</v>
      </c>
      <c r="D107" s="7">
        <v>0.75</v>
      </c>
      <c r="E107" s="7">
        <v>0.56000000000000005</v>
      </c>
      <c r="F107" s="2">
        <v>25</v>
      </c>
      <c r="G107" s="2">
        <v>25</v>
      </c>
      <c r="H107" s="5">
        <v>5170</v>
      </c>
      <c r="I107" s="26">
        <f t="shared" si="3"/>
        <v>3394.105</v>
      </c>
    </row>
    <row r="108" spans="1:9" ht="15.75" customHeight="1" x14ac:dyDescent="0.35">
      <c r="A108" s="4">
        <v>51</v>
      </c>
      <c r="B108" s="4" t="s">
        <v>204</v>
      </c>
      <c r="C108" s="18" t="s">
        <v>205</v>
      </c>
      <c r="D108" s="262">
        <v>1</v>
      </c>
      <c r="E108" s="262">
        <v>0.75</v>
      </c>
      <c r="F108" s="1">
        <v>40</v>
      </c>
      <c r="G108" s="1">
        <v>40</v>
      </c>
      <c r="H108" s="5">
        <v>9000</v>
      </c>
      <c r="I108" s="26">
        <f t="shared" si="3"/>
        <v>5908.5</v>
      </c>
    </row>
    <row r="109" spans="1:9" ht="15.75" customHeight="1" x14ac:dyDescent="0.35">
      <c r="A109" s="6">
        <v>52</v>
      </c>
      <c r="B109" s="4"/>
      <c r="C109" s="18" t="s">
        <v>206</v>
      </c>
      <c r="D109" s="263"/>
      <c r="E109" s="263"/>
      <c r="F109" s="1">
        <v>40</v>
      </c>
      <c r="G109" s="1">
        <v>40</v>
      </c>
      <c r="H109" s="5">
        <v>9000</v>
      </c>
      <c r="I109" s="26">
        <f t="shared" si="3"/>
        <v>5908.5</v>
      </c>
    </row>
    <row r="110" spans="1:9" ht="15.75" customHeight="1" x14ac:dyDescent="0.35">
      <c r="A110" s="6">
        <v>53</v>
      </c>
      <c r="B110" s="4"/>
      <c r="C110" s="20" t="s">
        <v>207</v>
      </c>
      <c r="D110" s="262">
        <v>2</v>
      </c>
      <c r="E110" s="262">
        <v>1.5</v>
      </c>
      <c r="F110" s="1">
        <v>75</v>
      </c>
      <c r="G110" s="1">
        <v>75</v>
      </c>
      <c r="H110" s="5">
        <v>12500</v>
      </c>
      <c r="I110" s="26">
        <f t="shared" si="3"/>
        <v>8206.25</v>
      </c>
    </row>
    <row r="111" spans="1:9" ht="15.75" customHeight="1" x14ac:dyDescent="0.35">
      <c r="A111" s="4">
        <v>54</v>
      </c>
      <c r="B111" s="4" t="s">
        <v>208</v>
      </c>
      <c r="C111" s="20" t="s">
        <v>209</v>
      </c>
      <c r="D111" s="266"/>
      <c r="E111" s="266"/>
      <c r="F111" s="1">
        <v>75</v>
      </c>
      <c r="G111" s="1">
        <v>75</v>
      </c>
      <c r="H111" s="5">
        <v>12500</v>
      </c>
      <c r="I111" s="26">
        <f t="shared" si="3"/>
        <v>8206.25</v>
      </c>
    </row>
    <row r="112" spans="1:9" ht="15.75" customHeight="1" x14ac:dyDescent="0.35">
      <c r="A112" s="6">
        <v>55</v>
      </c>
      <c r="B112" s="4" t="s">
        <v>210</v>
      </c>
      <c r="C112" s="20" t="s">
        <v>211</v>
      </c>
      <c r="D112" s="266"/>
      <c r="E112" s="266"/>
      <c r="F112" s="1">
        <v>65</v>
      </c>
      <c r="G112" s="1">
        <v>50</v>
      </c>
      <c r="H112" s="5">
        <v>12200</v>
      </c>
      <c r="I112" s="26">
        <f t="shared" si="3"/>
        <v>8009.2999999999993</v>
      </c>
    </row>
    <row r="113" spans="1:9" ht="15.75" customHeight="1" x14ac:dyDescent="0.35">
      <c r="A113" s="6">
        <v>56</v>
      </c>
      <c r="B113" s="4" t="s">
        <v>212</v>
      </c>
      <c r="C113" s="20" t="s">
        <v>213</v>
      </c>
      <c r="D113" s="263"/>
      <c r="E113" s="263"/>
      <c r="F113" s="1">
        <v>50</v>
      </c>
      <c r="G113" s="1">
        <v>50</v>
      </c>
      <c r="H113" s="5">
        <v>12200</v>
      </c>
      <c r="I113" s="26">
        <f t="shared" si="3"/>
        <v>8009.2999999999993</v>
      </c>
    </row>
    <row r="114" spans="1:9" ht="15.75" customHeight="1" x14ac:dyDescent="0.35">
      <c r="A114" s="300" t="s">
        <v>214</v>
      </c>
      <c r="B114" s="300"/>
      <c r="C114" s="300"/>
      <c r="D114" s="300"/>
      <c r="E114" s="300"/>
      <c r="F114" s="300"/>
      <c r="G114" s="300"/>
      <c r="H114" s="207" t="s">
        <v>109</v>
      </c>
      <c r="I114" s="92" t="s">
        <v>334</v>
      </c>
    </row>
    <row r="115" spans="1:9" ht="15.75" customHeight="1" x14ac:dyDescent="0.35">
      <c r="A115" s="207" t="s">
        <v>2</v>
      </c>
      <c r="B115" s="287" t="s">
        <v>3</v>
      </c>
      <c r="C115" s="298" t="s">
        <v>4</v>
      </c>
      <c r="D115" s="287" t="s">
        <v>5</v>
      </c>
      <c r="E115" s="287"/>
      <c r="F115" s="287" t="s">
        <v>6</v>
      </c>
      <c r="G115" s="287"/>
      <c r="H115" s="259"/>
      <c r="I115" s="342">
        <v>0.34350000000000003</v>
      </c>
    </row>
    <row r="116" spans="1:9" ht="15.75" customHeight="1" x14ac:dyDescent="0.35">
      <c r="A116" s="208"/>
      <c r="B116" s="287"/>
      <c r="C116" s="298"/>
      <c r="D116" s="11" t="s">
        <v>9</v>
      </c>
      <c r="E116" s="11" t="s">
        <v>10</v>
      </c>
      <c r="F116" s="11" t="s">
        <v>11</v>
      </c>
      <c r="G116" s="11" t="s">
        <v>12</v>
      </c>
      <c r="H116" s="208"/>
      <c r="I116" s="343"/>
    </row>
    <row r="117" spans="1:9" ht="15.75" customHeight="1" x14ac:dyDescent="0.35">
      <c r="A117" s="4">
        <v>1</v>
      </c>
      <c r="B117" s="4" t="s">
        <v>215</v>
      </c>
      <c r="C117" s="12" t="s">
        <v>216</v>
      </c>
      <c r="D117" s="2">
        <v>0.5</v>
      </c>
      <c r="E117" s="2">
        <v>0.37</v>
      </c>
      <c r="F117" s="2">
        <v>25</v>
      </c>
      <c r="G117" s="2">
        <v>25</v>
      </c>
      <c r="H117" s="13">
        <v>5370</v>
      </c>
      <c r="I117" s="102">
        <f>H117*0.63</f>
        <v>3383.1</v>
      </c>
    </row>
    <row r="118" spans="1:9" ht="15.75" customHeight="1" x14ac:dyDescent="0.35">
      <c r="A118" s="4">
        <v>2</v>
      </c>
      <c r="B118" s="4" t="s">
        <v>217</v>
      </c>
      <c r="C118" s="12" t="s">
        <v>218</v>
      </c>
      <c r="D118" s="2">
        <v>1</v>
      </c>
      <c r="E118" s="2">
        <v>0.75</v>
      </c>
      <c r="F118" s="2">
        <v>25</v>
      </c>
      <c r="G118" s="2">
        <v>25</v>
      </c>
      <c r="H118" s="13">
        <v>7070</v>
      </c>
      <c r="I118" s="150">
        <v>4793</v>
      </c>
    </row>
    <row r="119" spans="1:9" ht="15.75" customHeight="1" x14ac:dyDescent="0.35">
      <c r="A119" s="4">
        <v>3</v>
      </c>
      <c r="B119" s="21" t="s">
        <v>219</v>
      </c>
      <c r="C119" s="22" t="s">
        <v>220</v>
      </c>
      <c r="D119" s="23">
        <v>2</v>
      </c>
      <c r="E119" s="4">
        <v>1.5</v>
      </c>
      <c r="F119" s="4">
        <v>50</v>
      </c>
      <c r="G119" s="4">
        <v>50</v>
      </c>
      <c r="H119" s="4">
        <v>12200</v>
      </c>
      <c r="I119" s="26">
        <f t="shared" ref="I119:I128" si="4">H119*0.6565</f>
        <v>8009.2999999999993</v>
      </c>
    </row>
    <row r="120" spans="1:9" ht="15.75" customHeight="1" x14ac:dyDescent="0.35">
      <c r="A120" s="4">
        <v>4</v>
      </c>
      <c r="B120" s="21" t="s">
        <v>221</v>
      </c>
      <c r="C120" s="22" t="s">
        <v>222</v>
      </c>
      <c r="D120" s="23">
        <v>2</v>
      </c>
      <c r="E120" s="4">
        <v>1.5</v>
      </c>
      <c r="F120" s="4">
        <v>50</v>
      </c>
      <c r="G120" s="4">
        <v>50</v>
      </c>
      <c r="H120" s="4">
        <v>12200</v>
      </c>
      <c r="I120" s="26">
        <f t="shared" si="4"/>
        <v>8009.2999999999993</v>
      </c>
    </row>
    <row r="121" spans="1:9" ht="15.75" customHeight="1" x14ac:dyDescent="0.35">
      <c r="A121" s="4">
        <v>5</v>
      </c>
      <c r="B121" s="21" t="s">
        <v>223</v>
      </c>
      <c r="C121" s="22" t="s">
        <v>224</v>
      </c>
      <c r="D121" s="23">
        <v>2</v>
      </c>
      <c r="E121" s="4">
        <v>1.5</v>
      </c>
      <c r="F121" s="4">
        <v>65</v>
      </c>
      <c r="G121" s="4">
        <v>50</v>
      </c>
      <c r="H121" s="4">
        <v>12300</v>
      </c>
      <c r="I121" s="26">
        <f t="shared" si="4"/>
        <v>8074.95</v>
      </c>
    </row>
    <row r="122" spans="1:9" ht="15.75" customHeight="1" x14ac:dyDescent="0.35">
      <c r="A122" s="4">
        <v>6</v>
      </c>
      <c r="B122" s="21" t="s">
        <v>225</v>
      </c>
      <c r="C122" s="22" t="s">
        <v>226</v>
      </c>
      <c r="D122" s="23">
        <v>2</v>
      </c>
      <c r="E122" s="4">
        <v>1.5</v>
      </c>
      <c r="F122" s="4">
        <v>65</v>
      </c>
      <c r="G122" s="4">
        <v>50</v>
      </c>
      <c r="H122" s="4">
        <v>12300</v>
      </c>
      <c r="I122" s="26">
        <f t="shared" si="4"/>
        <v>8074.95</v>
      </c>
    </row>
    <row r="123" spans="1:9" ht="15.75" customHeight="1" x14ac:dyDescent="0.35">
      <c r="A123" s="4">
        <v>7</v>
      </c>
      <c r="B123" s="21" t="s">
        <v>227</v>
      </c>
      <c r="C123" s="22" t="s">
        <v>228</v>
      </c>
      <c r="D123" s="21">
        <v>3</v>
      </c>
      <c r="E123" s="4">
        <v>2.25</v>
      </c>
      <c r="F123" s="4">
        <v>65</v>
      </c>
      <c r="G123" s="4">
        <v>50</v>
      </c>
      <c r="H123" s="4">
        <v>12900</v>
      </c>
      <c r="I123" s="26">
        <f t="shared" si="4"/>
        <v>8468.85</v>
      </c>
    </row>
    <row r="124" spans="1:9" ht="15.75" customHeight="1" x14ac:dyDescent="0.35">
      <c r="A124" s="4">
        <v>8</v>
      </c>
      <c r="B124" s="21" t="s">
        <v>229</v>
      </c>
      <c r="C124" s="24" t="s">
        <v>230</v>
      </c>
      <c r="D124" s="21">
        <v>3</v>
      </c>
      <c r="E124" s="4">
        <v>2.25</v>
      </c>
      <c r="F124" s="4">
        <v>65</v>
      </c>
      <c r="G124" s="4">
        <v>50</v>
      </c>
      <c r="H124" s="4">
        <v>13000</v>
      </c>
      <c r="I124" s="26">
        <f t="shared" si="4"/>
        <v>8534.5</v>
      </c>
    </row>
    <row r="125" spans="1:9" ht="15.75" customHeight="1" x14ac:dyDescent="0.35">
      <c r="A125" s="4">
        <v>9</v>
      </c>
      <c r="B125" s="21" t="s">
        <v>231</v>
      </c>
      <c r="C125" s="24" t="s">
        <v>232</v>
      </c>
      <c r="D125" s="21">
        <v>3</v>
      </c>
      <c r="E125" s="4">
        <v>2.25</v>
      </c>
      <c r="F125" s="4">
        <v>65</v>
      </c>
      <c r="G125" s="4">
        <v>50</v>
      </c>
      <c r="H125" s="4">
        <v>12900</v>
      </c>
      <c r="I125" s="26">
        <f t="shared" si="4"/>
        <v>8468.85</v>
      </c>
    </row>
    <row r="126" spans="1:9" ht="15.75" customHeight="1" x14ac:dyDescent="0.35">
      <c r="A126" s="4">
        <v>10</v>
      </c>
      <c r="B126" s="21" t="s">
        <v>233</v>
      </c>
      <c r="C126" s="24" t="s">
        <v>234</v>
      </c>
      <c r="D126" s="21">
        <v>3</v>
      </c>
      <c r="E126" s="4">
        <v>2.25</v>
      </c>
      <c r="F126" s="4">
        <v>65</v>
      </c>
      <c r="G126" s="4">
        <v>50</v>
      </c>
      <c r="H126" s="4">
        <v>19300</v>
      </c>
      <c r="I126" s="26">
        <f t="shared" si="4"/>
        <v>12670.449999999999</v>
      </c>
    </row>
    <row r="127" spans="1:9" ht="15.75" customHeight="1" x14ac:dyDescent="0.35">
      <c r="A127" s="4">
        <v>11</v>
      </c>
      <c r="B127" s="21" t="s">
        <v>235</v>
      </c>
      <c r="C127" s="24" t="s">
        <v>236</v>
      </c>
      <c r="D127" s="21">
        <v>5</v>
      </c>
      <c r="E127" s="1">
        <v>3.75</v>
      </c>
      <c r="F127" s="4">
        <v>65</v>
      </c>
      <c r="G127" s="4">
        <v>50</v>
      </c>
      <c r="H127" s="4">
        <v>18700</v>
      </c>
      <c r="I127" s="26">
        <f t="shared" si="4"/>
        <v>12276.55</v>
      </c>
    </row>
    <row r="128" spans="1:9" ht="15.75" customHeight="1" x14ac:dyDescent="0.35">
      <c r="A128" s="4">
        <v>12</v>
      </c>
      <c r="B128" s="21" t="s">
        <v>237</v>
      </c>
      <c r="C128" s="24" t="s">
        <v>238</v>
      </c>
      <c r="D128" s="21">
        <v>5</v>
      </c>
      <c r="E128" s="1">
        <v>3.75</v>
      </c>
      <c r="F128" s="4">
        <v>65</v>
      </c>
      <c r="G128" s="4">
        <v>50</v>
      </c>
      <c r="H128" s="4">
        <v>22900</v>
      </c>
      <c r="I128" s="26">
        <f t="shared" si="4"/>
        <v>15033.849999999999</v>
      </c>
    </row>
    <row r="129" spans="1:9" ht="15.75" customHeight="1" x14ac:dyDescent="0.35">
      <c r="A129" s="300" t="s">
        <v>239</v>
      </c>
      <c r="B129" s="300"/>
      <c r="C129" s="300"/>
      <c r="D129" s="300"/>
      <c r="E129" s="300"/>
      <c r="F129" s="300"/>
      <c r="G129" s="300"/>
      <c r="H129" s="207" t="s">
        <v>109</v>
      </c>
      <c r="I129" s="92" t="s">
        <v>334</v>
      </c>
    </row>
    <row r="130" spans="1:9" ht="15.75" customHeight="1" x14ac:dyDescent="0.35">
      <c r="A130" s="287" t="s">
        <v>2</v>
      </c>
      <c r="B130" s="287" t="s">
        <v>3</v>
      </c>
      <c r="C130" s="298" t="s">
        <v>4</v>
      </c>
      <c r="D130" s="287" t="s">
        <v>5</v>
      </c>
      <c r="E130" s="287"/>
      <c r="F130" s="272" t="s">
        <v>6</v>
      </c>
      <c r="G130" s="273"/>
      <c r="H130" s="259"/>
      <c r="I130" s="342">
        <v>0.34350000000000003</v>
      </c>
    </row>
    <row r="131" spans="1:9" ht="15.75" customHeight="1" x14ac:dyDescent="0.35">
      <c r="A131" s="287"/>
      <c r="B131" s="287"/>
      <c r="C131" s="298"/>
      <c r="D131" s="11" t="s">
        <v>9</v>
      </c>
      <c r="E131" s="11" t="s">
        <v>10</v>
      </c>
      <c r="F131" s="274"/>
      <c r="G131" s="275"/>
      <c r="H131" s="208"/>
      <c r="I131" s="343"/>
    </row>
    <row r="132" spans="1:9" ht="15.75" customHeight="1" x14ac:dyDescent="0.35">
      <c r="A132" s="4">
        <v>1</v>
      </c>
      <c r="B132" s="4" t="s">
        <v>240</v>
      </c>
      <c r="C132" s="25" t="s">
        <v>241</v>
      </c>
      <c r="D132" s="4">
        <v>0.5</v>
      </c>
      <c r="E132" s="4"/>
      <c r="F132" s="292">
        <v>32</v>
      </c>
      <c r="G132" s="292"/>
      <c r="H132" s="4">
        <v>8240</v>
      </c>
      <c r="I132" s="26">
        <f t="shared" ref="I132:I154" si="5">H132*0.6565</f>
        <v>5409.5599999999995</v>
      </c>
    </row>
    <row r="133" spans="1:9" ht="15.75" customHeight="1" x14ac:dyDescent="0.35">
      <c r="A133" s="4">
        <v>2</v>
      </c>
      <c r="B133" s="4" t="s">
        <v>242</v>
      </c>
      <c r="C133" s="25" t="s">
        <v>243</v>
      </c>
      <c r="D133" s="4">
        <v>0.5</v>
      </c>
      <c r="E133" s="4"/>
      <c r="F133" s="292">
        <v>32</v>
      </c>
      <c r="G133" s="292"/>
      <c r="H133" s="4">
        <v>8450</v>
      </c>
      <c r="I133" s="26">
        <f t="shared" si="5"/>
        <v>5547.4250000000002</v>
      </c>
    </row>
    <row r="134" spans="1:9" ht="15.75" customHeight="1" x14ac:dyDescent="0.35">
      <c r="A134" s="4">
        <v>3</v>
      </c>
      <c r="B134" s="4" t="s">
        <v>244</v>
      </c>
      <c r="C134" s="25" t="s">
        <v>245</v>
      </c>
      <c r="D134" s="4">
        <v>0.75</v>
      </c>
      <c r="E134" s="4"/>
      <c r="F134" s="292">
        <v>32</v>
      </c>
      <c r="G134" s="292"/>
      <c r="H134" s="4">
        <v>8550</v>
      </c>
      <c r="I134" s="26">
        <f t="shared" si="5"/>
        <v>5613.0749999999998</v>
      </c>
    </row>
    <row r="135" spans="1:9" ht="15.75" customHeight="1" x14ac:dyDescent="0.35">
      <c r="A135" s="4">
        <v>4</v>
      </c>
      <c r="B135" s="4" t="s">
        <v>246</v>
      </c>
      <c r="C135" s="25" t="s">
        <v>247</v>
      </c>
      <c r="D135" s="4">
        <v>0.75</v>
      </c>
      <c r="E135" s="4"/>
      <c r="F135" s="292">
        <v>32</v>
      </c>
      <c r="G135" s="292"/>
      <c r="H135" s="4">
        <v>8750</v>
      </c>
      <c r="I135" s="26">
        <f t="shared" si="5"/>
        <v>5744.375</v>
      </c>
    </row>
    <row r="136" spans="1:9" ht="15.75" customHeight="1" x14ac:dyDescent="0.35">
      <c r="A136" s="4">
        <v>5</v>
      </c>
      <c r="B136" s="4" t="s">
        <v>248</v>
      </c>
      <c r="C136" s="25" t="s">
        <v>249</v>
      </c>
      <c r="D136" s="4">
        <v>1</v>
      </c>
      <c r="E136" s="4"/>
      <c r="F136" s="292">
        <v>32</v>
      </c>
      <c r="G136" s="292"/>
      <c r="H136" s="26">
        <v>8800</v>
      </c>
      <c r="I136" s="26">
        <f t="shared" si="5"/>
        <v>5777.2</v>
      </c>
    </row>
    <row r="137" spans="1:9" ht="15.75" customHeight="1" x14ac:dyDescent="0.35">
      <c r="A137" s="4">
        <v>6</v>
      </c>
      <c r="B137" s="4" t="s">
        <v>250</v>
      </c>
      <c r="C137" s="25" t="s">
        <v>251</v>
      </c>
      <c r="D137" s="4">
        <v>1</v>
      </c>
      <c r="E137" s="4"/>
      <c r="F137" s="292">
        <v>32</v>
      </c>
      <c r="G137" s="292"/>
      <c r="H137" s="26">
        <v>9000</v>
      </c>
      <c r="I137" s="26">
        <f t="shared" si="5"/>
        <v>5908.5</v>
      </c>
    </row>
    <row r="138" spans="1:9" ht="15.75" customHeight="1" x14ac:dyDescent="0.35">
      <c r="A138" s="4">
        <v>7</v>
      </c>
      <c r="B138" s="4" t="s">
        <v>252</v>
      </c>
      <c r="C138" s="25" t="s">
        <v>253</v>
      </c>
      <c r="D138" s="4">
        <v>1</v>
      </c>
      <c r="E138" s="4"/>
      <c r="F138" s="292">
        <v>32</v>
      </c>
      <c r="G138" s="292"/>
      <c r="H138" s="4">
        <v>9480</v>
      </c>
      <c r="I138" s="26">
        <f t="shared" si="5"/>
        <v>6223.62</v>
      </c>
    </row>
    <row r="139" spans="1:9" ht="15.75" customHeight="1" x14ac:dyDescent="0.35">
      <c r="A139" s="4">
        <v>8</v>
      </c>
      <c r="B139" s="4" t="s">
        <v>254</v>
      </c>
      <c r="C139" s="25" t="s">
        <v>255</v>
      </c>
      <c r="D139" s="4">
        <v>1</v>
      </c>
      <c r="E139" s="4"/>
      <c r="F139" s="292">
        <v>32</v>
      </c>
      <c r="G139" s="292"/>
      <c r="H139" s="4">
        <v>9790</v>
      </c>
      <c r="I139" s="26">
        <f t="shared" si="5"/>
        <v>6427.1349999999993</v>
      </c>
    </row>
    <row r="140" spans="1:9" ht="15.75" customHeight="1" x14ac:dyDescent="0.35">
      <c r="A140" s="4">
        <v>9</v>
      </c>
      <c r="B140" s="4" t="s">
        <v>256</v>
      </c>
      <c r="C140" s="25" t="s">
        <v>257</v>
      </c>
      <c r="D140" s="4">
        <v>1.5</v>
      </c>
      <c r="E140" s="4"/>
      <c r="F140" s="292">
        <v>32</v>
      </c>
      <c r="G140" s="292"/>
      <c r="H140" s="4">
        <v>11330</v>
      </c>
      <c r="I140" s="26">
        <f t="shared" si="5"/>
        <v>7438.1449999999995</v>
      </c>
    </row>
    <row r="141" spans="1:9" ht="15.75" customHeight="1" x14ac:dyDescent="0.35">
      <c r="A141" s="4">
        <v>10</v>
      </c>
      <c r="B141" s="4" t="s">
        <v>258</v>
      </c>
      <c r="C141" s="25" t="s">
        <v>259</v>
      </c>
      <c r="D141" s="4">
        <v>1.5</v>
      </c>
      <c r="E141" s="4"/>
      <c r="F141" s="292">
        <v>32</v>
      </c>
      <c r="G141" s="292"/>
      <c r="H141" s="4">
        <v>11640</v>
      </c>
      <c r="I141" s="26">
        <f t="shared" si="5"/>
        <v>7641.66</v>
      </c>
    </row>
    <row r="142" spans="1:9" ht="15.75" customHeight="1" x14ac:dyDescent="0.35">
      <c r="A142" s="4">
        <v>11</v>
      </c>
      <c r="B142" s="4" t="s">
        <v>260</v>
      </c>
      <c r="C142" s="25" t="s">
        <v>261</v>
      </c>
      <c r="D142" s="4">
        <v>1.5</v>
      </c>
      <c r="E142" s="4"/>
      <c r="F142" s="292">
        <v>32</v>
      </c>
      <c r="G142" s="292"/>
      <c r="H142" s="4">
        <v>11800</v>
      </c>
      <c r="I142" s="26">
        <f t="shared" si="5"/>
        <v>7746.7</v>
      </c>
    </row>
    <row r="143" spans="1:9" ht="15.75" customHeight="1" x14ac:dyDescent="0.35">
      <c r="A143" s="4">
        <v>12</v>
      </c>
      <c r="B143" s="4" t="s">
        <v>262</v>
      </c>
      <c r="C143" s="25" t="s">
        <v>263</v>
      </c>
      <c r="D143" s="4">
        <v>1.5</v>
      </c>
      <c r="E143" s="4"/>
      <c r="F143" s="292">
        <v>32</v>
      </c>
      <c r="G143" s="292"/>
      <c r="H143" s="4">
        <v>12670</v>
      </c>
      <c r="I143" s="26">
        <f t="shared" si="5"/>
        <v>8317.8549999999996</v>
      </c>
    </row>
    <row r="144" spans="1:9" ht="15.75" customHeight="1" x14ac:dyDescent="0.35">
      <c r="A144" s="4">
        <v>13</v>
      </c>
      <c r="B144" s="4" t="s">
        <v>264</v>
      </c>
      <c r="C144" s="25" t="s">
        <v>265</v>
      </c>
      <c r="D144" s="4">
        <v>2</v>
      </c>
      <c r="E144" s="4"/>
      <c r="F144" s="292">
        <v>40</v>
      </c>
      <c r="G144" s="292"/>
      <c r="H144" s="4">
        <v>14730</v>
      </c>
      <c r="I144" s="26">
        <f t="shared" si="5"/>
        <v>9670.244999999999</v>
      </c>
    </row>
    <row r="145" spans="1:9" ht="15.75" customHeight="1" x14ac:dyDescent="0.35">
      <c r="A145" s="4">
        <v>14</v>
      </c>
      <c r="B145" s="4" t="s">
        <v>266</v>
      </c>
      <c r="C145" s="25" t="s">
        <v>267</v>
      </c>
      <c r="D145" s="4">
        <v>2</v>
      </c>
      <c r="E145" s="4"/>
      <c r="F145" s="292">
        <v>32</v>
      </c>
      <c r="G145" s="292"/>
      <c r="H145" s="4">
        <v>15250</v>
      </c>
      <c r="I145" s="26">
        <f t="shared" si="5"/>
        <v>10011.625</v>
      </c>
    </row>
    <row r="146" spans="1:9" ht="15.75" customHeight="1" x14ac:dyDescent="0.35">
      <c r="A146" s="4">
        <v>15</v>
      </c>
      <c r="B146" s="4" t="s">
        <v>268</v>
      </c>
      <c r="C146" s="25" t="s">
        <v>269</v>
      </c>
      <c r="D146" s="4">
        <v>2</v>
      </c>
      <c r="E146" s="4"/>
      <c r="F146" s="292">
        <v>32</v>
      </c>
      <c r="G146" s="292"/>
      <c r="H146" s="4">
        <v>15860</v>
      </c>
      <c r="I146" s="26">
        <f t="shared" si="5"/>
        <v>10412.09</v>
      </c>
    </row>
    <row r="147" spans="1:9" ht="15.75" customHeight="1" x14ac:dyDescent="0.35">
      <c r="A147" s="4">
        <v>16</v>
      </c>
      <c r="B147" s="4" t="s">
        <v>270</v>
      </c>
      <c r="C147" s="25" t="s">
        <v>271</v>
      </c>
      <c r="D147" s="4">
        <v>2</v>
      </c>
      <c r="E147" s="4"/>
      <c r="F147" s="292">
        <v>32</v>
      </c>
      <c r="G147" s="292"/>
      <c r="H147" s="4">
        <v>15970</v>
      </c>
      <c r="I147" s="26">
        <f t="shared" si="5"/>
        <v>10484.305</v>
      </c>
    </row>
    <row r="148" spans="1:9" ht="15.75" customHeight="1" x14ac:dyDescent="0.35">
      <c r="A148" s="4">
        <v>17</v>
      </c>
      <c r="B148" s="4" t="s">
        <v>272</v>
      </c>
      <c r="C148" s="25" t="s">
        <v>273</v>
      </c>
      <c r="D148" s="4">
        <v>2</v>
      </c>
      <c r="E148" s="4"/>
      <c r="F148" s="292">
        <v>32</v>
      </c>
      <c r="G148" s="292"/>
      <c r="H148" s="4">
        <v>16480</v>
      </c>
      <c r="I148" s="26">
        <f t="shared" si="5"/>
        <v>10819.119999999999</v>
      </c>
    </row>
    <row r="149" spans="1:9" ht="15.75" customHeight="1" x14ac:dyDescent="0.35">
      <c r="A149" s="4">
        <v>18</v>
      </c>
      <c r="B149" s="4" t="s">
        <v>274</v>
      </c>
      <c r="C149" s="25" t="s">
        <v>275</v>
      </c>
      <c r="D149" s="4">
        <v>2</v>
      </c>
      <c r="E149" s="4"/>
      <c r="F149" s="292">
        <v>65</v>
      </c>
      <c r="G149" s="292"/>
      <c r="H149" s="4">
        <v>14940</v>
      </c>
      <c r="I149" s="26">
        <f t="shared" si="5"/>
        <v>9808.1099999999988</v>
      </c>
    </row>
    <row r="150" spans="1:9" ht="15.75" customHeight="1" x14ac:dyDescent="0.35">
      <c r="A150" s="4">
        <v>19</v>
      </c>
      <c r="B150" s="4" t="s">
        <v>276</v>
      </c>
      <c r="C150" s="25" t="s">
        <v>277</v>
      </c>
      <c r="D150" s="4">
        <v>3</v>
      </c>
      <c r="E150" s="4"/>
      <c r="F150" s="292">
        <v>32</v>
      </c>
      <c r="G150" s="292"/>
      <c r="H150" s="4">
        <v>23500</v>
      </c>
      <c r="I150" s="26">
        <f t="shared" si="5"/>
        <v>15427.75</v>
      </c>
    </row>
    <row r="151" spans="1:9" ht="15.75" customHeight="1" x14ac:dyDescent="0.35">
      <c r="A151" s="4">
        <v>20</v>
      </c>
      <c r="B151" s="4" t="s">
        <v>278</v>
      </c>
      <c r="C151" s="25" t="s">
        <v>279</v>
      </c>
      <c r="D151" s="4">
        <v>3</v>
      </c>
      <c r="E151" s="4"/>
      <c r="F151" s="292">
        <v>32</v>
      </c>
      <c r="G151" s="292"/>
      <c r="H151" s="4">
        <v>24000</v>
      </c>
      <c r="I151" s="26">
        <f t="shared" si="5"/>
        <v>15756</v>
      </c>
    </row>
    <row r="152" spans="1:9" ht="15.75" customHeight="1" x14ac:dyDescent="0.35">
      <c r="A152" s="4">
        <v>21</v>
      </c>
      <c r="B152" s="4" t="s">
        <v>280</v>
      </c>
      <c r="C152" s="25" t="s">
        <v>281</v>
      </c>
      <c r="D152" s="4">
        <v>3</v>
      </c>
      <c r="E152" s="4"/>
      <c r="F152" s="292">
        <v>32</v>
      </c>
      <c r="G152" s="292"/>
      <c r="H152" s="4">
        <v>24500</v>
      </c>
      <c r="I152" s="26">
        <f t="shared" si="5"/>
        <v>16084.25</v>
      </c>
    </row>
    <row r="153" spans="1:9" ht="15.75" customHeight="1" x14ac:dyDescent="0.35">
      <c r="A153" s="4">
        <v>22</v>
      </c>
      <c r="B153" s="4" t="s">
        <v>282</v>
      </c>
      <c r="C153" s="25" t="s">
        <v>283</v>
      </c>
      <c r="D153" s="4">
        <v>3</v>
      </c>
      <c r="E153" s="4"/>
      <c r="F153" s="292">
        <v>65</v>
      </c>
      <c r="G153" s="292"/>
      <c r="H153" s="4">
        <v>23690</v>
      </c>
      <c r="I153" s="26">
        <f t="shared" si="5"/>
        <v>15552.484999999999</v>
      </c>
    </row>
    <row r="154" spans="1:9" ht="15.75" customHeight="1" x14ac:dyDescent="0.35">
      <c r="A154" s="4">
        <v>23</v>
      </c>
      <c r="B154" s="4" t="s">
        <v>284</v>
      </c>
      <c r="C154" s="25" t="s">
        <v>283</v>
      </c>
      <c r="D154" s="4">
        <v>3</v>
      </c>
      <c r="E154" s="4"/>
      <c r="F154" s="292">
        <v>65</v>
      </c>
      <c r="G154" s="292"/>
      <c r="H154" s="4">
        <v>15450</v>
      </c>
      <c r="I154" s="26">
        <f t="shared" si="5"/>
        <v>10142.924999999999</v>
      </c>
    </row>
    <row r="155" spans="1:9" ht="15.75" customHeight="1" x14ac:dyDescent="0.35">
      <c r="A155" s="300" t="s">
        <v>285</v>
      </c>
      <c r="B155" s="300"/>
      <c r="C155" s="300"/>
      <c r="D155" s="300"/>
      <c r="E155" s="300"/>
      <c r="F155" s="300"/>
      <c r="G155" s="300"/>
      <c r="H155" s="207" t="s">
        <v>109</v>
      </c>
      <c r="I155" s="92" t="s">
        <v>334</v>
      </c>
    </row>
    <row r="156" spans="1:9" ht="15.75" customHeight="1" x14ac:dyDescent="0.35">
      <c r="A156" s="287" t="s">
        <v>2</v>
      </c>
      <c r="B156" s="287" t="s">
        <v>3</v>
      </c>
      <c r="C156" s="298" t="s">
        <v>4</v>
      </c>
      <c r="D156" s="287" t="s">
        <v>5</v>
      </c>
      <c r="E156" s="287"/>
      <c r="F156" s="287" t="s">
        <v>6</v>
      </c>
      <c r="G156" s="287"/>
      <c r="H156" s="259"/>
      <c r="I156" s="342">
        <v>0.34350000000000003</v>
      </c>
    </row>
    <row r="157" spans="1:9" ht="15.75" customHeight="1" x14ac:dyDescent="0.35">
      <c r="A157" s="287"/>
      <c r="B157" s="287"/>
      <c r="C157" s="298"/>
      <c r="D157" s="11" t="s">
        <v>9</v>
      </c>
      <c r="E157" s="11" t="s">
        <v>10</v>
      </c>
      <c r="F157" s="11" t="s">
        <v>11</v>
      </c>
      <c r="G157" s="11" t="s">
        <v>12</v>
      </c>
      <c r="H157" s="208"/>
      <c r="I157" s="343"/>
    </row>
    <row r="158" spans="1:9" ht="15.75" customHeight="1" x14ac:dyDescent="0.35">
      <c r="A158" s="4">
        <v>1</v>
      </c>
      <c r="B158" s="4" t="s">
        <v>286</v>
      </c>
      <c r="C158" s="25" t="s">
        <v>287</v>
      </c>
      <c r="D158" s="4">
        <v>0.5</v>
      </c>
      <c r="E158" s="4"/>
      <c r="F158" s="292">
        <v>32</v>
      </c>
      <c r="G158" s="292"/>
      <c r="H158" s="4">
        <v>6800</v>
      </c>
      <c r="I158" s="26">
        <f t="shared" ref="I158:I172" si="6">H158*0.6565</f>
        <v>4464.2</v>
      </c>
    </row>
    <row r="159" spans="1:9" ht="15.75" customHeight="1" x14ac:dyDescent="0.35">
      <c r="A159" s="4">
        <v>2</v>
      </c>
      <c r="B159" s="4" t="s">
        <v>288</v>
      </c>
      <c r="C159" s="25" t="s">
        <v>289</v>
      </c>
      <c r="D159" s="4">
        <v>0.5</v>
      </c>
      <c r="E159" s="4"/>
      <c r="F159" s="292">
        <v>32</v>
      </c>
      <c r="G159" s="292"/>
      <c r="H159" s="4">
        <v>7600</v>
      </c>
      <c r="I159" s="26">
        <f t="shared" si="6"/>
        <v>4989.3999999999996</v>
      </c>
    </row>
    <row r="160" spans="1:9" ht="15.75" customHeight="1" x14ac:dyDescent="0.35">
      <c r="A160" s="4">
        <v>3</v>
      </c>
      <c r="B160" s="4" t="s">
        <v>290</v>
      </c>
      <c r="C160" s="25" t="s">
        <v>291</v>
      </c>
      <c r="D160" s="4">
        <v>0.75</v>
      </c>
      <c r="E160" s="4"/>
      <c r="F160" s="292">
        <v>32</v>
      </c>
      <c r="G160" s="292"/>
      <c r="H160" s="4">
        <v>7800</v>
      </c>
      <c r="I160" s="26">
        <f t="shared" si="6"/>
        <v>5120.7</v>
      </c>
    </row>
    <row r="161" spans="1:9" ht="15.75" customHeight="1" x14ac:dyDescent="0.35">
      <c r="A161" s="4">
        <v>4</v>
      </c>
      <c r="B161" s="4" t="s">
        <v>292</v>
      </c>
      <c r="C161" s="25" t="s">
        <v>293</v>
      </c>
      <c r="D161" s="4">
        <v>0.75</v>
      </c>
      <c r="E161" s="4"/>
      <c r="F161" s="292">
        <v>32</v>
      </c>
      <c r="G161" s="292"/>
      <c r="H161" s="4">
        <v>8000</v>
      </c>
      <c r="I161" s="26">
        <f t="shared" si="6"/>
        <v>5252</v>
      </c>
    </row>
    <row r="162" spans="1:9" ht="15.75" customHeight="1" x14ac:dyDescent="0.35">
      <c r="A162" s="4">
        <v>5</v>
      </c>
      <c r="B162" s="4" t="s">
        <v>294</v>
      </c>
      <c r="C162" s="25" t="s">
        <v>295</v>
      </c>
      <c r="D162" s="4">
        <v>1</v>
      </c>
      <c r="E162" s="4"/>
      <c r="F162" s="292">
        <v>32</v>
      </c>
      <c r="G162" s="292"/>
      <c r="H162" s="4">
        <v>8200</v>
      </c>
      <c r="I162" s="26">
        <f t="shared" si="6"/>
        <v>5383.3</v>
      </c>
    </row>
    <row r="163" spans="1:9" ht="15.75" customHeight="1" x14ac:dyDescent="0.35">
      <c r="A163" s="4">
        <v>6</v>
      </c>
      <c r="B163" s="4" t="s">
        <v>296</v>
      </c>
      <c r="C163" s="25" t="s">
        <v>297</v>
      </c>
      <c r="D163" s="4">
        <v>1</v>
      </c>
      <c r="E163" s="4"/>
      <c r="F163" s="292">
        <v>32</v>
      </c>
      <c r="G163" s="292"/>
      <c r="H163" s="4">
        <v>8400</v>
      </c>
      <c r="I163" s="26">
        <f t="shared" si="6"/>
        <v>5514.5999999999995</v>
      </c>
    </row>
    <row r="164" spans="1:9" ht="15.75" customHeight="1" x14ac:dyDescent="0.35">
      <c r="A164" s="4">
        <v>7</v>
      </c>
      <c r="B164" s="4" t="s">
        <v>298</v>
      </c>
      <c r="C164" s="25" t="s">
        <v>299</v>
      </c>
      <c r="D164" s="4">
        <v>1</v>
      </c>
      <c r="E164" s="4"/>
      <c r="F164" s="292">
        <v>32</v>
      </c>
      <c r="G164" s="292"/>
      <c r="H164" s="4">
        <v>8600</v>
      </c>
      <c r="I164" s="26">
        <f t="shared" si="6"/>
        <v>5645.9</v>
      </c>
    </row>
    <row r="165" spans="1:9" ht="15.75" customHeight="1" x14ac:dyDescent="0.35">
      <c r="A165" s="4">
        <v>8</v>
      </c>
      <c r="B165" s="4" t="s">
        <v>300</v>
      </c>
      <c r="C165" s="25" t="s">
        <v>301</v>
      </c>
      <c r="D165" s="4">
        <v>1.5</v>
      </c>
      <c r="E165" s="4"/>
      <c r="F165" s="292">
        <v>32</v>
      </c>
      <c r="G165" s="292"/>
      <c r="H165" s="4">
        <v>9000</v>
      </c>
      <c r="I165" s="26">
        <f t="shared" si="6"/>
        <v>5908.5</v>
      </c>
    </row>
    <row r="166" spans="1:9" ht="15.75" customHeight="1" x14ac:dyDescent="0.35">
      <c r="A166" s="4">
        <v>9</v>
      </c>
      <c r="B166" s="4" t="s">
        <v>302</v>
      </c>
      <c r="C166" s="25" t="s">
        <v>303</v>
      </c>
      <c r="D166" s="4">
        <v>1.5</v>
      </c>
      <c r="E166" s="4"/>
      <c r="F166" s="292">
        <v>32</v>
      </c>
      <c r="G166" s="292"/>
      <c r="H166" s="4">
        <v>10600</v>
      </c>
      <c r="I166" s="26">
        <f t="shared" si="6"/>
        <v>6958.9</v>
      </c>
    </row>
    <row r="167" spans="1:9" ht="15.75" customHeight="1" x14ac:dyDescent="0.35">
      <c r="A167" s="4">
        <v>10</v>
      </c>
      <c r="B167" s="4" t="s">
        <v>304</v>
      </c>
      <c r="C167" s="25" t="s">
        <v>305</v>
      </c>
      <c r="D167" s="4">
        <v>1.5</v>
      </c>
      <c r="E167" s="4"/>
      <c r="F167" s="292">
        <v>32</v>
      </c>
      <c r="G167" s="292"/>
      <c r="H167" s="4">
        <v>11000</v>
      </c>
      <c r="I167" s="26">
        <f t="shared" si="6"/>
        <v>7221.5</v>
      </c>
    </row>
    <row r="168" spans="1:9" ht="15.75" customHeight="1" x14ac:dyDescent="0.35">
      <c r="A168" s="4">
        <v>11</v>
      </c>
      <c r="B168" s="4" t="s">
        <v>306</v>
      </c>
      <c r="C168" s="25" t="s">
        <v>307</v>
      </c>
      <c r="D168" s="4">
        <v>2</v>
      </c>
      <c r="E168" s="4"/>
      <c r="F168" s="292">
        <v>32</v>
      </c>
      <c r="G168" s="292"/>
      <c r="H168" s="4">
        <v>13000</v>
      </c>
      <c r="I168" s="26">
        <f t="shared" si="6"/>
        <v>8534.5</v>
      </c>
    </row>
    <row r="169" spans="1:9" ht="15.75" customHeight="1" x14ac:dyDescent="0.35">
      <c r="A169" s="4">
        <v>12</v>
      </c>
      <c r="B169" s="4" t="s">
        <v>308</v>
      </c>
      <c r="C169" s="25" t="s">
        <v>309</v>
      </c>
      <c r="D169" s="4">
        <v>2</v>
      </c>
      <c r="E169" s="4"/>
      <c r="F169" s="292">
        <v>32</v>
      </c>
      <c r="G169" s="292"/>
      <c r="H169" s="4">
        <v>15500</v>
      </c>
      <c r="I169" s="26">
        <f t="shared" si="6"/>
        <v>10175.75</v>
      </c>
    </row>
    <row r="170" spans="1:9" ht="15.75" customHeight="1" x14ac:dyDescent="0.35">
      <c r="A170" s="4">
        <v>13</v>
      </c>
      <c r="B170" s="4" t="s">
        <v>310</v>
      </c>
      <c r="C170" s="25" t="s">
        <v>311</v>
      </c>
      <c r="D170" s="4">
        <v>3</v>
      </c>
      <c r="E170" s="4"/>
      <c r="F170" s="292">
        <v>32</v>
      </c>
      <c r="G170" s="292"/>
      <c r="H170" s="4">
        <v>19000</v>
      </c>
      <c r="I170" s="26">
        <f t="shared" si="6"/>
        <v>12473.5</v>
      </c>
    </row>
    <row r="171" spans="1:9" ht="15.75" customHeight="1" x14ac:dyDescent="0.35">
      <c r="A171" s="4">
        <v>14</v>
      </c>
      <c r="B171" s="4" t="s">
        <v>312</v>
      </c>
      <c r="C171" s="25" t="s">
        <v>313</v>
      </c>
      <c r="D171" s="4">
        <v>3</v>
      </c>
      <c r="E171" s="4"/>
      <c r="F171" s="292">
        <v>32</v>
      </c>
      <c r="G171" s="292"/>
      <c r="H171" s="4">
        <v>20000</v>
      </c>
      <c r="I171" s="26">
        <f t="shared" si="6"/>
        <v>13130</v>
      </c>
    </row>
    <row r="172" spans="1:9" ht="15.75" customHeight="1" x14ac:dyDescent="0.35">
      <c r="A172" s="4">
        <v>15</v>
      </c>
      <c r="B172" s="4" t="s">
        <v>314</v>
      </c>
      <c r="C172" s="25" t="s">
        <v>315</v>
      </c>
      <c r="D172" s="4">
        <v>3</v>
      </c>
      <c r="E172" s="4"/>
      <c r="F172" s="292">
        <v>32</v>
      </c>
      <c r="G172" s="292"/>
      <c r="H172" s="4">
        <v>20500</v>
      </c>
      <c r="I172" s="26">
        <f t="shared" si="6"/>
        <v>13458.25</v>
      </c>
    </row>
  </sheetData>
  <mergeCells count="94">
    <mergeCell ref="A1:I3"/>
    <mergeCell ref="A4:I4"/>
    <mergeCell ref="A5:A6"/>
    <mergeCell ref="B5:B6"/>
    <mergeCell ref="C5:C6"/>
    <mergeCell ref="D5:E5"/>
    <mergeCell ref="F5:G5"/>
    <mergeCell ref="H5:H6"/>
    <mergeCell ref="I56:I57"/>
    <mergeCell ref="D58:D59"/>
    <mergeCell ref="E58:E59"/>
    <mergeCell ref="A55:G55"/>
    <mergeCell ref="H55:H57"/>
    <mergeCell ref="A56:A57"/>
    <mergeCell ref="B56:B57"/>
    <mergeCell ref="C56:C57"/>
    <mergeCell ref="D56:E56"/>
    <mergeCell ref="F56:G56"/>
    <mergeCell ref="D61:D66"/>
    <mergeCell ref="E61:E66"/>
    <mergeCell ref="D67:D73"/>
    <mergeCell ref="E67:E73"/>
    <mergeCell ref="D74:D91"/>
    <mergeCell ref="E74:E91"/>
    <mergeCell ref="A130:A131"/>
    <mergeCell ref="B130:B131"/>
    <mergeCell ref="C130:C131"/>
    <mergeCell ref="D130:E130"/>
    <mergeCell ref="D92:D103"/>
    <mergeCell ref="E92:E103"/>
    <mergeCell ref="D104:D106"/>
    <mergeCell ref="E104:E106"/>
    <mergeCell ref="D108:D109"/>
    <mergeCell ref="E108:E109"/>
    <mergeCell ref="A129:G129"/>
    <mergeCell ref="F130:G131"/>
    <mergeCell ref="D110:D113"/>
    <mergeCell ref="E110:E113"/>
    <mergeCell ref="A114:G114"/>
    <mergeCell ref="A115:A116"/>
    <mergeCell ref="B115:B116"/>
    <mergeCell ref="C115:C116"/>
    <mergeCell ref="D115:E115"/>
    <mergeCell ref="F115:G115"/>
    <mergeCell ref="F134:G134"/>
    <mergeCell ref="F135:G135"/>
    <mergeCell ref="I130:I131"/>
    <mergeCell ref="I115:I116"/>
    <mergeCell ref="H129:H131"/>
    <mergeCell ref="F132:G132"/>
    <mergeCell ref="F133:G133"/>
    <mergeCell ref="H114:H116"/>
    <mergeCell ref="I156:I157"/>
    <mergeCell ref="F148:G148"/>
    <mergeCell ref="F149:G149"/>
    <mergeCell ref="F150:G150"/>
    <mergeCell ref="F151:G151"/>
    <mergeCell ref="F152:G152"/>
    <mergeCell ref="F153:G153"/>
    <mergeCell ref="H155:H157"/>
    <mergeCell ref="F147:G147"/>
    <mergeCell ref="F136:G136"/>
    <mergeCell ref="F137:G137"/>
    <mergeCell ref="F138:G138"/>
    <mergeCell ref="F139:G139"/>
    <mergeCell ref="F140:G140"/>
    <mergeCell ref="F146:G146"/>
    <mergeCell ref="F141:G141"/>
    <mergeCell ref="F142:G142"/>
    <mergeCell ref="F143:G143"/>
    <mergeCell ref="F144:G144"/>
    <mergeCell ref="F145:G145"/>
    <mergeCell ref="F158:G158"/>
    <mergeCell ref="F159:G159"/>
    <mergeCell ref="F160:G160"/>
    <mergeCell ref="F154:G154"/>
    <mergeCell ref="A155:G155"/>
    <mergeCell ref="A156:A157"/>
    <mergeCell ref="B156:B157"/>
    <mergeCell ref="C156:C157"/>
    <mergeCell ref="D156:E156"/>
    <mergeCell ref="F156:G156"/>
    <mergeCell ref="F172:G172"/>
    <mergeCell ref="F161:G161"/>
    <mergeCell ref="F162:G162"/>
    <mergeCell ref="F163:G163"/>
    <mergeCell ref="F164:G164"/>
    <mergeCell ref="F165:G165"/>
    <mergeCell ref="F166:G166"/>
    <mergeCell ref="F167:G167"/>
    <mergeCell ref="F168:G168"/>
    <mergeCell ref="F169:G169"/>
    <mergeCell ref="F170:G170"/>
    <mergeCell ref="F171:G171"/>
  </mergeCells>
  <conditionalFormatting sqref="B1:B172">
    <cfRule type="duplicateValues" dxfId="11" priority="1"/>
    <cfRule type="duplicateValues" dxfId="10" priority="2"/>
  </conditionalFormatting>
  <pageMargins left="0.7" right="0.7" top="0.75" bottom="0.75" header="0.3" footer="0.3"/>
  <legacy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J172"/>
  <sheetViews>
    <sheetView topLeftCell="A106" workbookViewId="0">
      <selection activeCell="I118" sqref="I118:J118"/>
    </sheetView>
  </sheetViews>
  <sheetFormatPr defaultRowHeight="15" customHeight="1" x14ac:dyDescent="0.35"/>
  <cols>
    <col min="2" max="2" width="12.54296875" customWidth="1"/>
    <col min="3" max="3" width="18.1796875" customWidth="1"/>
  </cols>
  <sheetData>
    <row r="1" spans="1:10" ht="15" customHeight="1" x14ac:dyDescent="0.35">
      <c r="A1" s="203" t="s">
        <v>0</v>
      </c>
      <c r="B1" s="204"/>
      <c r="C1" s="204"/>
      <c r="D1" s="204"/>
      <c r="E1" s="204"/>
      <c r="F1" s="204"/>
      <c r="G1" s="204"/>
      <c r="H1" s="204"/>
      <c r="I1" s="204"/>
      <c r="J1" s="204"/>
    </row>
    <row r="2" spans="1:10" ht="15" customHeight="1" x14ac:dyDescent="0.35">
      <c r="A2" s="203"/>
      <c r="B2" s="204"/>
      <c r="C2" s="204"/>
      <c r="D2" s="204"/>
      <c r="E2" s="204"/>
      <c r="F2" s="204"/>
      <c r="G2" s="204"/>
      <c r="H2" s="204"/>
      <c r="I2" s="204"/>
      <c r="J2" s="204"/>
    </row>
    <row r="3" spans="1:10" ht="15" customHeight="1" x14ac:dyDescent="0.35">
      <c r="A3" s="203"/>
      <c r="B3" s="204"/>
      <c r="C3" s="204"/>
      <c r="D3" s="204"/>
      <c r="E3" s="204"/>
      <c r="F3" s="204"/>
      <c r="G3" s="204"/>
      <c r="H3" s="204"/>
      <c r="I3" s="204"/>
      <c r="J3" s="204"/>
    </row>
    <row r="4" spans="1:10" ht="24" customHeight="1" x14ac:dyDescent="0.35">
      <c r="A4" s="313" t="s">
        <v>544</v>
      </c>
      <c r="B4" s="314"/>
      <c r="C4" s="314"/>
      <c r="D4" s="314"/>
      <c r="E4" s="314"/>
      <c r="F4" s="314"/>
      <c r="G4" s="314"/>
      <c r="H4" s="314"/>
      <c r="I4" s="314"/>
      <c r="J4" s="314"/>
    </row>
    <row r="5" spans="1:10" ht="15" customHeight="1" x14ac:dyDescent="0.35">
      <c r="A5" s="287" t="s">
        <v>2</v>
      </c>
      <c r="B5" s="287" t="s">
        <v>3</v>
      </c>
      <c r="C5" s="287" t="s">
        <v>4</v>
      </c>
      <c r="D5" s="287" t="s">
        <v>5</v>
      </c>
      <c r="E5" s="287"/>
      <c r="F5" s="287" t="s">
        <v>6</v>
      </c>
      <c r="G5" s="287"/>
      <c r="H5" s="287" t="s">
        <v>7</v>
      </c>
      <c r="I5" s="315" t="s">
        <v>334</v>
      </c>
      <c r="J5" s="315"/>
    </row>
    <row r="6" spans="1:10" ht="15" customHeight="1" x14ac:dyDescent="0.35">
      <c r="A6" s="287"/>
      <c r="B6" s="287"/>
      <c r="C6" s="287"/>
      <c r="D6" s="11" t="s">
        <v>9</v>
      </c>
      <c r="E6" s="11" t="s">
        <v>10</v>
      </c>
      <c r="F6" s="11" t="s">
        <v>11</v>
      </c>
      <c r="G6" s="11" t="s">
        <v>12</v>
      </c>
      <c r="H6" s="287"/>
      <c r="I6" s="41">
        <v>0.33</v>
      </c>
      <c r="J6" s="41">
        <v>0.02</v>
      </c>
    </row>
    <row r="7" spans="1:10" ht="15" customHeight="1" x14ac:dyDescent="0.35">
      <c r="A7" s="6">
        <v>1</v>
      </c>
      <c r="B7" s="4" t="s">
        <v>13</v>
      </c>
      <c r="C7" s="12" t="s">
        <v>14</v>
      </c>
      <c r="D7" s="2">
        <v>0.5</v>
      </c>
      <c r="E7" s="2">
        <v>0.37</v>
      </c>
      <c r="F7" s="2">
        <v>25</v>
      </c>
      <c r="G7" s="2">
        <v>25</v>
      </c>
      <c r="H7" s="13">
        <v>2640</v>
      </c>
      <c r="I7" s="297">
        <f>H7*0.63</f>
        <v>1663.2</v>
      </c>
      <c r="J7" s="297"/>
    </row>
    <row r="8" spans="1:10" ht="15" customHeight="1" x14ac:dyDescent="0.35">
      <c r="A8" s="6">
        <v>2</v>
      </c>
      <c r="B8" s="4" t="s">
        <v>15</v>
      </c>
      <c r="C8" s="12" t="s">
        <v>16</v>
      </c>
      <c r="D8" s="2">
        <v>1</v>
      </c>
      <c r="E8" s="2">
        <v>0.75</v>
      </c>
      <c r="F8" s="2">
        <v>25</v>
      </c>
      <c r="G8" s="2">
        <v>25</v>
      </c>
      <c r="H8" s="13">
        <v>3420</v>
      </c>
      <c r="I8" s="297">
        <f>H8*0.63</f>
        <v>2154.6</v>
      </c>
      <c r="J8" s="297"/>
    </row>
    <row r="9" spans="1:10" ht="15" customHeight="1" x14ac:dyDescent="0.35">
      <c r="A9" s="4">
        <v>3</v>
      </c>
      <c r="B9" s="4" t="s">
        <v>17</v>
      </c>
      <c r="C9" s="12" t="s">
        <v>18</v>
      </c>
      <c r="D9" s="2">
        <v>0.5</v>
      </c>
      <c r="E9" s="2">
        <v>0.37</v>
      </c>
      <c r="F9" s="2">
        <v>25</v>
      </c>
      <c r="G9" s="2">
        <v>25</v>
      </c>
      <c r="H9" s="13">
        <v>2840</v>
      </c>
      <c r="I9" s="297">
        <f>H9*0.63</f>
        <v>1789.2</v>
      </c>
      <c r="J9" s="297"/>
    </row>
    <row r="10" spans="1:10" ht="15" customHeight="1" x14ac:dyDescent="0.35">
      <c r="A10" s="6">
        <v>4</v>
      </c>
      <c r="B10" s="4" t="s">
        <v>19</v>
      </c>
      <c r="C10" s="12" t="s">
        <v>20</v>
      </c>
      <c r="D10" s="2">
        <v>1</v>
      </c>
      <c r="E10" s="2">
        <v>0.75</v>
      </c>
      <c r="F10" s="2">
        <v>25</v>
      </c>
      <c r="G10" s="2">
        <v>25</v>
      </c>
      <c r="H10" s="13">
        <v>3660</v>
      </c>
      <c r="I10" s="297">
        <f>H10*0.63</f>
        <v>2305.8000000000002</v>
      </c>
      <c r="J10" s="297"/>
    </row>
    <row r="11" spans="1:10" ht="15" customHeight="1" x14ac:dyDescent="0.35">
      <c r="A11" s="6">
        <v>5</v>
      </c>
      <c r="B11" s="6" t="s">
        <v>21</v>
      </c>
      <c r="C11" s="14" t="s">
        <v>22</v>
      </c>
      <c r="D11" s="2">
        <v>0.5</v>
      </c>
      <c r="E11" s="2">
        <v>0.37</v>
      </c>
      <c r="F11" s="2">
        <v>25</v>
      </c>
      <c r="G11" s="2">
        <v>25</v>
      </c>
      <c r="H11" s="8">
        <v>3160</v>
      </c>
      <c r="I11" s="26">
        <f>H11*0.67</f>
        <v>2117.2000000000003</v>
      </c>
      <c r="J11" s="26">
        <f>I11*0.98</f>
        <v>2074.8560000000002</v>
      </c>
    </row>
    <row r="12" spans="1:10" ht="15" customHeight="1" x14ac:dyDescent="0.35">
      <c r="A12" s="6">
        <v>6</v>
      </c>
      <c r="B12" s="6" t="s">
        <v>23</v>
      </c>
      <c r="C12" s="14" t="s">
        <v>24</v>
      </c>
      <c r="D12" s="2">
        <v>1</v>
      </c>
      <c r="E12" s="2">
        <v>0.75</v>
      </c>
      <c r="F12" s="2">
        <v>25</v>
      </c>
      <c r="G12" s="2">
        <v>25</v>
      </c>
      <c r="H12" s="8">
        <v>4120</v>
      </c>
      <c r="I12" s="26">
        <f t="shared" ref="I12:I25" si="0">H12*0.67</f>
        <v>2760.4</v>
      </c>
      <c r="J12" s="26">
        <f t="shared" ref="J12:J25" si="1">I12*0.98</f>
        <v>2705.192</v>
      </c>
    </row>
    <row r="13" spans="1:10" ht="15" customHeight="1" x14ac:dyDescent="0.35">
      <c r="A13" s="4">
        <v>7</v>
      </c>
      <c r="B13" s="4" t="s">
        <v>25</v>
      </c>
      <c r="C13" s="12" t="s">
        <v>26</v>
      </c>
      <c r="D13" s="2">
        <v>1.5</v>
      </c>
      <c r="E13" s="2">
        <v>1</v>
      </c>
      <c r="F13" s="2">
        <v>25</v>
      </c>
      <c r="G13" s="2">
        <v>25</v>
      </c>
      <c r="H13" s="8">
        <v>5750</v>
      </c>
      <c r="I13" s="26">
        <f t="shared" si="0"/>
        <v>3852.5000000000005</v>
      </c>
      <c r="J13" s="26">
        <f t="shared" si="1"/>
        <v>3775.4500000000003</v>
      </c>
    </row>
    <row r="14" spans="1:10" ht="15" customHeight="1" x14ac:dyDescent="0.35">
      <c r="A14" s="6">
        <v>8</v>
      </c>
      <c r="B14" s="6" t="s">
        <v>27</v>
      </c>
      <c r="C14" s="14" t="s">
        <v>28</v>
      </c>
      <c r="D14" s="2">
        <v>0.5</v>
      </c>
      <c r="E14" s="2">
        <v>0.37</v>
      </c>
      <c r="F14" s="2">
        <v>25</v>
      </c>
      <c r="G14" s="2">
        <v>25</v>
      </c>
      <c r="H14" s="8">
        <v>3520</v>
      </c>
      <c r="I14" s="26">
        <f t="shared" si="0"/>
        <v>2358.4</v>
      </c>
      <c r="J14" s="26">
        <f t="shared" si="1"/>
        <v>2311.232</v>
      </c>
    </row>
    <row r="15" spans="1:10" ht="15" customHeight="1" x14ac:dyDescent="0.35">
      <c r="A15" s="6">
        <v>9</v>
      </c>
      <c r="B15" s="4" t="s">
        <v>29</v>
      </c>
      <c r="C15" s="15" t="s">
        <v>30</v>
      </c>
      <c r="D15" s="2">
        <v>1</v>
      </c>
      <c r="E15" s="2">
        <v>0.75</v>
      </c>
      <c r="F15" s="2">
        <v>25</v>
      </c>
      <c r="G15" s="2">
        <v>25</v>
      </c>
      <c r="H15" s="8">
        <v>3660</v>
      </c>
      <c r="I15" s="26">
        <f t="shared" si="0"/>
        <v>2452.2000000000003</v>
      </c>
      <c r="J15" s="26">
        <f t="shared" si="1"/>
        <v>2403.1560000000004</v>
      </c>
    </row>
    <row r="16" spans="1:10" ht="15" customHeight="1" x14ac:dyDescent="0.35">
      <c r="A16" s="6">
        <v>10</v>
      </c>
      <c r="B16" s="4" t="s">
        <v>31</v>
      </c>
      <c r="C16" s="12" t="s">
        <v>32</v>
      </c>
      <c r="D16" s="2">
        <v>1</v>
      </c>
      <c r="E16" s="2">
        <v>0.75</v>
      </c>
      <c r="F16" s="2">
        <v>25</v>
      </c>
      <c r="G16" s="2">
        <v>25</v>
      </c>
      <c r="H16" s="8">
        <v>4220</v>
      </c>
      <c r="I16" s="26">
        <f t="shared" si="0"/>
        <v>2827.4</v>
      </c>
      <c r="J16" s="26">
        <f t="shared" si="1"/>
        <v>2770.8519999999999</v>
      </c>
    </row>
    <row r="17" spans="1:10" ht="15" customHeight="1" x14ac:dyDescent="0.35">
      <c r="A17" s="4">
        <v>11</v>
      </c>
      <c r="B17" s="6" t="s">
        <v>33</v>
      </c>
      <c r="C17" s="14" t="s">
        <v>34</v>
      </c>
      <c r="D17" s="2">
        <v>0.75</v>
      </c>
      <c r="E17" s="2">
        <v>0.56000000000000005</v>
      </c>
      <c r="F17" s="2">
        <v>25</v>
      </c>
      <c r="G17" s="2">
        <v>25</v>
      </c>
      <c r="H17" s="8">
        <v>4080</v>
      </c>
      <c r="I17" s="26">
        <f t="shared" si="0"/>
        <v>2733.6000000000004</v>
      </c>
      <c r="J17" s="26">
        <f t="shared" si="1"/>
        <v>2678.9280000000003</v>
      </c>
    </row>
    <row r="18" spans="1:10" ht="15" customHeight="1" x14ac:dyDescent="0.35">
      <c r="A18" s="6">
        <v>12</v>
      </c>
      <c r="B18" s="4" t="s">
        <v>35</v>
      </c>
      <c r="C18" s="16" t="s">
        <v>36</v>
      </c>
      <c r="D18" s="2">
        <v>1</v>
      </c>
      <c r="E18" s="2">
        <v>0.75</v>
      </c>
      <c r="F18" s="2">
        <v>25</v>
      </c>
      <c r="G18" s="2">
        <v>25</v>
      </c>
      <c r="H18" s="8">
        <v>4730</v>
      </c>
      <c r="I18" s="26">
        <f t="shared" si="0"/>
        <v>3169.1000000000004</v>
      </c>
      <c r="J18" s="26">
        <f t="shared" si="1"/>
        <v>3105.7180000000003</v>
      </c>
    </row>
    <row r="19" spans="1:10" ht="15" customHeight="1" x14ac:dyDescent="0.35">
      <c r="A19" s="6">
        <v>13</v>
      </c>
      <c r="B19" s="4" t="s">
        <v>37</v>
      </c>
      <c r="C19" s="16" t="s">
        <v>38</v>
      </c>
      <c r="D19" s="2">
        <v>1</v>
      </c>
      <c r="E19" s="2">
        <v>0.75</v>
      </c>
      <c r="F19" s="2">
        <v>25</v>
      </c>
      <c r="G19" s="2">
        <v>25</v>
      </c>
      <c r="H19" s="8">
        <v>4730</v>
      </c>
      <c r="I19" s="26">
        <f t="shared" si="0"/>
        <v>3169.1000000000004</v>
      </c>
      <c r="J19" s="26">
        <f t="shared" si="1"/>
        <v>3105.7180000000003</v>
      </c>
    </row>
    <row r="20" spans="1:10" ht="15" customHeight="1" x14ac:dyDescent="0.35">
      <c r="A20" s="6">
        <v>14</v>
      </c>
      <c r="B20" s="6" t="s">
        <v>39</v>
      </c>
      <c r="C20" s="14" t="s">
        <v>40</v>
      </c>
      <c r="D20" s="2">
        <v>1</v>
      </c>
      <c r="E20" s="2">
        <v>0.75</v>
      </c>
      <c r="F20" s="2">
        <v>25</v>
      </c>
      <c r="G20" s="2">
        <v>25</v>
      </c>
      <c r="H20" s="8">
        <v>5170</v>
      </c>
      <c r="I20" s="26">
        <f t="shared" si="0"/>
        <v>3463.9</v>
      </c>
      <c r="J20" s="26">
        <f t="shared" si="1"/>
        <v>3394.6219999999998</v>
      </c>
    </row>
    <row r="21" spans="1:10" ht="15" customHeight="1" x14ac:dyDescent="0.35">
      <c r="A21" s="4">
        <v>15</v>
      </c>
      <c r="B21" s="6" t="s">
        <v>41</v>
      </c>
      <c r="C21" s="14" t="s">
        <v>42</v>
      </c>
      <c r="D21" s="2">
        <v>1</v>
      </c>
      <c r="E21" s="2">
        <v>0.75</v>
      </c>
      <c r="F21" s="2">
        <v>25</v>
      </c>
      <c r="G21" s="2">
        <v>25</v>
      </c>
      <c r="H21" s="8">
        <v>4670</v>
      </c>
      <c r="I21" s="26">
        <f t="shared" si="0"/>
        <v>3128.9</v>
      </c>
      <c r="J21" s="26">
        <f t="shared" si="1"/>
        <v>3066.3220000000001</v>
      </c>
    </row>
    <row r="22" spans="1:10" ht="15" customHeight="1" x14ac:dyDescent="0.35">
      <c r="A22" s="6">
        <v>16</v>
      </c>
      <c r="B22" s="4" t="s">
        <v>43</v>
      </c>
      <c r="C22" s="12" t="s">
        <v>44</v>
      </c>
      <c r="D22" s="2">
        <v>1.2</v>
      </c>
      <c r="E22" s="2">
        <v>0.9</v>
      </c>
      <c r="F22" s="2">
        <v>25</v>
      </c>
      <c r="G22" s="2">
        <v>25</v>
      </c>
      <c r="H22" s="8">
        <v>6650</v>
      </c>
      <c r="I22" s="26">
        <f t="shared" si="0"/>
        <v>4455.5</v>
      </c>
      <c r="J22" s="26">
        <f t="shared" si="1"/>
        <v>4366.3900000000003</v>
      </c>
    </row>
    <row r="23" spans="1:10" ht="15" customHeight="1" x14ac:dyDescent="0.35">
      <c r="A23" s="6">
        <v>17</v>
      </c>
      <c r="B23" s="6" t="s">
        <v>45</v>
      </c>
      <c r="C23" s="14" t="s">
        <v>46</v>
      </c>
      <c r="D23" s="2">
        <v>1.5</v>
      </c>
      <c r="E23" s="2">
        <v>1.1000000000000001</v>
      </c>
      <c r="F23" s="2">
        <v>25</v>
      </c>
      <c r="G23" s="2">
        <v>25</v>
      </c>
      <c r="H23" s="8">
        <v>8150</v>
      </c>
      <c r="I23" s="26">
        <f t="shared" si="0"/>
        <v>5460.5</v>
      </c>
      <c r="J23" s="26">
        <f t="shared" si="1"/>
        <v>5351.29</v>
      </c>
    </row>
    <row r="24" spans="1:10" ht="15" customHeight="1" x14ac:dyDescent="0.35">
      <c r="A24" s="6">
        <v>18</v>
      </c>
      <c r="B24" s="6" t="s">
        <v>47</v>
      </c>
      <c r="C24" s="14" t="s">
        <v>48</v>
      </c>
      <c r="D24" s="2">
        <v>2</v>
      </c>
      <c r="E24" s="2">
        <v>1.5</v>
      </c>
      <c r="F24" s="2">
        <v>25</v>
      </c>
      <c r="G24" s="2">
        <v>25</v>
      </c>
      <c r="H24" s="8">
        <v>9190</v>
      </c>
      <c r="I24" s="26">
        <f t="shared" si="0"/>
        <v>6157.3</v>
      </c>
      <c r="J24" s="26">
        <f t="shared" si="1"/>
        <v>6034.1540000000005</v>
      </c>
    </row>
    <row r="25" spans="1:10" ht="15" customHeight="1" x14ac:dyDescent="0.35">
      <c r="A25" s="4">
        <v>19</v>
      </c>
      <c r="B25" s="6" t="s">
        <v>49</v>
      </c>
      <c r="C25" s="14" t="s">
        <v>50</v>
      </c>
      <c r="D25" s="2">
        <v>0.5</v>
      </c>
      <c r="E25" s="2">
        <v>0.37</v>
      </c>
      <c r="F25" s="2">
        <v>25</v>
      </c>
      <c r="G25" s="2">
        <v>25</v>
      </c>
      <c r="H25" s="8">
        <v>3310</v>
      </c>
      <c r="I25" s="26">
        <f t="shared" si="0"/>
        <v>2217.7000000000003</v>
      </c>
      <c r="J25" s="26">
        <f t="shared" si="1"/>
        <v>2173.346</v>
      </c>
    </row>
    <row r="26" spans="1:10" ht="15" customHeight="1" x14ac:dyDescent="0.35">
      <c r="A26" s="6">
        <v>20</v>
      </c>
      <c r="B26" s="4" t="s">
        <v>51</v>
      </c>
      <c r="C26" s="12" t="s">
        <v>52</v>
      </c>
      <c r="D26" s="2">
        <v>0.5</v>
      </c>
      <c r="E26" s="2">
        <v>0.37</v>
      </c>
      <c r="F26" s="2">
        <v>25</v>
      </c>
      <c r="G26" s="2">
        <v>25</v>
      </c>
      <c r="H26" s="10">
        <v>4380</v>
      </c>
      <c r="I26" s="297">
        <f>H26*0.63</f>
        <v>2759.4</v>
      </c>
      <c r="J26" s="297"/>
    </row>
    <row r="27" spans="1:10" ht="15" customHeight="1" x14ac:dyDescent="0.35">
      <c r="A27" s="6">
        <v>21</v>
      </c>
      <c r="B27" s="4" t="s">
        <v>53</v>
      </c>
      <c r="C27" s="12" t="s">
        <v>54</v>
      </c>
      <c r="D27" s="2">
        <v>1</v>
      </c>
      <c r="E27" s="2">
        <v>0.75</v>
      </c>
      <c r="F27" s="2">
        <v>25</v>
      </c>
      <c r="G27" s="2">
        <v>25</v>
      </c>
      <c r="H27" s="10">
        <v>5300</v>
      </c>
      <c r="I27" s="297">
        <f>H27*0.63</f>
        <v>3339</v>
      </c>
      <c r="J27" s="297"/>
    </row>
    <row r="28" spans="1:10" ht="15" customHeight="1" x14ac:dyDescent="0.35">
      <c r="A28" s="6">
        <v>22</v>
      </c>
      <c r="B28" s="6" t="s">
        <v>55</v>
      </c>
      <c r="C28" s="14" t="s">
        <v>56</v>
      </c>
      <c r="D28" s="2">
        <v>1.1000000000000001</v>
      </c>
      <c r="E28" s="2">
        <v>0.8</v>
      </c>
      <c r="F28" s="2">
        <v>25</v>
      </c>
      <c r="G28" s="2">
        <v>25</v>
      </c>
      <c r="H28" s="8">
        <v>5040</v>
      </c>
      <c r="I28" s="26">
        <f t="shared" ref="I28:I30" si="2">H28*0.67</f>
        <v>3376.8</v>
      </c>
      <c r="J28" s="26">
        <f t="shared" ref="J28:J30" si="3">I28*0.98</f>
        <v>3309.2640000000001</v>
      </c>
    </row>
    <row r="29" spans="1:10" ht="15" customHeight="1" x14ac:dyDescent="0.35">
      <c r="A29" s="4">
        <v>23</v>
      </c>
      <c r="B29" s="6" t="s">
        <v>57</v>
      </c>
      <c r="C29" s="14" t="s">
        <v>58</v>
      </c>
      <c r="D29" s="2">
        <v>1.1000000000000001</v>
      </c>
      <c r="E29" s="2">
        <v>0.8</v>
      </c>
      <c r="F29" s="2">
        <v>25</v>
      </c>
      <c r="G29" s="2">
        <v>25</v>
      </c>
      <c r="H29" s="8">
        <v>5150</v>
      </c>
      <c r="I29" s="26">
        <f t="shared" si="2"/>
        <v>3450.5</v>
      </c>
      <c r="J29" s="26">
        <f t="shared" si="3"/>
        <v>3381.49</v>
      </c>
    </row>
    <row r="30" spans="1:10" ht="15" customHeight="1" x14ac:dyDescent="0.35">
      <c r="A30" s="6">
        <v>24</v>
      </c>
      <c r="B30" s="4" t="s">
        <v>59</v>
      </c>
      <c r="C30" s="16" t="s">
        <v>60</v>
      </c>
      <c r="D30" s="2">
        <v>1.25</v>
      </c>
      <c r="E30" s="2">
        <v>0.94</v>
      </c>
      <c r="F30" s="2">
        <v>25</v>
      </c>
      <c r="G30" s="2">
        <v>25</v>
      </c>
      <c r="H30" s="8">
        <v>6630</v>
      </c>
      <c r="I30" s="26">
        <f t="shared" si="2"/>
        <v>4442.1000000000004</v>
      </c>
      <c r="J30" s="26">
        <f t="shared" si="3"/>
        <v>4353.2580000000007</v>
      </c>
    </row>
    <row r="31" spans="1:10" ht="15" customHeight="1" x14ac:dyDescent="0.35">
      <c r="A31" s="6">
        <v>25</v>
      </c>
      <c r="B31" s="6" t="s">
        <v>61</v>
      </c>
      <c r="C31" s="14" t="s">
        <v>62</v>
      </c>
      <c r="D31" s="17">
        <v>0.5</v>
      </c>
      <c r="E31" s="17">
        <v>0.37</v>
      </c>
      <c r="F31" s="17">
        <v>25</v>
      </c>
      <c r="G31" s="17">
        <v>25</v>
      </c>
      <c r="H31" s="9">
        <v>4950</v>
      </c>
      <c r="I31" s="297">
        <f>H31*0.63</f>
        <v>3118.5</v>
      </c>
      <c r="J31" s="297"/>
    </row>
    <row r="32" spans="1:10" ht="15" customHeight="1" x14ac:dyDescent="0.35">
      <c r="A32" s="6">
        <v>26</v>
      </c>
      <c r="B32" s="6" t="s">
        <v>63</v>
      </c>
      <c r="C32" s="14" t="s">
        <v>64</v>
      </c>
      <c r="D32" s="17">
        <v>0.5</v>
      </c>
      <c r="E32" s="17">
        <v>0.37</v>
      </c>
      <c r="F32" s="17">
        <v>25</v>
      </c>
      <c r="G32" s="17">
        <v>25</v>
      </c>
      <c r="H32" s="9">
        <v>5000</v>
      </c>
      <c r="I32" s="297">
        <f>H32*0.63</f>
        <v>3150</v>
      </c>
      <c r="J32" s="297"/>
    </row>
    <row r="33" spans="1:10" ht="15" customHeight="1" x14ac:dyDescent="0.35">
      <c r="A33" s="4">
        <v>27</v>
      </c>
      <c r="B33" s="6" t="s">
        <v>65</v>
      </c>
      <c r="C33" s="14" t="s">
        <v>66</v>
      </c>
      <c r="D33" s="2">
        <v>1</v>
      </c>
      <c r="E33" s="2">
        <v>0.75</v>
      </c>
      <c r="F33" s="2">
        <v>25</v>
      </c>
      <c r="G33" s="2">
        <v>25</v>
      </c>
      <c r="H33" s="8">
        <v>5560</v>
      </c>
      <c r="I33" s="26">
        <f t="shared" ref="I33:I54" si="4">H33*0.67</f>
        <v>3725.2000000000003</v>
      </c>
      <c r="J33" s="26">
        <f t="shared" ref="J33:J54" si="5">I33*0.98</f>
        <v>3650.6960000000004</v>
      </c>
    </row>
    <row r="34" spans="1:10" ht="15" customHeight="1" x14ac:dyDescent="0.35">
      <c r="A34" s="6">
        <v>28</v>
      </c>
      <c r="B34" s="6" t="s">
        <v>67</v>
      </c>
      <c r="C34" s="14" t="s">
        <v>68</v>
      </c>
      <c r="D34" s="2">
        <v>1</v>
      </c>
      <c r="E34" s="2">
        <v>0.75</v>
      </c>
      <c r="F34" s="2">
        <v>25</v>
      </c>
      <c r="G34" s="2">
        <v>25</v>
      </c>
      <c r="H34" s="8">
        <v>5650</v>
      </c>
      <c r="I34" s="26">
        <f t="shared" si="4"/>
        <v>3785.5</v>
      </c>
      <c r="J34" s="26">
        <f t="shared" si="5"/>
        <v>3709.79</v>
      </c>
    </row>
    <row r="35" spans="1:10" ht="15" customHeight="1" x14ac:dyDescent="0.35">
      <c r="A35" s="6">
        <v>29</v>
      </c>
      <c r="B35" s="6" t="s">
        <v>69</v>
      </c>
      <c r="C35" s="14" t="s">
        <v>70</v>
      </c>
      <c r="D35" s="2">
        <v>1.5</v>
      </c>
      <c r="E35" s="2">
        <v>1.1000000000000001</v>
      </c>
      <c r="F35" s="2">
        <v>25</v>
      </c>
      <c r="G35" s="2">
        <v>25</v>
      </c>
      <c r="H35" s="8">
        <v>7840</v>
      </c>
      <c r="I35" s="26">
        <f t="shared" si="4"/>
        <v>5252.8</v>
      </c>
      <c r="J35" s="26">
        <f t="shared" si="5"/>
        <v>5147.7439999999997</v>
      </c>
    </row>
    <row r="36" spans="1:10" ht="15" customHeight="1" x14ac:dyDescent="0.35">
      <c r="A36" s="6">
        <v>30</v>
      </c>
      <c r="B36" s="6" t="s">
        <v>71</v>
      </c>
      <c r="C36" s="14" t="s">
        <v>72</v>
      </c>
      <c r="D36" s="2">
        <v>1.5</v>
      </c>
      <c r="E36" s="2">
        <v>1.1000000000000001</v>
      </c>
      <c r="F36" s="2">
        <v>25</v>
      </c>
      <c r="G36" s="2">
        <v>25</v>
      </c>
      <c r="H36" s="8">
        <v>8170</v>
      </c>
      <c r="I36" s="26">
        <f t="shared" si="4"/>
        <v>5473.9000000000005</v>
      </c>
      <c r="J36" s="26">
        <f t="shared" si="5"/>
        <v>5364.4220000000005</v>
      </c>
    </row>
    <row r="37" spans="1:10" ht="15" customHeight="1" x14ac:dyDescent="0.35">
      <c r="A37" s="4">
        <v>31</v>
      </c>
      <c r="B37" s="4" t="s">
        <v>73</v>
      </c>
      <c r="C37" s="12" t="s">
        <v>74</v>
      </c>
      <c r="D37" s="2">
        <v>0.5</v>
      </c>
      <c r="E37" s="2">
        <v>0.37</v>
      </c>
      <c r="F37" s="2">
        <v>25</v>
      </c>
      <c r="G37" s="2">
        <v>25</v>
      </c>
      <c r="H37" s="8">
        <v>6450</v>
      </c>
      <c r="I37" s="26">
        <f t="shared" si="4"/>
        <v>4321.5</v>
      </c>
      <c r="J37" s="26">
        <f t="shared" si="5"/>
        <v>4235.07</v>
      </c>
    </row>
    <row r="38" spans="1:10" ht="15" customHeight="1" x14ac:dyDescent="0.35">
      <c r="A38" s="6">
        <v>32</v>
      </c>
      <c r="B38" s="6" t="s">
        <v>75</v>
      </c>
      <c r="C38" s="14" t="s">
        <v>76</v>
      </c>
      <c r="D38" s="3">
        <v>0.9</v>
      </c>
      <c r="E38" s="3">
        <v>0.7</v>
      </c>
      <c r="F38" s="3">
        <v>25</v>
      </c>
      <c r="G38" s="3">
        <v>25</v>
      </c>
      <c r="H38" s="8">
        <v>6640</v>
      </c>
      <c r="I38" s="26">
        <f t="shared" si="4"/>
        <v>4448.8</v>
      </c>
      <c r="J38" s="26">
        <f t="shared" si="5"/>
        <v>4359.8240000000005</v>
      </c>
    </row>
    <row r="39" spans="1:10" ht="15" customHeight="1" x14ac:dyDescent="0.35">
      <c r="A39" s="6">
        <v>33</v>
      </c>
      <c r="B39" s="6" t="s">
        <v>77</v>
      </c>
      <c r="C39" s="14" t="s">
        <v>78</v>
      </c>
      <c r="D39" s="3">
        <v>1</v>
      </c>
      <c r="E39" s="3">
        <v>0.75</v>
      </c>
      <c r="F39" s="3">
        <v>25</v>
      </c>
      <c r="G39" s="3">
        <v>25</v>
      </c>
      <c r="H39" s="8">
        <v>7100</v>
      </c>
      <c r="I39" s="26">
        <f t="shared" si="4"/>
        <v>4757</v>
      </c>
      <c r="J39" s="26">
        <f t="shared" si="5"/>
        <v>4661.8599999999997</v>
      </c>
    </row>
    <row r="40" spans="1:10" ht="15" customHeight="1" x14ac:dyDescent="0.35">
      <c r="A40" s="6">
        <v>34</v>
      </c>
      <c r="B40" s="4" t="s">
        <v>79</v>
      </c>
      <c r="C40" s="15" t="s">
        <v>80</v>
      </c>
      <c r="D40" s="3">
        <v>0.5</v>
      </c>
      <c r="E40" s="3">
        <v>0.37</v>
      </c>
      <c r="F40" s="3">
        <v>25</v>
      </c>
      <c r="G40" s="3">
        <v>25</v>
      </c>
      <c r="H40" s="8">
        <v>5500</v>
      </c>
      <c r="I40" s="26">
        <f t="shared" si="4"/>
        <v>3685</v>
      </c>
      <c r="J40" s="26">
        <f t="shared" si="5"/>
        <v>3611.2999999999997</v>
      </c>
    </row>
    <row r="41" spans="1:10" ht="15" customHeight="1" x14ac:dyDescent="0.35">
      <c r="A41" s="4">
        <v>35</v>
      </c>
      <c r="B41" s="4"/>
      <c r="C41" s="15" t="s">
        <v>81</v>
      </c>
      <c r="D41" s="3">
        <v>1</v>
      </c>
      <c r="E41" s="3">
        <v>0.75</v>
      </c>
      <c r="F41" s="3">
        <v>25</v>
      </c>
      <c r="G41" s="3">
        <v>25</v>
      </c>
      <c r="H41" s="8">
        <v>6200</v>
      </c>
      <c r="I41" s="26">
        <f t="shared" si="4"/>
        <v>4154</v>
      </c>
      <c r="J41" s="26">
        <f t="shared" si="5"/>
        <v>4070.92</v>
      </c>
    </row>
    <row r="42" spans="1:10" ht="15" customHeight="1" x14ac:dyDescent="0.35">
      <c r="A42" s="6">
        <v>36</v>
      </c>
      <c r="B42" s="4" t="s">
        <v>82</v>
      </c>
      <c r="C42" s="12" t="s">
        <v>83</v>
      </c>
      <c r="D42" s="1">
        <v>0.5</v>
      </c>
      <c r="E42" s="1">
        <v>0.37</v>
      </c>
      <c r="F42" s="1">
        <v>25</v>
      </c>
      <c r="G42" s="1">
        <v>25</v>
      </c>
      <c r="H42" s="8">
        <v>7140</v>
      </c>
      <c r="I42" s="26">
        <f t="shared" si="4"/>
        <v>4783.8</v>
      </c>
      <c r="J42" s="26">
        <f t="shared" si="5"/>
        <v>4688.1239999999998</v>
      </c>
    </row>
    <row r="43" spans="1:10" ht="15" customHeight="1" x14ac:dyDescent="0.35">
      <c r="A43" s="6">
        <v>37</v>
      </c>
      <c r="B43" s="6" t="s">
        <v>84</v>
      </c>
      <c r="C43" s="14" t="s">
        <v>85</v>
      </c>
      <c r="D43" s="1">
        <v>1.1000000000000001</v>
      </c>
      <c r="E43" s="1">
        <v>0.8</v>
      </c>
      <c r="F43" s="1">
        <v>25</v>
      </c>
      <c r="G43" s="1">
        <v>25</v>
      </c>
      <c r="H43" s="8">
        <v>7700</v>
      </c>
      <c r="I43" s="26">
        <f t="shared" si="4"/>
        <v>5159</v>
      </c>
      <c r="J43" s="26">
        <f t="shared" si="5"/>
        <v>5055.82</v>
      </c>
    </row>
    <row r="44" spans="1:10" ht="15" customHeight="1" x14ac:dyDescent="0.35">
      <c r="A44" s="6">
        <v>38</v>
      </c>
      <c r="B44" s="6" t="s">
        <v>86</v>
      </c>
      <c r="C44" s="14" t="s">
        <v>87</v>
      </c>
      <c r="D44" s="1">
        <v>1.5</v>
      </c>
      <c r="E44" s="1">
        <v>1.1000000000000001</v>
      </c>
      <c r="F44" s="1">
        <v>25</v>
      </c>
      <c r="G44" s="1">
        <v>25</v>
      </c>
      <c r="H44" s="8">
        <v>8690</v>
      </c>
      <c r="I44" s="26">
        <f t="shared" si="4"/>
        <v>5822.3</v>
      </c>
      <c r="J44" s="26">
        <f t="shared" si="5"/>
        <v>5705.8540000000003</v>
      </c>
    </row>
    <row r="45" spans="1:10" ht="15" customHeight="1" x14ac:dyDescent="0.35">
      <c r="A45" s="4">
        <v>39</v>
      </c>
      <c r="B45" s="4" t="s">
        <v>88</v>
      </c>
      <c r="C45" s="12" t="s">
        <v>89</v>
      </c>
      <c r="D45" s="2">
        <v>0.5</v>
      </c>
      <c r="E45" s="2">
        <v>0.37</v>
      </c>
      <c r="F45" s="2">
        <v>25</v>
      </c>
      <c r="G45" s="2">
        <v>12</v>
      </c>
      <c r="H45" s="8">
        <v>4860</v>
      </c>
      <c r="I45" s="26">
        <f t="shared" si="4"/>
        <v>3256.2000000000003</v>
      </c>
      <c r="J45" s="26">
        <f t="shared" si="5"/>
        <v>3191.076</v>
      </c>
    </row>
    <row r="46" spans="1:10" ht="15" customHeight="1" x14ac:dyDescent="0.35">
      <c r="A46" s="6">
        <v>40</v>
      </c>
      <c r="B46" s="4" t="s">
        <v>90</v>
      </c>
      <c r="C46" s="12" t="s">
        <v>91</v>
      </c>
      <c r="D46" s="2">
        <v>1</v>
      </c>
      <c r="E46" s="2">
        <v>0.75</v>
      </c>
      <c r="F46" s="2">
        <v>25</v>
      </c>
      <c r="G46" s="2">
        <v>25</v>
      </c>
      <c r="H46" s="8">
        <v>5600</v>
      </c>
      <c r="I46" s="26">
        <f t="shared" si="4"/>
        <v>3752</v>
      </c>
      <c r="J46" s="26">
        <f t="shared" si="5"/>
        <v>3676.96</v>
      </c>
    </row>
    <row r="47" spans="1:10" ht="15" customHeight="1" x14ac:dyDescent="0.35">
      <c r="A47" s="6">
        <v>41</v>
      </c>
      <c r="B47" s="6" t="s">
        <v>92</v>
      </c>
      <c r="C47" s="14" t="s">
        <v>93</v>
      </c>
      <c r="D47" s="17">
        <v>1</v>
      </c>
      <c r="E47" s="17">
        <v>0.75</v>
      </c>
      <c r="F47" s="17">
        <v>25</v>
      </c>
      <c r="G47" s="17">
        <v>25</v>
      </c>
      <c r="H47" s="9">
        <v>8420</v>
      </c>
      <c r="I47" s="297">
        <f>H47*0.63</f>
        <v>5304.6</v>
      </c>
      <c r="J47" s="297"/>
    </row>
    <row r="48" spans="1:10" ht="15" customHeight="1" x14ac:dyDescent="0.35">
      <c r="A48" s="6">
        <v>42</v>
      </c>
      <c r="B48" s="6" t="s">
        <v>94</v>
      </c>
      <c r="C48" s="14" t="s">
        <v>95</v>
      </c>
      <c r="D48" s="2">
        <v>1.1000000000000001</v>
      </c>
      <c r="E48" s="2">
        <v>0.8</v>
      </c>
      <c r="F48" s="2">
        <v>25</v>
      </c>
      <c r="G48" s="2">
        <v>25</v>
      </c>
      <c r="H48" s="8">
        <v>12020</v>
      </c>
      <c r="I48" s="26">
        <f t="shared" si="4"/>
        <v>8053.4000000000005</v>
      </c>
      <c r="J48" s="26">
        <f t="shared" si="5"/>
        <v>7892.3320000000003</v>
      </c>
    </row>
    <row r="49" spans="1:10" ht="15" customHeight="1" x14ac:dyDescent="0.35">
      <c r="A49" s="4">
        <v>43</v>
      </c>
      <c r="B49" s="4" t="s">
        <v>96</v>
      </c>
      <c r="C49" s="12" t="s">
        <v>97</v>
      </c>
      <c r="D49" s="2">
        <v>0.5</v>
      </c>
      <c r="E49" s="2">
        <v>0.37</v>
      </c>
      <c r="F49" s="2">
        <v>25</v>
      </c>
      <c r="G49" s="2">
        <v>25</v>
      </c>
      <c r="H49" s="8">
        <v>7530</v>
      </c>
      <c r="I49" s="26">
        <f t="shared" si="4"/>
        <v>5045.1000000000004</v>
      </c>
      <c r="J49" s="26">
        <f t="shared" si="5"/>
        <v>4944.1980000000003</v>
      </c>
    </row>
    <row r="50" spans="1:10" ht="15" customHeight="1" x14ac:dyDescent="0.35">
      <c r="A50" s="6">
        <v>44</v>
      </c>
      <c r="B50" s="4" t="s">
        <v>98</v>
      </c>
      <c r="C50" s="12" t="s">
        <v>99</v>
      </c>
      <c r="D50" s="2">
        <v>1</v>
      </c>
      <c r="E50" s="2">
        <v>0.75</v>
      </c>
      <c r="F50" s="2">
        <v>25</v>
      </c>
      <c r="G50" s="2">
        <v>25</v>
      </c>
      <c r="H50" s="8">
        <v>9150</v>
      </c>
      <c r="I50" s="26">
        <f t="shared" si="4"/>
        <v>6130.5</v>
      </c>
      <c r="J50" s="26">
        <f t="shared" si="5"/>
        <v>6007.89</v>
      </c>
    </row>
    <row r="51" spans="1:10" ht="15" customHeight="1" x14ac:dyDescent="0.35">
      <c r="A51" s="6">
        <v>45</v>
      </c>
      <c r="B51" s="4" t="s">
        <v>100</v>
      </c>
      <c r="C51" s="12" t="s">
        <v>101</v>
      </c>
      <c r="D51" s="2">
        <v>1</v>
      </c>
      <c r="E51" s="2">
        <v>0.75</v>
      </c>
      <c r="F51" s="2">
        <v>25</v>
      </c>
      <c r="G51" s="2">
        <v>25</v>
      </c>
      <c r="H51" s="5">
        <v>16800</v>
      </c>
      <c r="I51" s="26">
        <f t="shared" si="4"/>
        <v>11256</v>
      </c>
      <c r="J51" s="26">
        <f t="shared" si="5"/>
        <v>11030.88</v>
      </c>
    </row>
    <row r="52" spans="1:10" ht="15" customHeight="1" x14ac:dyDescent="0.35">
      <c r="A52" s="6">
        <v>46</v>
      </c>
      <c r="B52" s="6" t="s">
        <v>102</v>
      </c>
      <c r="C52" s="14" t="s">
        <v>103</v>
      </c>
      <c r="D52" s="2">
        <v>0.5</v>
      </c>
      <c r="E52" s="2">
        <v>0.37</v>
      </c>
      <c r="F52" s="2">
        <v>25</v>
      </c>
      <c r="G52" s="2">
        <v>25</v>
      </c>
      <c r="H52" s="8">
        <v>17760</v>
      </c>
      <c r="I52" s="26">
        <f t="shared" si="4"/>
        <v>11899.2</v>
      </c>
      <c r="J52" s="26">
        <f t="shared" si="5"/>
        <v>11661.216</v>
      </c>
    </row>
    <row r="53" spans="1:10" ht="15" customHeight="1" x14ac:dyDescent="0.35">
      <c r="A53" s="4">
        <v>47</v>
      </c>
      <c r="B53" s="6" t="s">
        <v>104</v>
      </c>
      <c r="C53" s="14" t="s">
        <v>105</v>
      </c>
      <c r="D53" s="2">
        <v>1</v>
      </c>
      <c r="E53" s="2">
        <v>0.75</v>
      </c>
      <c r="F53" s="2">
        <v>25</v>
      </c>
      <c r="G53" s="2">
        <v>25</v>
      </c>
      <c r="H53" s="8">
        <v>19120</v>
      </c>
      <c r="I53" s="26">
        <f t="shared" si="4"/>
        <v>12810.400000000001</v>
      </c>
      <c r="J53" s="26">
        <f t="shared" si="5"/>
        <v>12554.192000000001</v>
      </c>
    </row>
    <row r="54" spans="1:10" ht="15" customHeight="1" x14ac:dyDescent="0.35">
      <c r="A54" s="6">
        <v>48</v>
      </c>
      <c r="B54" s="6" t="s">
        <v>106</v>
      </c>
      <c r="C54" s="14" t="s">
        <v>107</v>
      </c>
      <c r="D54" s="2">
        <v>1.1000000000000001</v>
      </c>
      <c r="E54" s="2">
        <v>0.8</v>
      </c>
      <c r="F54" s="2">
        <v>25</v>
      </c>
      <c r="G54" s="2">
        <v>25</v>
      </c>
      <c r="H54" s="8">
        <v>20900</v>
      </c>
      <c r="I54" s="26">
        <f t="shared" si="4"/>
        <v>14003</v>
      </c>
      <c r="J54" s="26">
        <f t="shared" si="5"/>
        <v>13722.94</v>
      </c>
    </row>
    <row r="55" spans="1:10" ht="15" customHeight="1" x14ac:dyDescent="0.35">
      <c r="A55" s="267" t="s">
        <v>108</v>
      </c>
      <c r="B55" s="268"/>
      <c r="C55" s="268"/>
      <c r="D55" s="268"/>
      <c r="E55" s="268"/>
      <c r="F55" s="268"/>
      <c r="G55" s="269"/>
      <c r="H55" s="207" t="s">
        <v>109</v>
      </c>
      <c r="I55" s="315" t="s">
        <v>334</v>
      </c>
      <c r="J55" s="315"/>
    </row>
    <row r="56" spans="1:10" ht="15" customHeight="1" x14ac:dyDescent="0.35">
      <c r="A56" s="207" t="s">
        <v>2</v>
      </c>
      <c r="B56" s="287" t="s">
        <v>3</v>
      </c>
      <c r="C56" s="260" t="s">
        <v>4</v>
      </c>
      <c r="D56" s="209" t="s">
        <v>5</v>
      </c>
      <c r="E56" s="210"/>
      <c r="F56" s="209" t="s">
        <v>6</v>
      </c>
      <c r="G56" s="210"/>
      <c r="H56" s="259"/>
      <c r="I56" s="341">
        <v>0.33</v>
      </c>
      <c r="J56" s="341">
        <v>0.02</v>
      </c>
    </row>
    <row r="57" spans="1:10" ht="15" customHeight="1" x14ac:dyDescent="0.35">
      <c r="A57" s="208"/>
      <c r="B57" s="287"/>
      <c r="C57" s="261"/>
      <c r="D57" s="11" t="s">
        <v>9</v>
      </c>
      <c r="E57" s="11" t="s">
        <v>10</v>
      </c>
      <c r="F57" s="11" t="s">
        <v>11</v>
      </c>
      <c r="G57" s="11" t="s">
        <v>12</v>
      </c>
      <c r="H57" s="208"/>
      <c r="I57" s="341"/>
      <c r="J57" s="341"/>
    </row>
    <row r="58" spans="1:10" ht="15" customHeight="1" x14ac:dyDescent="0.35">
      <c r="A58" s="6">
        <v>1</v>
      </c>
      <c r="B58" s="6" t="s">
        <v>110</v>
      </c>
      <c r="C58" s="14" t="s">
        <v>111</v>
      </c>
      <c r="D58" s="303">
        <v>0.5</v>
      </c>
      <c r="E58" s="303">
        <v>0.37</v>
      </c>
      <c r="F58" s="2">
        <v>25</v>
      </c>
      <c r="G58" s="2">
        <v>25</v>
      </c>
      <c r="H58" s="8">
        <v>4680</v>
      </c>
      <c r="I58" s="26">
        <f t="shared" ref="I58:I113" si="6">H58*0.67</f>
        <v>3135.6000000000004</v>
      </c>
      <c r="J58" s="26">
        <f t="shared" ref="J58:J113" si="7">I58*0.98</f>
        <v>3072.8880000000004</v>
      </c>
    </row>
    <row r="59" spans="1:10" ht="15" customHeight="1" x14ac:dyDescent="0.35">
      <c r="A59" s="6">
        <v>2</v>
      </c>
      <c r="B59" s="6" t="s">
        <v>112</v>
      </c>
      <c r="C59" s="14" t="s">
        <v>113</v>
      </c>
      <c r="D59" s="303"/>
      <c r="E59" s="303"/>
      <c r="F59" s="2">
        <v>40</v>
      </c>
      <c r="G59" s="2">
        <v>40</v>
      </c>
      <c r="H59" s="8">
        <v>6430</v>
      </c>
      <c r="I59" s="26">
        <f t="shared" si="6"/>
        <v>4308.1000000000004</v>
      </c>
      <c r="J59" s="26">
        <f t="shared" si="7"/>
        <v>4221.9380000000001</v>
      </c>
    </row>
    <row r="60" spans="1:10" ht="15" customHeight="1" x14ac:dyDescent="0.35">
      <c r="A60" s="4">
        <v>3</v>
      </c>
      <c r="B60" s="4" t="s">
        <v>114</v>
      </c>
      <c r="C60" s="18" t="s">
        <v>115</v>
      </c>
      <c r="D60" s="2">
        <v>0.75</v>
      </c>
      <c r="E60" s="2">
        <v>0.56000000000000005</v>
      </c>
      <c r="F60" s="2">
        <v>40</v>
      </c>
      <c r="G60" s="2">
        <v>40</v>
      </c>
      <c r="H60" s="5">
        <v>6240</v>
      </c>
      <c r="I60" s="26">
        <f t="shared" si="6"/>
        <v>4180.8</v>
      </c>
      <c r="J60" s="26">
        <f t="shared" si="7"/>
        <v>4097.1840000000002</v>
      </c>
    </row>
    <row r="61" spans="1:10" ht="15" customHeight="1" x14ac:dyDescent="0.35">
      <c r="A61" s="6">
        <v>4</v>
      </c>
      <c r="B61" s="6" t="s">
        <v>116</v>
      </c>
      <c r="C61" s="14" t="s">
        <v>117</v>
      </c>
      <c r="D61" s="262">
        <v>1</v>
      </c>
      <c r="E61" s="262">
        <v>0.75</v>
      </c>
      <c r="F61" s="1">
        <v>25</v>
      </c>
      <c r="G61" s="1">
        <v>25</v>
      </c>
      <c r="H61" s="8">
        <v>7572</v>
      </c>
      <c r="I61" s="26">
        <f t="shared" si="6"/>
        <v>5073.2400000000007</v>
      </c>
      <c r="J61" s="26">
        <f t="shared" si="7"/>
        <v>4971.775200000001</v>
      </c>
    </row>
    <row r="62" spans="1:10" ht="15" customHeight="1" x14ac:dyDescent="0.35">
      <c r="A62" s="6">
        <v>5</v>
      </c>
      <c r="B62" s="6" t="s">
        <v>118</v>
      </c>
      <c r="C62" s="14" t="s">
        <v>119</v>
      </c>
      <c r="D62" s="266"/>
      <c r="E62" s="266"/>
      <c r="F62" s="1">
        <v>50</v>
      </c>
      <c r="G62" s="1">
        <v>50</v>
      </c>
      <c r="H62" s="8">
        <v>8900</v>
      </c>
      <c r="I62" s="26">
        <f t="shared" si="6"/>
        <v>5963</v>
      </c>
      <c r="J62" s="26">
        <f t="shared" si="7"/>
        <v>5843.74</v>
      </c>
    </row>
    <row r="63" spans="1:10" ht="15" customHeight="1" x14ac:dyDescent="0.35">
      <c r="A63" s="4">
        <v>6</v>
      </c>
      <c r="B63" s="6" t="s">
        <v>120</v>
      </c>
      <c r="C63" s="14" t="s">
        <v>121</v>
      </c>
      <c r="D63" s="266"/>
      <c r="E63" s="266"/>
      <c r="F63" s="1">
        <v>50</v>
      </c>
      <c r="G63" s="1">
        <v>50</v>
      </c>
      <c r="H63" s="5">
        <v>9100</v>
      </c>
      <c r="I63" s="26">
        <f t="shared" si="6"/>
        <v>6097</v>
      </c>
      <c r="J63" s="26">
        <f t="shared" si="7"/>
        <v>5975.0599999999995</v>
      </c>
    </row>
    <row r="64" spans="1:10" ht="15" customHeight="1" x14ac:dyDescent="0.35">
      <c r="A64" s="6">
        <v>7</v>
      </c>
      <c r="B64" s="4" t="s">
        <v>122</v>
      </c>
      <c r="C64" s="18" t="s">
        <v>123</v>
      </c>
      <c r="D64" s="266"/>
      <c r="E64" s="266"/>
      <c r="F64" s="1">
        <v>50</v>
      </c>
      <c r="G64" s="1">
        <v>50</v>
      </c>
      <c r="H64" s="5">
        <v>9000</v>
      </c>
      <c r="I64" s="26">
        <f t="shared" si="6"/>
        <v>6030</v>
      </c>
      <c r="J64" s="26">
        <f t="shared" si="7"/>
        <v>5909.4</v>
      </c>
    </row>
    <row r="65" spans="1:10" ht="15" customHeight="1" x14ac:dyDescent="0.35">
      <c r="A65" s="6">
        <v>8</v>
      </c>
      <c r="B65" s="4" t="s">
        <v>124</v>
      </c>
      <c r="C65" s="19" t="s">
        <v>125</v>
      </c>
      <c r="D65" s="266"/>
      <c r="E65" s="266"/>
      <c r="F65" s="1">
        <v>75</v>
      </c>
      <c r="G65" s="1">
        <v>75</v>
      </c>
      <c r="H65" s="8">
        <v>10000</v>
      </c>
      <c r="I65" s="26">
        <f t="shared" si="6"/>
        <v>6700</v>
      </c>
      <c r="J65" s="26">
        <f t="shared" si="7"/>
        <v>6566</v>
      </c>
    </row>
    <row r="66" spans="1:10" ht="15" customHeight="1" x14ac:dyDescent="0.35">
      <c r="A66" s="4">
        <v>9</v>
      </c>
      <c r="B66" s="4"/>
      <c r="C66" s="18" t="s">
        <v>126</v>
      </c>
      <c r="D66" s="263"/>
      <c r="E66" s="263"/>
      <c r="F66" s="1">
        <v>75</v>
      </c>
      <c r="G66" s="1">
        <v>75</v>
      </c>
      <c r="H66" s="5">
        <v>10200</v>
      </c>
      <c r="I66" s="26">
        <f t="shared" si="6"/>
        <v>6834</v>
      </c>
      <c r="J66" s="26">
        <f t="shared" si="7"/>
        <v>6697.32</v>
      </c>
    </row>
    <row r="67" spans="1:10" ht="15" customHeight="1" x14ac:dyDescent="0.35">
      <c r="A67" s="6">
        <v>10</v>
      </c>
      <c r="B67" s="4" t="s">
        <v>127</v>
      </c>
      <c r="C67" s="19" t="s">
        <v>128</v>
      </c>
      <c r="D67" s="262">
        <v>1.5</v>
      </c>
      <c r="E67" s="262">
        <v>1.1000000000000001</v>
      </c>
      <c r="F67" s="1">
        <v>50</v>
      </c>
      <c r="G67" s="1">
        <v>50</v>
      </c>
      <c r="H67" s="5">
        <v>10420</v>
      </c>
      <c r="I67" s="26">
        <f t="shared" si="6"/>
        <v>6981.4000000000005</v>
      </c>
      <c r="J67" s="26">
        <f t="shared" si="7"/>
        <v>6841.7720000000008</v>
      </c>
    </row>
    <row r="68" spans="1:10" ht="15" customHeight="1" x14ac:dyDescent="0.35">
      <c r="A68" s="6">
        <v>11</v>
      </c>
      <c r="B68" s="4" t="s">
        <v>129</v>
      </c>
      <c r="C68" s="18" t="s">
        <v>130</v>
      </c>
      <c r="D68" s="266"/>
      <c r="E68" s="266"/>
      <c r="F68" s="1">
        <v>50</v>
      </c>
      <c r="G68" s="1">
        <v>50</v>
      </c>
      <c r="H68" s="5">
        <v>10600</v>
      </c>
      <c r="I68" s="26">
        <f t="shared" si="6"/>
        <v>7102</v>
      </c>
      <c r="J68" s="26">
        <f t="shared" si="7"/>
        <v>6959.96</v>
      </c>
    </row>
    <row r="69" spans="1:10" ht="15" customHeight="1" x14ac:dyDescent="0.35">
      <c r="A69" s="4">
        <v>12</v>
      </c>
      <c r="B69" s="4" t="s">
        <v>131</v>
      </c>
      <c r="C69" s="19" t="s">
        <v>132</v>
      </c>
      <c r="D69" s="266"/>
      <c r="E69" s="266"/>
      <c r="F69" s="1">
        <v>65</v>
      </c>
      <c r="G69" s="1">
        <v>50</v>
      </c>
      <c r="H69" s="5">
        <v>10600</v>
      </c>
      <c r="I69" s="26">
        <f t="shared" si="6"/>
        <v>7102</v>
      </c>
      <c r="J69" s="26">
        <f t="shared" si="7"/>
        <v>6959.96</v>
      </c>
    </row>
    <row r="70" spans="1:10" ht="15" customHeight="1" x14ac:dyDescent="0.35">
      <c r="A70" s="6">
        <v>13</v>
      </c>
      <c r="B70" s="4" t="s">
        <v>133</v>
      </c>
      <c r="C70" s="18" t="s">
        <v>134</v>
      </c>
      <c r="D70" s="266"/>
      <c r="E70" s="266"/>
      <c r="F70" s="1">
        <v>65</v>
      </c>
      <c r="G70" s="1">
        <v>50</v>
      </c>
      <c r="H70" s="5">
        <v>10800</v>
      </c>
      <c r="I70" s="26">
        <f t="shared" si="6"/>
        <v>7236</v>
      </c>
      <c r="J70" s="26">
        <f t="shared" si="7"/>
        <v>7091.28</v>
      </c>
    </row>
    <row r="71" spans="1:10" ht="15" customHeight="1" x14ac:dyDescent="0.35">
      <c r="A71" s="6">
        <v>14</v>
      </c>
      <c r="B71" s="4" t="s">
        <v>135</v>
      </c>
      <c r="C71" s="19" t="s">
        <v>136</v>
      </c>
      <c r="D71" s="266"/>
      <c r="E71" s="266"/>
      <c r="F71" s="1">
        <v>75</v>
      </c>
      <c r="G71" s="1">
        <v>75</v>
      </c>
      <c r="H71" s="8">
        <v>11000</v>
      </c>
      <c r="I71" s="26">
        <f t="shared" si="6"/>
        <v>7370</v>
      </c>
      <c r="J71" s="26">
        <f t="shared" si="7"/>
        <v>7222.5999999999995</v>
      </c>
    </row>
    <row r="72" spans="1:10" ht="15" customHeight="1" x14ac:dyDescent="0.35">
      <c r="A72" s="4">
        <v>15</v>
      </c>
      <c r="B72" s="4" t="s">
        <v>137</v>
      </c>
      <c r="C72" s="18" t="s">
        <v>138</v>
      </c>
      <c r="D72" s="266"/>
      <c r="E72" s="266"/>
      <c r="F72" s="1">
        <v>75</v>
      </c>
      <c r="G72" s="1">
        <v>75</v>
      </c>
      <c r="H72" s="5">
        <v>11200</v>
      </c>
      <c r="I72" s="26">
        <f t="shared" si="6"/>
        <v>7504</v>
      </c>
      <c r="J72" s="26">
        <f t="shared" si="7"/>
        <v>7353.92</v>
      </c>
    </row>
    <row r="73" spans="1:10" ht="15" customHeight="1" x14ac:dyDescent="0.35">
      <c r="A73" s="6">
        <v>16</v>
      </c>
      <c r="B73" s="4" t="s">
        <v>139</v>
      </c>
      <c r="C73" s="18" t="s">
        <v>140</v>
      </c>
      <c r="D73" s="263"/>
      <c r="E73" s="263"/>
      <c r="F73" s="1">
        <v>75</v>
      </c>
      <c r="G73" s="1">
        <v>75</v>
      </c>
      <c r="H73" s="5">
        <v>11200</v>
      </c>
      <c r="I73" s="26">
        <f t="shared" si="6"/>
        <v>7504</v>
      </c>
      <c r="J73" s="26">
        <f t="shared" si="7"/>
        <v>7353.92</v>
      </c>
    </row>
    <row r="74" spans="1:10" ht="15" customHeight="1" x14ac:dyDescent="0.35">
      <c r="A74" s="6">
        <v>17</v>
      </c>
      <c r="B74" s="4" t="s">
        <v>141</v>
      </c>
      <c r="C74" s="19" t="s">
        <v>142</v>
      </c>
      <c r="D74" s="262">
        <v>2</v>
      </c>
      <c r="E74" s="262">
        <v>1.5</v>
      </c>
      <c r="F74" s="1">
        <v>50</v>
      </c>
      <c r="G74" s="1">
        <v>40</v>
      </c>
      <c r="H74" s="8">
        <v>15000</v>
      </c>
      <c r="I74" s="26">
        <f t="shared" si="6"/>
        <v>10050</v>
      </c>
      <c r="J74" s="26">
        <f t="shared" si="7"/>
        <v>9849</v>
      </c>
    </row>
    <row r="75" spans="1:10" ht="15" customHeight="1" x14ac:dyDescent="0.35">
      <c r="A75" s="4">
        <v>18</v>
      </c>
      <c r="B75" s="4" t="s">
        <v>143</v>
      </c>
      <c r="C75" s="18" t="s">
        <v>144</v>
      </c>
      <c r="D75" s="266"/>
      <c r="E75" s="266"/>
      <c r="F75" s="1">
        <v>50</v>
      </c>
      <c r="G75" s="1">
        <v>40</v>
      </c>
      <c r="H75" s="5">
        <v>15200</v>
      </c>
      <c r="I75" s="26">
        <f t="shared" si="6"/>
        <v>10184</v>
      </c>
      <c r="J75" s="26">
        <f t="shared" si="7"/>
        <v>9980.32</v>
      </c>
    </row>
    <row r="76" spans="1:10" ht="15" customHeight="1" x14ac:dyDescent="0.35">
      <c r="A76" s="6">
        <v>19</v>
      </c>
      <c r="B76" s="6" t="s">
        <v>145</v>
      </c>
      <c r="C76" s="14" t="s">
        <v>146</v>
      </c>
      <c r="D76" s="266"/>
      <c r="E76" s="266"/>
      <c r="F76" s="1">
        <v>50</v>
      </c>
      <c r="G76" s="1">
        <v>50</v>
      </c>
      <c r="H76" s="8">
        <v>13000</v>
      </c>
      <c r="I76" s="26">
        <f t="shared" si="6"/>
        <v>8710</v>
      </c>
      <c r="J76" s="26">
        <f t="shared" si="7"/>
        <v>8535.7999999999993</v>
      </c>
    </row>
    <row r="77" spans="1:10" ht="15" customHeight="1" x14ac:dyDescent="0.35">
      <c r="A77" s="6">
        <v>20</v>
      </c>
      <c r="B77" s="4" t="s">
        <v>147</v>
      </c>
      <c r="C77" s="18" t="s">
        <v>148</v>
      </c>
      <c r="D77" s="266"/>
      <c r="E77" s="266"/>
      <c r="F77" s="1">
        <v>50</v>
      </c>
      <c r="G77" s="1">
        <v>50</v>
      </c>
      <c r="H77" s="5">
        <v>13200</v>
      </c>
      <c r="I77" s="26">
        <f t="shared" si="6"/>
        <v>8844</v>
      </c>
      <c r="J77" s="26">
        <f t="shared" si="7"/>
        <v>8667.119999999999</v>
      </c>
    </row>
    <row r="78" spans="1:10" ht="15" customHeight="1" x14ac:dyDescent="0.35">
      <c r="A78" s="4">
        <v>21</v>
      </c>
      <c r="B78" s="6" t="s">
        <v>149</v>
      </c>
      <c r="C78" s="14" t="s">
        <v>150</v>
      </c>
      <c r="D78" s="266"/>
      <c r="E78" s="266"/>
      <c r="F78" s="1">
        <v>65</v>
      </c>
      <c r="G78" s="1">
        <v>50</v>
      </c>
      <c r="H78" s="8">
        <v>13300</v>
      </c>
      <c r="I78" s="26">
        <f t="shared" si="6"/>
        <v>8911</v>
      </c>
      <c r="J78" s="26">
        <f t="shared" si="7"/>
        <v>8732.7800000000007</v>
      </c>
    </row>
    <row r="79" spans="1:10" ht="15" customHeight="1" x14ac:dyDescent="0.35">
      <c r="A79" s="6">
        <v>22</v>
      </c>
      <c r="B79" s="6" t="s">
        <v>151</v>
      </c>
      <c r="C79" s="14" t="s">
        <v>152</v>
      </c>
      <c r="D79" s="266"/>
      <c r="E79" s="266"/>
      <c r="F79" s="1">
        <v>65</v>
      </c>
      <c r="G79" s="1">
        <v>50</v>
      </c>
      <c r="H79" s="5">
        <v>13500</v>
      </c>
      <c r="I79" s="26">
        <f t="shared" si="6"/>
        <v>9045</v>
      </c>
      <c r="J79" s="26">
        <f t="shared" si="7"/>
        <v>8864.1</v>
      </c>
    </row>
    <row r="80" spans="1:10" ht="15" customHeight="1" x14ac:dyDescent="0.35">
      <c r="A80" s="6">
        <v>23</v>
      </c>
      <c r="B80" s="4" t="s">
        <v>153</v>
      </c>
      <c r="C80" s="18" t="s">
        <v>154</v>
      </c>
      <c r="D80" s="266"/>
      <c r="E80" s="266"/>
      <c r="F80" s="1">
        <v>65</v>
      </c>
      <c r="G80" s="1">
        <v>50</v>
      </c>
      <c r="H80" s="5">
        <v>13340</v>
      </c>
      <c r="I80" s="26">
        <f t="shared" si="6"/>
        <v>8937.8000000000011</v>
      </c>
      <c r="J80" s="26">
        <f t="shared" si="7"/>
        <v>8759.0440000000017</v>
      </c>
    </row>
    <row r="81" spans="1:10" ht="15" customHeight="1" x14ac:dyDescent="0.35">
      <c r="A81" s="4">
        <v>24</v>
      </c>
      <c r="B81" s="6"/>
      <c r="C81" s="14" t="s">
        <v>155</v>
      </c>
      <c r="D81" s="266"/>
      <c r="E81" s="266"/>
      <c r="F81" s="1">
        <v>65</v>
      </c>
      <c r="G81" s="1">
        <v>50</v>
      </c>
      <c r="H81" s="8">
        <v>13300</v>
      </c>
      <c r="I81" s="26">
        <f t="shared" si="6"/>
        <v>8911</v>
      </c>
      <c r="J81" s="26">
        <f t="shared" si="7"/>
        <v>8732.7800000000007</v>
      </c>
    </row>
    <row r="82" spans="1:10" ht="15" customHeight="1" x14ac:dyDescent="0.35">
      <c r="A82" s="6">
        <v>25</v>
      </c>
      <c r="B82" s="4" t="s">
        <v>156</v>
      </c>
      <c r="C82" s="18" t="s">
        <v>157</v>
      </c>
      <c r="D82" s="266"/>
      <c r="E82" s="266"/>
      <c r="F82" s="1">
        <v>75</v>
      </c>
      <c r="G82" s="1">
        <v>75</v>
      </c>
      <c r="H82" s="5">
        <v>13600</v>
      </c>
      <c r="I82" s="26">
        <f t="shared" si="6"/>
        <v>9112</v>
      </c>
      <c r="J82" s="26">
        <f t="shared" si="7"/>
        <v>8929.76</v>
      </c>
    </row>
    <row r="83" spans="1:10" ht="15" customHeight="1" x14ac:dyDescent="0.35">
      <c r="A83" s="6">
        <v>26</v>
      </c>
      <c r="B83" s="6" t="s">
        <v>158</v>
      </c>
      <c r="C83" s="14" t="s">
        <v>159</v>
      </c>
      <c r="D83" s="266"/>
      <c r="E83" s="266"/>
      <c r="F83" s="1">
        <v>75</v>
      </c>
      <c r="G83" s="1">
        <v>75</v>
      </c>
      <c r="H83" s="8">
        <v>13450</v>
      </c>
      <c r="I83" s="26">
        <f t="shared" si="6"/>
        <v>9011.5</v>
      </c>
      <c r="J83" s="26">
        <f t="shared" si="7"/>
        <v>8831.27</v>
      </c>
    </row>
    <row r="84" spans="1:10" ht="15" customHeight="1" x14ac:dyDescent="0.35">
      <c r="A84" s="4">
        <v>27</v>
      </c>
      <c r="B84" s="6" t="s">
        <v>160</v>
      </c>
      <c r="C84" s="14" t="s">
        <v>161</v>
      </c>
      <c r="D84" s="266"/>
      <c r="E84" s="266"/>
      <c r="F84" s="1">
        <v>75</v>
      </c>
      <c r="G84" s="1">
        <v>75</v>
      </c>
      <c r="H84" s="5">
        <v>13800</v>
      </c>
      <c r="I84" s="26">
        <f t="shared" si="6"/>
        <v>9246</v>
      </c>
      <c r="J84" s="26">
        <f t="shared" si="7"/>
        <v>9061.08</v>
      </c>
    </row>
    <row r="85" spans="1:10" ht="15" customHeight="1" x14ac:dyDescent="0.35">
      <c r="A85" s="6">
        <v>28</v>
      </c>
      <c r="B85" s="6" t="s">
        <v>162</v>
      </c>
      <c r="C85" s="14" t="s">
        <v>163</v>
      </c>
      <c r="D85" s="266"/>
      <c r="E85" s="266"/>
      <c r="F85" s="1">
        <v>75</v>
      </c>
      <c r="G85" s="1">
        <v>75</v>
      </c>
      <c r="H85" s="5">
        <v>14000</v>
      </c>
      <c r="I85" s="26">
        <f t="shared" si="6"/>
        <v>9380</v>
      </c>
      <c r="J85" s="26">
        <f t="shared" si="7"/>
        <v>9192.4</v>
      </c>
    </row>
    <row r="86" spans="1:10" ht="15" customHeight="1" x14ac:dyDescent="0.35">
      <c r="A86" s="6">
        <v>29</v>
      </c>
      <c r="B86" s="6" t="s">
        <v>164</v>
      </c>
      <c r="C86" s="14" t="s">
        <v>165</v>
      </c>
      <c r="D86" s="266"/>
      <c r="E86" s="266"/>
      <c r="F86" s="1">
        <v>75</v>
      </c>
      <c r="G86" s="1">
        <v>75</v>
      </c>
      <c r="H86" s="5">
        <v>14500</v>
      </c>
      <c r="I86" s="26">
        <f t="shared" si="6"/>
        <v>9715</v>
      </c>
      <c r="J86" s="26">
        <f t="shared" si="7"/>
        <v>9520.7000000000007</v>
      </c>
    </row>
    <row r="87" spans="1:10" ht="15" customHeight="1" x14ac:dyDescent="0.35">
      <c r="A87" s="4">
        <v>30</v>
      </c>
      <c r="B87" s="4" t="s">
        <v>166</v>
      </c>
      <c r="C87" s="18" t="s">
        <v>167</v>
      </c>
      <c r="D87" s="266"/>
      <c r="E87" s="266"/>
      <c r="F87" s="1">
        <v>75</v>
      </c>
      <c r="G87" s="1">
        <v>75</v>
      </c>
      <c r="H87" s="5">
        <v>13550</v>
      </c>
      <c r="I87" s="26">
        <f t="shared" si="6"/>
        <v>9078.5</v>
      </c>
      <c r="J87" s="26">
        <f t="shared" si="7"/>
        <v>8896.93</v>
      </c>
    </row>
    <row r="88" spans="1:10" ht="15" customHeight="1" x14ac:dyDescent="0.35">
      <c r="A88" s="6">
        <v>31</v>
      </c>
      <c r="B88" s="6" t="s">
        <v>168</v>
      </c>
      <c r="C88" s="14" t="s">
        <v>169</v>
      </c>
      <c r="D88" s="266"/>
      <c r="E88" s="266"/>
      <c r="F88" s="1">
        <v>75</v>
      </c>
      <c r="G88" s="1">
        <v>65</v>
      </c>
      <c r="H88" s="8">
        <v>13450</v>
      </c>
      <c r="I88" s="26">
        <f t="shared" si="6"/>
        <v>9011.5</v>
      </c>
      <c r="J88" s="26">
        <f t="shared" si="7"/>
        <v>8831.27</v>
      </c>
    </row>
    <row r="89" spans="1:10" ht="15" customHeight="1" x14ac:dyDescent="0.35">
      <c r="A89" s="6">
        <v>32</v>
      </c>
      <c r="B89" s="6" t="s">
        <v>170</v>
      </c>
      <c r="C89" s="14" t="s">
        <v>171</v>
      </c>
      <c r="D89" s="266"/>
      <c r="E89" s="266"/>
      <c r="F89" s="1">
        <v>75</v>
      </c>
      <c r="G89" s="1">
        <v>65</v>
      </c>
      <c r="H89" s="5">
        <v>13740</v>
      </c>
      <c r="I89" s="26">
        <f t="shared" si="6"/>
        <v>9205.8000000000011</v>
      </c>
      <c r="J89" s="26">
        <f t="shared" si="7"/>
        <v>9021.6840000000011</v>
      </c>
    </row>
    <row r="90" spans="1:10" ht="15" customHeight="1" x14ac:dyDescent="0.35">
      <c r="A90" s="4">
        <v>33</v>
      </c>
      <c r="B90" s="4"/>
      <c r="C90" s="19" t="s">
        <v>172</v>
      </c>
      <c r="D90" s="266"/>
      <c r="E90" s="266"/>
      <c r="F90" s="1">
        <v>100</v>
      </c>
      <c r="G90" s="1">
        <v>100</v>
      </c>
      <c r="H90" s="8">
        <v>15000</v>
      </c>
      <c r="I90" s="26">
        <f t="shared" si="6"/>
        <v>10050</v>
      </c>
      <c r="J90" s="26">
        <f t="shared" si="7"/>
        <v>9849</v>
      </c>
    </row>
    <row r="91" spans="1:10" ht="15" customHeight="1" x14ac:dyDescent="0.35">
      <c r="A91" s="6">
        <v>34</v>
      </c>
      <c r="B91" s="4"/>
      <c r="C91" s="18" t="s">
        <v>173</v>
      </c>
      <c r="D91" s="263"/>
      <c r="E91" s="263"/>
      <c r="F91" s="1">
        <v>100</v>
      </c>
      <c r="G91" s="1">
        <v>100</v>
      </c>
      <c r="H91" s="5">
        <v>15200</v>
      </c>
      <c r="I91" s="26">
        <f t="shared" si="6"/>
        <v>10184</v>
      </c>
      <c r="J91" s="26">
        <f t="shared" si="7"/>
        <v>9980.32</v>
      </c>
    </row>
    <row r="92" spans="1:10" ht="15" customHeight="1" x14ac:dyDescent="0.35">
      <c r="A92" s="6">
        <v>35</v>
      </c>
      <c r="B92" s="4"/>
      <c r="C92" s="19" t="s">
        <v>174</v>
      </c>
      <c r="D92" s="262">
        <v>3</v>
      </c>
      <c r="E92" s="262">
        <v>2.25</v>
      </c>
      <c r="F92" s="1">
        <v>50</v>
      </c>
      <c r="G92" s="1">
        <v>40</v>
      </c>
      <c r="H92" s="8">
        <v>18000</v>
      </c>
      <c r="I92" s="26">
        <f t="shared" si="6"/>
        <v>12060</v>
      </c>
      <c r="J92" s="26">
        <f t="shared" si="7"/>
        <v>11818.8</v>
      </c>
    </row>
    <row r="93" spans="1:10" ht="15" customHeight="1" x14ac:dyDescent="0.35">
      <c r="A93" s="4">
        <v>36</v>
      </c>
      <c r="B93" s="4" t="s">
        <v>175</v>
      </c>
      <c r="C93" s="18" t="s">
        <v>176</v>
      </c>
      <c r="D93" s="266"/>
      <c r="E93" s="266"/>
      <c r="F93" s="1">
        <v>50</v>
      </c>
      <c r="G93" s="1">
        <v>40</v>
      </c>
      <c r="H93" s="5">
        <v>18560</v>
      </c>
      <c r="I93" s="26">
        <f t="shared" si="6"/>
        <v>12435.2</v>
      </c>
      <c r="J93" s="26">
        <f t="shared" si="7"/>
        <v>12186.496000000001</v>
      </c>
    </row>
    <row r="94" spans="1:10" ht="15" customHeight="1" x14ac:dyDescent="0.35">
      <c r="A94" s="6">
        <v>37</v>
      </c>
      <c r="B94" s="4" t="s">
        <v>177</v>
      </c>
      <c r="C94" s="19" t="s">
        <v>178</v>
      </c>
      <c r="D94" s="266"/>
      <c r="E94" s="266"/>
      <c r="F94" s="1">
        <v>50</v>
      </c>
      <c r="G94" s="1">
        <v>50</v>
      </c>
      <c r="H94" s="8">
        <v>18250</v>
      </c>
      <c r="I94" s="26">
        <f t="shared" si="6"/>
        <v>12227.5</v>
      </c>
      <c r="J94" s="26">
        <f t="shared" si="7"/>
        <v>11982.949999999999</v>
      </c>
    </row>
    <row r="95" spans="1:10" ht="15" customHeight="1" x14ac:dyDescent="0.35">
      <c r="A95" s="6">
        <v>38</v>
      </c>
      <c r="B95" s="4" t="s">
        <v>179</v>
      </c>
      <c r="C95" s="18" t="s">
        <v>180</v>
      </c>
      <c r="D95" s="266"/>
      <c r="E95" s="266"/>
      <c r="F95" s="1">
        <v>50</v>
      </c>
      <c r="G95" s="1">
        <v>50</v>
      </c>
      <c r="H95" s="5">
        <v>18670</v>
      </c>
      <c r="I95" s="26">
        <f t="shared" si="6"/>
        <v>12508.900000000001</v>
      </c>
      <c r="J95" s="26">
        <f t="shared" si="7"/>
        <v>12258.722000000002</v>
      </c>
    </row>
    <row r="96" spans="1:10" ht="15" customHeight="1" x14ac:dyDescent="0.35">
      <c r="A96" s="4">
        <v>39</v>
      </c>
      <c r="B96" s="6" t="s">
        <v>181</v>
      </c>
      <c r="C96" s="14" t="s">
        <v>182</v>
      </c>
      <c r="D96" s="266"/>
      <c r="E96" s="266"/>
      <c r="F96" s="1">
        <v>65</v>
      </c>
      <c r="G96" s="1">
        <v>50</v>
      </c>
      <c r="H96" s="8">
        <v>18100</v>
      </c>
      <c r="I96" s="26">
        <f t="shared" si="6"/>
        <v>12127</v>
      </c>
      <c r="J96" s="26">
        <f t="shared" si="7"/>
        <v>11884.46</v>
      </c>
    </row>
    <row r="97" spans="1:10" ht="15" customHeight="1" x14ac:dyDescent="0.35">
      <c r="A97" s="6">
        <v>40</v>
      </c>
      <c r="B97" s="6" t="s">
        <v>183</v>
      </c>
      <c r="C97" s="14" t="s">
        <v>184</v>
      </c>
      <c r="D97" s="266"/>
      <c r="E97" s="266"/>
      <c r="F97" s="1">
        <v>65</v>
      </c>
      <c r="G97" s="1">
        <v>50</v>
      </c>
      <c r="H97" s="5">
        <v>18770</v>
      </c>
      <c r="I97" s="26">
        <f t="shared" si="6"/>
        <v>12575.900000000001</v>
      </c>
      <c r="J97" s="26">
        <f t="shared" si="7"/>
        <v>12324.382000000001</v>
      </c>
    </row>
    <row r="98" spans="1:10" ht="15" customHeight="1" x14ac:dyDescent="0.35">
      <c r="A98" s="6">
        <v>41</v>
      </c>
      <c r="B98" s="6" t="s">
        <v>185</v>
      </c>
      <c r="C98" s="14" t="s">
        <v>186</v>
      </c>
      <c r="D98" s="266"/>
      <c r="E98" s="266"/>
      <c r="F98" s="1">
        <v>75</v>
      </c>
      <c r="G98" s="1">
        <v>75</v>
      </c>
      <c r="H98" s="8">
        <v>18020</v>
      </c>
      <c r="I98" s="26">
        <f t="shared" si="6"/>
        <v>12073.400000000001</v>
      </c>
      <c r="J98" s="26">
        <f t="shared" si="7"/>
        <v>11831.932000000001</v>
      </c>
    </row>
    <row r="99" spans="1:10" ht="15" customHeight="1" x14ac:dyDescent="0.35">
      <c r="A99" s="4">
        <v>42</v>
      </c>
      <c r="B99" s="6" t="s">
        <v>187</v>
      </c>
      <c r="C99" s="14" t="s">
        <v>188</v>
      </c>
      <c r="D99" s="266"/>
      <c r="E99" s="266"/>
      <c r="F99" s="1">
        <v>75</v>
      </c>
      <c r="G99" s="1">
        <v>75</v>
      </c>
      <c r="H99" s="5">
        <v>18680</v>
      </c>
      <c r="I99" s="26">
        <f t="shared" si="6"/>
        <v>12515.6</v>
      </c>
      <c r="J99" s="26">
        <f t="shared" si="7"/>
        <v>12265.288</v>
      </c>
    </row>
    <row r="100" spans="1:10" ht="15" customHeight="1" x14ac:dyDescent="0.35">
      <c r="A100" s="6">
        <v>43</v>
      </c>
      <c r="B100" s="6" t="s">
        <v>189</v>
      </c>
      <c r="C100" s="14" t="s">
        <v>190</v>
      </c>
      <c r="D100" s="266"/>
      <c r="E100" s="266"/>
      <c r="F100" s="1">
        <v>100</v>
      </c>
      <c r="G100" s="1">
        <v>100</v>
      </c>
      <c r="H100" s="8">
        <v>19100</v>
      </c>
      <c r="I100" s="26">
        <f t="shared" si="6"/>
        <v>12797</v>
      </c>
      <c r="J100" s="26">
        <f t="shared" si="7"/>
        <v>12541.06</v>
      </c>
    </row>
    <row r="101" spans="1:10" ht="15" customHeight="1" x14ac:dyDescent="0.35">
      <c r="A101" s="6">
        <v>44</v>
      </c>
      <c r="B101" s="6" t="s">
        <v>191</v>
      </c>
      <c r="C101" s="14" t="s">
        <v>192</v>
      </c>
      <c r="D101" s="266"/>
      <c r="E101" s="266"/>
      <c r="F101" s="1">
        <v>100</v>
      </c>
      <c r="G101" s="1">
        <v>100</v>
      </c>
      <c r="H101" s="5">
        <v>19500</v>
      </c>
      <c r="I101" s="26">
        <f t="shared" si="6"/>
        <v>13065</v>
      </c>
      <c r="J101" s="26">
        <f t="shared" si="7"/>
        <v>12803.699999999999</v>
      </c>
    </row>
    <row r="102" spans="1:10" ht="15" customHeight="1" x14ac:dyDescent="0.35">
      <c r="A102" s="4">
        <v>45</v>
      </c>
      <c r="B102" s="6" t="s">
        <v>193</v>
      </c>
      <c r="C102" s="14" t="s">
        <v>194</v>
      </c>
      <c r="D102" s="266"/>
      <c r="E102" s="266"/>
      <c r="F102" s="1">
        <v>100</v>
      </c>
      <c r="G102" s="1">
        <v>100</v>
      </c>
      <c r="H102" s="5">
        <v>14800</v>
      </c>
      <c r="I102" s="26">
        <f t="shared" si="6"/>
        <v>9916</v>
      </c>
      <c r="J102" s="26">
        <f t="shared" si="7"/>
        <v>9717.68</v>
      </c>
    </row>
    <row r="103" spans="1:10" ht="15" customHeight="1" x14ac:dyDescent="0.35">
      <c r="A103" s="6">
        <v>46</v>
      </c>
      <c r="B103" s="4" t="s">
        <v>195</v>
      </c>
      <c r="C103" s="18" t="s">
        <v>196</v>
      </c>
      <c r="D103" s="263"/>
      <c r="E103" s="263"/>
      <c r="F103" s="1">
        <v>100</v>
      </c>
      <c r="G103" s="1">
        <v>100</v>
      </c>
      <c r="H103" s="5">
        <v>15000</v>
      </c>
      <c r="I103" s="26">
        <f t="shared" si="6"/>
        <v>10050</v>
      </c>
      <c r="J103" s="26">
        <f t="shared" si="7"/>
        <v>9849</v>
      </c>
    </row>
    <row r="104" spans="1:10" ht="15" customHeight="1" x14ac:dyDescent="0.35">
      <c r="A104" s="6">
        <v>47</v>
      </c>
      <c r="B104" s="6" t="s">
        <v>197</v>
      </c>
      <c r="C104" s="14" t="s">
        <v>198</v>
      </c>
      <c r="D104" s="262">
        <v>5</v>
      </c>
      <c r="E104" s="262">
        <v>3.75</v>
      </c>
      <c r="F104" s="1">
        <v>80</v>
      </c>
      <c r="G104" s="1">
        <v>65</v>
      </c>
      <c r="H104" s="5">
        <v>24600</v>
      </c>
      <c r="I104" s="26">
        <f t="shared" si="6"/>
        <v>16482</v>
      </c>
      <c r="J104" s="26">
        <f t="shared" si="7"/>
        <v>16152.36</v>
      </c>
    </row>
    <row r="105" spans="1:10" ht="15" customHeight="1" x14ac:dyDescent="0.35">
      <c r="A105" s="4">
        <v>48</v>
      </c>
      <c r="B105" s="4"/>
      <c r="C105" s="20" t="s">
        <v>199</v>
      </c>
      <c r="D105" s="266"/>
      <c r="E105" s="266"/>
      <c r="F105" s="1">
        <v>80</v>
      </c>
      <c r="G105" s="1">
        <v>65</v>
      </c>
      <c r="H105" s="5">
        <v>26000</v>
      </c>
      <c r="I105" s="26">
        <f t="shared" si="6"/>
        <v>17420</v>
      </c>
      <c r="J105" s="26">
        <f t="shared" si="7"/>
        <v>17071.599999999999</v>
      </c>
    </row>
    <row r="106" spans="1:10" ht="15" customHeight="1" x14ac:dyDescent="0.35">
      <c r="A106" s="6">
        <v>49</v>
      </c>
      <c r="B106" s="6" t="s">
        <v>200</v>
      </c>
      <c r="C106" s="20" t="s">
        <v>201</v>
      </c>
      <c r="D106" s="263"/>
      <c r="E106" s="263"/>
      <c r="F106" s="1">
        <v>80</v>
      </c>
      <c r="G106" s="1">
        <v>65</v>
      </c>
      <c r="H106" s="5">
        <v>23600</v>
      </c>
      <c r="I106" s="26">
        <f t="shared" si="6"/>
        <v>15812.000000000002</v>
      </c>
      <c r="J106" s="26">
        <f t="shared" si="7"/>
        <v>15495.760000000002</v>
      </c>
    </row>
    <row r="107" spans="1:10" ht="15" customHeight="1" x14ac:dyDescent="0.35">
      <c r="A107" s="6">
        <v>50</v>
      </c>
      <c r="B107" s="4" t="s">
        <v>202</v>
      </c>
      <c r="C107" s="18" t="s">
        <v>203</v>
      </c>
      <c r="D107" s="7">
        <v>0.75</v>
      </c>
      <c r="E107" s="7">
        <v>0.56000000000000005</v>
      </c>
      <c r="F107" s="2">
        <v>25</v>
      </c>
      <c r="G107" s="2">
        <v>25</v>
      </c>
      <c r="H107" s="5">
        <v>5170</v>
      </c>
      <c r="I107" s="26">
        <f t="shared" si="6"/>
        <v>3463.9</v>
      </c>
      <c r="J107" s="26">
        <f t="shared" si="7"/>
        <v>3394.6219999999998</v>
      </c>
    </row>
    <row r="108" spans="1:10" ht="15" customHeight="1" x14ac:dyDescent="0.35">
      <c r="A108" s="4">
        <v>51</v>
      </c>
      <c r="B108" s="4" t="s">
        <v>204</v>
      </c>
      <c r="C108" s="18" t="s">
        <v>205</v>
      </c>
      <c r="D108" s="262">
        <v>1</v>
      </c>
      <c r="E108" s="262">
        <v>0.75</v>
      </c>
      <c r="F108" s="1">
        <v>40</v>
      </c>
      <c r="G108" s="1">
        <v>40</v>
      </c>
      <c r="H108" s="5">
        <v>9000</v>
      </c>
      <c r="I108" s="26">
        <f t="shared" si="6"/>
        <v>6030</v>
      </c>
      <c r="J108" s="26">
        <f t="shared" si="7"/>
        <v>5909.4</v>
      </c>
    </row>
    <row r="109" spans="1:10" ht="15" customHeight="1" x14ac:dyDescent="0.35">
      <c r="A109" s="6">
        <v>52</v>
      </c>
      <c r="B109" s="4"/>
      <c r="C109" s="18" t="s">
        <v>206</v>
      </c>
      <c r="D109" s="263"/>
      <c r="E109" s="263"/>
      <c r="F109" s="1">
        <v>40</v>
      </c>
      <c r="G109" s="1">
        <v>40</v>
      </c>
      <c r="H109" s="5">
        <v>9000</v>
      </c>
      <c r="I109" s="26">
        <f t="shared" si="6"/>
        <v>6030</v>
      </c>
      <c r="J109" s="26">
        <f t="shared" si="7"/>
        <v>5909.4</v>
      </c>
    </row>
    <row r="110" spans="1:10" ht="15" customHeight="1" x14ac:dyDescent="0.35">
      <c r="A110" s="6">
        <v>53</v>
      </c>
      <c r="B110" s="4"/>
      <c r="C110" s="20" t="s">
        <v>207</v>
      </c>
      <c r="D110" s="262">
        <v>2</v>
      </c>
      <c r="E110" s="262">
        <v>1.5</v>
      </c>
      <c r="F110" s="1">
        <v>75</v>
      </c>
      <c r="G110" s="1">
        <v>75</v>
      </c>
      <c r="H110" s="5">
        <v>12500</v>
      </c>
      <c r="I110" s="26">
        <f t="shared" si="6"/>
        <v>8375</v>
      </c>
      <c r="J110" s="26">
        <f t="shared" si="7"/>
        <v>8207.5</v>
      </c>
    </row>
    <row r="111" spans="1:10" ht="15" customHeight="1" x14ac:dyDescent="0.35">
      <c r="A111" s="4">
        <v>54</v>
      </c>
      <c r="B111" s="4" t="s">
        <v>208</v>
      </c>
      <c r="C111" s="20" t="s">
        <v>209</v>
      </c>
      <c r="D111" s="266"/>
      <c r="E111" s="266"/>
      <c r="F111" s="1">
        <v>75</v>
      </c>
      <c r="G111" s="1">
        <v>75</v>
      </c>
      <c r="H111" s="5">
        <v>12500</v>
      </c>
      <c r="I111" s="26">
        <f t="shared" si="6"/>
        <v>8375</v>
      </c>
      <c r="J111" s="26">
        <f t="shared" si="7"/>
        <v>8207.5</v>
      </c>
    </row>
    <row r="112" spans="1:10" ht="15" customHeight="1" x14ac:dyDescent="0.35">
      <c r="A112" s="6">
        <v>55</v>
      </c>
      <c r="B112" s="4" t="s">
        <v>210</v>
      </c>
      <c r="C112" s="20" t="s">
        <v>211</v>
      </c>
      <c r="D112" s="266"/>
      <c r="E112" s="266"/>
      <c r="F112" s="1">
        <v>65</v>
      </c>
      <c r="G112" s="1">
        <v>50</v>
      </c>
      <c r="H112" s="5">
        <v>12200</v>
      </c>
      <c r="I112" s="26">
        <f t="shared" si="6"/>
        <v>8174.0000000000009</v>
      </c>
      <c r="J112" s="26">
        <f t="shared" si="7"/>
        <v>8010.52</v>
      </c>
    </row>
    <row r="113" spans="1:10" ht="15" customHeight="1" x14ac:dyDescent="0.35">
      <c r="A113" s="6">
        <v>56</v>
      </c>
      <c r="B113" s="4" t="s">
        <v>212</v>
      </c>
      <c r="C113" s="20" t="s">
        <v>213</v>
      </c>
      <c r="D113" s="263"/>
      <c r="E113" s="263"/>
      <c r="F113" s="1">
        <v>50</v>
      </c>
      <c r="G113" s="1">
        <v>50</v>
      </c>
      <c r="H113" s="5">
        <v>12200</v>
      </c>
      <c r="I113" s="26">
        <f t="shared" si="6"/>
        <v>8174.0000000000009</v>
      </c>
      <c r="J113" s="26">
        <f t="shared" si="7"/>
        <v>8010.52</v>
      </c>
    </row>
    <row r="114" spans="1:10" ht="15" customHeight="1" x14ac:dyDescent="0.35">
      <c r="A114" s="300" t="s">
        <v>214</v>
      </c>
      <c r="B114" s="300"/>
      <c r="C114" s="300"/>
      <c r="D114" s="300"/>
      <c r="E114" s="300"/>
      <c r="F114" s="300"/>
      <c r="G114" s="300"/>
      <c r="H114" s="207" t="s">
        <v>109</v>
      </c>
      <c r="I114" s="315" t="s">
        <v>334</v>
      </c>
      <c r="J114" s="315"/>
    </row>
    <row r="115" spans="1:10" ht="15" customHeight="1" x14ac:dyDescent="0.35">
      <c r="A115" s="207" t="s">
        <v>2</v>
      </c>
      <c r="B115" s="287" t="s">
        <v>3</v>
      </c>
      <c r="C115" s="298" t="s">
        <v>4</v>
      </c>
      <c r="D115" s="287" t="s">
        <v>5</v>
      </c>
      <c r="E115" s="287"/>
      <c r="F115" s="287" t="s">
        <v>6</v>
      </c>
      <c r="G115" s="287"/>
      <c r="H115" s="259"/>
      <c r="I115" s="341">
        <v>0.33</v>
      </c>
      <c r="J115" s="341">
        <v>0.02</v>
      </c>
    </row>
    <row r="116" spans="1:10" ht="15" customHeight="1" x14ac:dyDescent="0.35">
      <c r="A116" s="208"/>
      <c r="B116" s="287"/>
      <c r="C116" s="298"/>
      <c r="D116" s="11" t="s">
        <v>9</v>
      </c>
      <c r="E116" s="11" t="s">
        <v>10</v>
      </c>
      <c r="F116" s="11" t="s">
        <v>11</v>
      </c>
      <c r="G116" s="11" t="s">
        <v>12</v>
      </c>
      <c r="H116" s="208"/>
      <c r="I116" s="341"/>
      <c r="J116" s="341"/>
    </row>
    <row r="117" spans="1:10" ht="15" customHeight="1" x14ac:dyDescent="0.35">
      <c r="A117" s="4">
        <v>1</v>
      </c>
      <c r="B117" s="4" t="s">
        <v>215</v>
      </c>
      <c r="C117" s="12" t="s">
        <v>216</v>
      </c>
      <c r="D117" s="2">
        <v>0.5</v>
      </c>
      <c r="E117" s="2">
        <v>0.37</v>
      </c>
      <c r="F117" s="2">
        <v>25</v>
      </c>
      <c r="G117" s="2">
        <v>25</v>
      </c>
      <c r="H117" s="13">
        <v>5370</v>
      </c>
      <c r="I117" s="297">
        <f>H117*0.63</f>
        <v>3383.1</v>
      </c>
      <c r="J117" s="297"/>
    </row>
    <row r="118" spans="1:10" ht="15" customHeight="1" x14ac:dyDescent="0.35">
      <c r="A118" s="4">
        <v>2</v>
      </c>
      <c r="B118" s="4" t="s">
        <v>217</v>
      </c>
      <c r="C118" s="12" t="s">
        <v>218</v>
      </c>
      <c r="D118" s="2">
        <v>1</v>
      </c>
      <c r="E118" s="2">
        <v>0.75</v>
      </c>
      <c r="F118" s="2">
        <v>25</v>
      </c>
      <c r="G118" s="2">
        <v>25</v>
      </c>
      <c r="H118" s="13">
        <v>7070</v>
      </c>
      <c r="I118" s="320">
        <v>4793</v>
      </c>
      <c r="J118" s="320"/>
    </row>
    <row r="119" spans="1:10" ht="15" customHeight="1" x14ac:dyDescent="0.35">
      <c r="A119" s="4">
        <v>3</v>
      </c>
      <c r="B119" s="21" t="s">
        <v>219</v>
      </c>
      <c r="C119" s="22" t="s">
        <v>220</v>
      </c>
      <c r="D119" s="23">
        <v>2</v>
      </c>
      <c r="E119" s="4">
        <v>1.5</v>
      </c>
      <c r="F119" s="4">
        <v>50</v>
      </c>
      <c r="G119" s="4">
        <v>50</v>
      </c>
      <c r="H119" s="4">
        <v>12200</v>
      </c>
      <c r="I119" s="26">
        <f t="shared" ref="I119:I128" si="8">H119*0.67</f>
        <v>8174.0000000000009</v>
      </c>
      <c r="J119" s="26">
        <f t="shared" ref="J119:J128" si="9">I119*0.98</f>
        <v>8010.52</v>
      </c>
    </row>
    <row r="120" spans="1:10" ht="15" customHeight="1" x14ac:dyDescent="0.35">
      <c r="A120" s="4">
        <v>4</v>
      </c>
      <c r="B120" s="21" t="s">
        <v>221</v>
      </c>
      <c r="C120" s="22" t="s">
        <v>222</v>
      </c>
      <c r="D120" s="23">
        <v>2</v>
      </c>
      <c r="E120" s="4">
        <v>1.5</v>
      </c>
      <c r="F120" s="4">
        <v>50</v>
      </c>
      <c r="G120" s="4">
        <v>50</v>
      </c>
      <c r="H120" s="4">
        <v>12200</v>
      </c>
      <c r="I120" s="26">
        <f t="shared" si="8"/>
        <v>8174.0000000000009</v>
      </c>
      <c r="J120" s="26">
        <f t="shared" si="9"/>
        <v>8010.52</v>
      </c>
    </row>
    <row r="121" spans="1:10" ht="15" customHeight="1" x14ac:dyDescent="0.35">
      <c r="A121" s="4">
        <v>5</v>
      </c>
      <c r="B121" s="21" t="s">
        <v>223</v>
      </c>
      <c r="C121" s="22" t="s">
        <v>224</v>
      </c>
      <c r="D121" s="23">
        <v>2</v>
      </c>
      <c r="E121" s="4">
        <v>1.5</v>
      </c>
      <c r="F121" s="4">
        <v>65</v>
      </c>
      <c r="G121" s="4">
        <v>50</v>
      </c>
      <c r="H121" s="4">
        <v>12300</v>
      </c>
      <c r="I121" s="26">
        <f t="shared" si="8"/>
        <v>8241</v>
      </c>
      <c r="J121" s="26">
        <f t="shared" si="9"/>
        <v>8076.18</v>
      </c>
    </row>
    <row r="122" spans="1:10" ht="15" customHeight="1" x14ac:dyDescent="0.35">
      <c r="A122" s="4">
        <v>6</v>
      </c>
      <c r="B122" s="21" t="s">
        <v>225</v>
      </c>
      <c r="C122" s="22" t="s">
        <v>226</v>
      </c>
      <c r="D122" s="23">
        <v>2</v>
      </c>
      <c r="E122" s="4">
        <v>1.5</v>
      </c>
      <c r="F122" s="4">
        <v>65</v>
      </c>
      <c r="G122" s="4">
        <v>50</v>
      </c>
      <c r="H122" s="4">
        <v>12300</v>
      </c>
      <c r="I122" s="26">
        <f t="shared" si="8"/>
        <v>8241</v>
      </c>
      <c r="J122" s="26">
        <f t="shared" si="9"/>
        <v>8076.18</v>
      </c>
    </row>
    <row r="123" spans="1:10" ht="15" customHeight="1" x14ac:dyDescent="0.35">
      <c r="A123" s="4">
        <v>7</v>
      </c>
      <c r="B123" s="21" t="s">
        <v>227</v>
      </c>
      <c r="C123" s="22" t="s">
        <v>228</v>
      </c>
      <c r="D123" s="21">
        <v>3</v>
      </c>
      <c r="E123" s="4">
        <v>2.25</v>
      </c>
      <c r="F123" s="4">
        <v>65</v>
      </c>
      <c r="G123" s="4">
        <v>50</v>
      </c>
      <c r="H123" s="4">
        <v>12900</v>
      </c>
      <c r="I123" s="26">
        <f t="shared" si="8"/>
        <v>8643</v>
      </c>
      <c r="J123" s="26">
        <f t="shared" si="9"/>
        <v>8470.14</v>
      </c>
    </row>
    <row r="124" spans="1:10" ht="15" customHeight="1" x14ac:dyDescent="0.35">
      <c r="A124" s="4">
        <v>8</v>
      </c>
      <c r="B124" s="21" t="s">
        <v>229</v>
      </c>
      <c r="C124" s="24" t="s">
        <v>230</v>
      </c>
      <c r="D124" s="21">
        <v>3</v>
      </c>
      <c r="E124" s="4">
        <v>2.25</v>
      </c>
      <c r="F124" s="4">
        <v>65</v>
      </c>
      <c r="G124" s="4">
        <v>50</v>
      </c>
      <c r="H124" s="4">
        <v>13000</v>
      </c>
      <c r="I124" s="26">
        <f t="shared" si="8"/>
        <v>8710</v>
      </c>
      <c r="J124" s="26">
        <f t="shared" si="9"/>
        <v>8535.7999999999993</v>
      </c>
    </row>
    <row r="125" spans="1:10" ht="15" customHeight="1" x14ac:dyDescent="0.35">
      <c r="A125" s="4">
        <v>9</v>
      </c>
      <c r="B125" s="21" t="s">
        <v>231</v>
      </c>
      <c r="C125" s="24" t="s">
        <v>232</v>
      </c>
      <c r="D125" s="21">
        <v>3</v>
      </c>
      <c r="E125" s="4">
        <v>2.25</v>
      </c>
      <c r="F125" s="4">
        <v>65</v>
      </c>
      <c r="G125" s="4">
        <v>50</v>
      </c>
      <c r="H125" s="4">
        <v>12900</v>
      </c>
      <c r="I125" s="26">
        <f t="shared" si="8"/>
        <v>8643</v>
      </c>
      <c r="J125" s="26">
        <f t="shared" si="9"/>
        <v>8470.14</v>
      </c>
    </row>
    <row r="126" spans="1:10" ht="15" customHeight="1" x14ac:dyDescent="0.35">
      <c r="A126" s="4">
        <v>10</v>
      </c>
      <c r="B126" s="21" t="s">
        <v>233</v>
      </c>
      <c r="C126" s="24" t="s">
        <v>234</v>
      </c>
      <c r="D126" s="21">
        <v>3</v>
      </c>
      <c r="E126" s="4">
        <v>2.25</v>
      </c>
      <c r="F126" s="4">
        <v>65</v>
      </c>
      <c r="G126" s="4">
        <v>50</v>
      </c>
      <c r="H126" s="4">
        <v>19300</v>
      </c>
      <c r="I126" s="26">
        <f t="shared" si="8"/>
        <v>12931</v>
      </c>
      <c r="J126" s="26">
        <f t="shared" si="9"/>
        <v>12672.38</v>
      </c>
    </row>
    <row r="127" spans="1:10" ht="15" customHeight="1" x14ac:dyDescent="0.35">
      <c r="A127" s="4">
        <v>11</v>
      </c>
      <c r="B127" s="21" t="s">
        <v>235</v>
      </c>
      <c r="C127" s="24" t="s">
        <v>236</v>
      </c>
      <c r="D127" s="21">
        <v>5</v>
      </c>
      <c r="E127" s="1">
        <v>3.75</v>
      </c>
      <c r="F127" s="4">
        <v>65</v>
      </c>
      <c r="G127" s="4">
        <v>50</v>
      </c>
      <c r="H127" s="4">
        <v>18700</v>
      </c>
      <c r="I127" s="26">
        <f t="shared" si="8"/>
        <v>12529</v>
      </c>
      <c r="J127" s="26">
        <f t="shared" si="9"/>
        <v>12278.42</v>
      </c>
    </row>
    <row r="128" spans="1:10" ht="15" customHeight="1" x14ac:dyDescent="0.35">
      <c r="A128" s="4">
        <v>12</v>
      </c>
      <c r="B128" s="21" t="s">
        <v>237</v>
      </c>
      <c r="C128" s="24" t="s">
        <v>238</v>
      </c>
      <c r="D128" s="21">
        <v>5</v>
      </c>
      <c r="E128" s="1">
        <v>3.75</v>
      </c>
      <c r="F128" s="4">
        <v>65</v>
      </c>
      <c r="G128" s="4">
        <v>50</v>
      </c>
      <c r="H128" s="4">
        <v>22900</v>
      </c>
      <c r="I128" s="26">
        <f t="shared" si="8"/>
        <v>15343.000000000002</v>
      </c>
      <c r="J128" s="26">
        <f t="shared" si="9"/>
        <v>15036.140000000001</v>
      </c>
    </row>
    <row r="129" spans="1:10" ht="15" customHeight="1" x14ac:dyDescent="0.35">
      <c r="A129" s="300" t="s">
        <v>239</v>
      </c>
      <c r="B129" s="300"/>
      <c r="C129" s="300"/>
      <c r="D129" s="300"/>
      <c r="E129" s="300"/>
      <c r="F129" s="300"/>
      <c r="G129" s="300"/>
      <c r="H129" s="207" t="s">
        <v>109</v>
      </c>
      <c r="I129" s="315" t="s">
        <v>334</v>
      </c>
      <c r="J129" s="315"/>
    </row>
    <row r="130" spans="1:10" ht="15" customHeight="1" x14ac:dyDescent="0.35">
      <c r="A130" s="287" t="s">
        <v>2</v>
      </c>
      <c r="B130" s="287" t="s">
        <v>3</v>
      </c>
      <c r="C130" s="298" t="s">
        <v>4</v>
      </c>
      <c r="D130" s="287" t="s">
        <v>5</v>
      </c>
      <c r="E130" s="287"/>
      <c r="F130" s="272" t="s">
        <v>6</v>
      </c>
      <c r="G130" s="273"/>
      <c r="H130" s="259"/>
      <c r="I130" s="341">
        <v>0.33</v>
      </c>
      <c r="J130" s="341">
        <v>0.02</v>
      </c>
    </row>
    <row r="131" spans="1:10" ht="15" customHeight="1" x14ac:dyDescent="0.35">
      <c r="A131" s="287"/>
      <c r="B131" s="287"/>
      <c r="C131" s="298"/>
      <c r="D131" s="11" t="s">
        <v>9</v>
      </c>
      <c r="E131" s="11" t="s">
        <v>10</v>
      </c>
      <c r="F131" s="274"/>
      <c r="G131" s="275"/>
      <c r="H131" s="208"/>
      <c r="I131" s="341"/>
      <c r="J131" s="341"/>
    </row>
    <row r="132" spans="1:10" ht="15" customHeight="1" x14ac:dyDescent="0.35">
      <c r="A132" s="4">
        <v>1</v>
      </c>
      <c r="B132" s="4" t="s">
        <v>240</v>
      </c>
      <c r="C132" s="25" t="s">
        <v>241</v>
      </c>
      <c r="D132" s="4">
        <v>0.5</v>
      </c>
      <c r="E132" s="4"/>
      <c r="F132" s="292">
        <v>32</v>
      </c>
      <c r="G132" s="292"/>
      <c r="H132" s="4">
        <v>8240</v>
      </c>
      <c r="I132" s="26">
        <f t="shared" ref="I132:I154" si="10">H132*0.67</f>
        <v>5520.8</v>
      </c>
      <c r="J132" s="26">
        <f t="shared" ref="J132:J154" si="11">I132*0.98</f>
        <v>5410.384</v>
      </c>
    </row>
    <row r="133" spans="1:10" ht="15" customHeight="1" x14ac:dyDescent="0.35">
      <c r="A133" s="4">
        <v>2</v>
      </c>
      <c r="B133" s="4" t="s">
        <v>242</v>
      </c>
      <c r="C133" s="25" t="s">
        <v>243</v>
      </c>
      <c r="D133" s="4">
        <v>0.5</v>
      </c>
      <c r="E133" s="4"/>
      <c r="F133" s="292">
        <v>32</v>
      </c>
      <c r="G133" s="292"/>
      <c r="H133" s="4">
        <v>8450</v>
      </c>
      <c r="I133" s="26">
        <f t="shared" si="10"/>
        <v>5661.5</v>
      </c>
      <c r="J133" s="26">
        <f t="shared" si="11"/>
        <v>5548.2699999999995</v>
      </c>
    </row>
    <row r="134" spans="1:10" ht="15" customHeight="1" x14ac:dyDescent="0.35">
      <c r="A134" s="4">
        <v>3</v>
      </c>
      <c r="B134" s="4" t="s">
        <v>244</v>
      </c>
      <c r="C134" s="25" t="s">
        <v>245</v>
      </c>
      <c r="D134" s="4">
        <v>0.75</v>
      </c>
      <c r="E134" s="4"/>
      <c r="F134" s="292">
        <v>32</v>
      </c>
      <c r="G134" s="292"/>
      <c r="H134" s="4">
        <v>8550</v>
      </c>
      <c r="I134" s="26">
        <f t="shared" si="10"/>
        <v>5728.5</v>
      </c>
      <c r="J134" s="26">
        <f t="shared" si="11"/>
        <v>5613.93</v>
      </c>
    </row>
    <row r="135" spans="1:10" ht="15" customHeight="1" x14ac:dyDescent="0.35">
      <c r="A135" s="4">
        <v>4</v>
      </c>
      <c r="B135" s="4" t="s">
        <v>246</v>
      </c>
      <c r="C135" s="25" t="s">
        <v>247</v>
      </c>
      <c r="D135" s="4">
        <v>0.75</v>
      </c>
      <c r="E135" s="4"/>
      <c r="F135" s="292">
        <v>32</v>
      </c>
      <c r="G135" s="292"/>
      <c r="H135" s="4">
        <v>8750</v>
      </c>
      <c r="I135" s="26">
        <f t="shared" si="10"/>
        <v>5862.5</v>
      </c>
      <c r="J135" s="26">
        <f t="shared" si="11"/>
        <v>5745.25</v>
      </c>
    </row>
    <row r="136" spans="1:10" ht="15" customHeight="1" x14ac:dyDescent="0.35">
      <c r="A136" s="4">
        <v>5</v>
      </c>
      <c r="B136" s="4" t="s">
        <v>248</v>
      </c>
      <c r="C136" s="25" t="s">
        <v>249</v>
      </c>
      <c r="D136" s="4">
        <v>1</v>
      </c>
      <c r="E136" s="4"/>
      <c r="F136" s="292">
        <v>32</v>
      </c>
      <c r="G136" s="292"/>
      <c r="H136" s="26">
        <v>8800</v>
      </c>
      <c r="I136" s="26">
        <f t="shared" si="10"/>
        <v>5896</v>
      </c>
      <c r="J136" s="26">
        <f t="shared" si="11"/>
        <v>5778.08</v>
      </c>
    </row>
    <row r="137" spans="1:10" ht="15" customHeight="1" x14ac:dyDescent="0.35">
      <c r="A137" s="4">
        <v>6</v>
      </c>
      <c r="B137" s="4" t="s">
        <v>250</v>
      </c>
      <c r="C137" s="25" t="s">
        <v>251</v>
      </c>
      <c r="D137" s="4">
        <v>1</v>
      </c>
      <c r="E137" s="4"/>
      <c r="F137" s="292">
        <v>32</v>
      </c>
      <c r="G137" s="292"/>
      <c r="H137" s="26">
        <v>9000</v>
      </c>
      <c r="I137" s="26">
        <f t="shared" si="10"/>
        <v>6030</v>
      </c>
      <c r="J137" s="26">
        <f t="shared" si="11"/>
        <v>5909.4</v>
      </c>
    </row>
    <row r="138" spans="1:10" ht="15" customHeight="1" x14ac:dyDescent="0.35">
      <c r="A138" s="4">
        <v>7</v>
      </c>
      <c r="B138" s="4" t="s">
        <v>252</v>
      </c>
      <c r="C138" s="25" t="s">
        <v>253</v>
      </c>
      <c r="D138" s="4">
        <v>1</v>
      </c>
      <c r="E138" s="4"/>
      <c r="F138" s="292">
        <v>32</v>
      </c>
      <c r="G138" s="292"/>
      <c r="H138" s="4">
        <v>9480</v>
      </c>
      <c r="I138" s="26">
        <f t="shared" si="10"/>
        <v>6351.6</v>
      </c>
      <c r="J138" s="26">
        <f t="shared" si="11"/>
        <v>6224.5680000000002</v>
      </c>
    </row>
    <row r="139" spans="1:10" ht="15" customHeight="1" x14ac:dyDescent="0.35">
      <c r="A139" s="4">
        <v>8</v>
      </c>
      <c r="B139" s="4" t="s">
        <v>254</v>
      </c>
      <c r="C139" s="25" t="s">
        <v>255</v>
      </c>
      <c r="D139" s="4">
        <v>1</v>
      </c>
      <c r="E139" s="4"/>
      <c r="F139" s="292">
        <v>32</v>
      </c>
      <c r="G139" s="292"/>
      <c r="H139" s="4">
        <v>9790</v>
      </c>
      <c r="I139" s="26">
        <f t="shared" si="10"/>
        <v>6559.3</v>
      </c>
      <c r="J139" s="26">
        <f t="shared" si="11"/>
        <v>6428.1140000000005</v>
      </c>
    </row>
    <row r="140" spans="1:10" ht="15" customHeight="1" x14ac:dyDescent="0.35">
      <c r="A140" s="4">
        <v>9</v>
      </c>
      <c r="B140" s="4" t="s">
        <v>256</v>
      </c>
      <c r="C140" s="25" t="s">
        <v>257</v>
      </c>
      <c r="D140" s="4">
        <v>1.5</v>
      </c>
      <c r="E140" s="4"/>
      <c r="F140" s="292">
        <v>32</v>
      </c>
      <c r="G140" s="292"/>
      <c r="H140" s="4">
        <v>11330</v>
      </c>
      <c r="I140" s="26">
        <f t="shared" si="10"/>
        <v>7591.1</v>
      </c>
      <c r="J140" s="26">
        <f t="shared" si="11"/>
        <v>7439.2780000000002</v>
      </c>
    </row>
    <row r="141" spans="1:10" ht="15" customHeight="1" x14ac:dyDescent="0.35">
      <c r="A141" s="4">
        <v>10</v>
      </c>
      <c r="B141" s="4" t="s">
        <v>258</v>
      </c>
      <c r="C141" s="25" t="s">
        <v>259</v>
      </c>
      <c r="D141" s="4">
        <v>1.5</v>
      </c>
      <c r="E141" s="4"/>
      <c r="F141" s="292">
        <v>32</v>
      </c>
      <c r="G141" s="292"/>
      <c r="H141" s="4">
        <v>11640</v>
      </c>
      <c r="I141" s="26">
        <f t="shared" si="10"/>
        <v>7798.8</v>
      </c>
      <c r="J141" s="26">
        <f t="shared" si="11"/>
        <v>7642.8239999999996</v>
      </c>
    </row>
    <row r="142" spans="1:10" ht="15" customHeight="1" x14ac:dyDescent="0.35">
      <c r="A142" s="4">
        <v>11</v>
      </c>
      <c r="B142" s="4" t="s">
        <v>260</v>
      </c>
      <c r="C142" s="25" t="s">
        <v>261</v>
      </c>
      <c r="D142" s="4">
        <v>1.5</v>
      </c>
      <c r="E142" s="4"/>
      <c r="F142" s="292">
        <v>32</v>
      </c>
      <c r="G142" s="292"/>
      <c r="H142" s="4">
        <v>11800</v>
      </c>
      <c r="I142" s="26">
        <f t="shared" si="10"/>
        <v>7906.0000000000009</v>
      </c>
      <c r="J142" s="26">
        <f t="shared" si="11"/>
        <v>7747.880000000001</v>
      </c>
    </row>
    <row r="143" spans="1:10" ht="15" customHeight="1" x14ac:dyDescent="0.35">
      <c r="A143" s="4">
        <v>12</v>
      </c>
      <c r="B143" s="4" t="s">
        <v>262</v>
      </c>
      <c r="C143" s="25" t="s">
        <v>263</v>
      </c>
      <c r="D143" s="4">
        <v>1.5</v>
      </c>
      <c r="E143" s="4"/>
      <c r="F143" s="292">
        <v>32</v>
      </c>
      <c r="G143" s="292"/>
      <c r="H143" s="4">
        <v>12670</v>
      </c>
      <c r="I143" s="26">
        <f t="shared" si="10"/>
        <v>8488.9</v>
      </c>
      <c r="J143" s="26">
        <f t="shared" si="11"/>
        <v>8319.1219999999994</v>
      </c>
    </row>
    <row r="144" spans="1:10" ht="15" customHeight="1" x14ac:dyDescent="0.35">
      <c r="A144" s="4">
        <v>13</v>
      </c>
      <c r="B144" s="4" t="s">
        <v>264</v>
      </c>
      <c r="C144" s="25" t="s">
        <v>265</v>
      </c>
      <c r="D144" s="4">
        <v>2</v>
      </c>
      <c r="E144" s="4"/>
      <c r="F144" s="292">
        <v>40</v>
      </c>
      <c r="G144" s="292"/>
      <c r="H144" s="4">
        <v>14730</v>
      </c>
      <c r="I144" s="26">
        <f t="shared" si="10"/>
        <v>9869.1</v>
      </c>
      <c r="J144" s="26">
        <f t="shared" si="11"/>
        <v>9671.7180000000008</v>
      </c>
    </row>
    <row r="145" spans="1:10" ht="15" customHeight="1" x14ac:dyDescent="0.35">
      <c r="A145" s="4">
        <v>14</v>
      </c>
      <c r="B145" s="4" t="s">
        <v>266</v>
      </c>
      <c r="C145" s="25" t="s">
        <v>267</v>
      </c>
      <c r="D145" s="4">
        <v>2</v>
      </c>
      <c r="E145" s="4"/>
      <c r="F145" s="292">
        <v>32</v>
      </c>
      <c r="G145" s="292"/>
      <c r="H145" s="4">
        <v>15250</v>
      </c>
      <c r="I145" s="26">
        <f t="shared" si="10"/>
        <v>10217.5</v>
      </c>
      <c r="J145" s="26">
        <f t="shared" si="11"/>
        <v>10013.15</v>
      </c>
    </row>
    <row r="146" spans="1:10" ht="15" customHeight="1" x14ac:dyDescent="0.35">
      <c r="A146" s="4">
        <v>15</v>
      </c>
      <c r="B146" s="4" t="s">
        <v>268</v>
      </c>
      <c r="C146" s="25" t="s">
        <v>269</v>
      </c>
      <c r="D146" s="4">
        <v>2</v>
      </c>
      <c r="E146" s="4"/>
      <c r="F146" s="292">
        <v>32</v>
      </c>
      <c r="G146" s="292"/>
      <c r="H146" s="4">
        <v>15860</v>
      </c>
      <c r="I146" s="26">
        <f t="shared" si="10"/>
        <v>10626.2</v>
      </c>
      <c r="J146" s="26">
        <f t="shared" si="11"/>
        <v>10413.676000000001</v>
      </c>
    </row>
    <row r="147" spans="1:10" ht="15" customHeight="1" x14ac:dyDescent="0.35">
      <c r="A147" s="4">
        <v>16</v>
      </c>
      <c r="B147" s="4" t="s">
        <v>270</v>
      </c>
      <c r="C147" s="25" t="s">
        <v>271</v>
      </c>
      <c r="D147" s="4">
        <v>2</v>
      </c>
      <c r="E147" s="4"/>
      <c r="F147" s="292">
        <v>32</v>
      </c>
      <c r="G147" s="292"/>
      <c r="H147" s="4">
        <v>15970</v>
      </c>
      <c r="I147" s="26">
        <f t="shared" si="10"/>
        <v>10699.900000000001</v>
      </c>
      <c r="J147" s="26">
        <f t="shared" si="11"/>
        <v>10485.902000000002</v>
      </c>
    </row>
    <row r="148" spans="1:10" ht="15" customHeight="1" x14ac:dyDescent="0.35">
      <c r="A148" s="4">
        <v>17</v>
      </c>
      <c r="B148" s="4" t="s">
        <v>272</v>
      </c>
      <c r="C148" s="25" t="s">
        <v>273</v>
      </c>
      <c r="D148" s="4">
        <v>2</v>
      </c>
      <c r="E148" s="4"/>
      <c r="F148" s="292">
        <v>32</v>
      </c>
      <c r="G148" s="292"/>
      <c r="H148" s="4">
        <v>16480</v>
      </c>
      <c r="I148" s="26">
        <f t="shared" si="10"/>
        <v>11041.6</v>
      </c>
      <c r="J148" s="26">
        <f t="shared" si="11"/>
        <v>10820.768</v>
      </c>
    </row>
    <row r="149" spans="1:10" ht="15" customHeight="1" x14ac:dyDescent="0.35">
      <c r="A149" s="4">
        <v>18</v>
      </c>
      <c r="B149" s="4" t="s">
        <v>274</v>
      </c>
      <c r="C149" s="25" t="s">
        <v>275</v>
      </c>
      <c r="D149" s="4">
        <v>2</v>
      </c>
      <c r="E149" s="4"/>
      <c r="F149" s="292">
        <v>65</v>
      </c>
      <c r="G149" s="292"/>
      <c r="H149" s="4">
        <v>14940</v>
      </c>
      <c r="I149" s="26">
        <f t="shared" si="10"/>
        <v>10009.800000000001</v>
      </c>
      <c r="J149" s="26">
        <f t="shared" si="11"/>
        <v>9809.6040000000012</v>
      </c>
    </row>
    <row r="150" spans="1:10" ht="15" customHeight="1" x14ac:dyDescent="0.35">
      <c r="A150" s="4">
        <v>19</v>
      </c>
      <c r="B150" s="4" t="s">
        <v>276</v>
      </c>
      <c r="C150" s="25" t="s">
        <v>277</v>
      </c>
      <c r="D150" s="4">
        <v>3</v>
      </c>
      <c r="E150" s="4"/>
      <c r="F150" s="292">
        <v>32</v>
      </c>
      <c r="G150" s="292"/>
      <c r="H150" s="4">
        <v>23500</v>
      </c>
      <c r="I150" s="26">
        <f t="shared" si="10"/>
        <v>15745.000000000002</v>
      </c>
      <c r="J150" s="26">
        <f t="shared" si="11"/>
        <v>15430.100000000002</v>
      </c>
    </row>
    <row r="151" spans="1:10" ht="15" customHeight="1" x14ac:dyDescent="0.35">
      <c r="A151" s="4">
        <v>20</v>
      </c>
      <c r="B151" s="4" t="s">
        <v>278</v>
      </c>
      <c r="C151" s="25" t="s">
        <v>279</v>
      </c>
      <c r="D151" s="4">
        <v>3</v>
      </c>
      <c r="E151" s="4"/>
      <c r="F151" s="292">
        <v>32</v>
      </c>
      <c r="G151" s="292"/>
      <c r="H151" s="4">
        <v>24000</v>
      </c>
      <c r="I151" s="26">
        <f t="shared" si="10"/>
        <v>16080.000000000002</v>
      </c>
      <c r="J151" s="26">
        <f t="shared" si="11"/>
        <v>15758.400000000001</v>
      </c>
    </row>
    <row r="152" spans="1:10" ht="15" customHeight="1" x14ac:dyDescent="0.35">
      <c r="A152" s="4">
        <v>21</v>
      </c>
      <c r="B152" s="4" t="s">
        <v>280</v>
      </c>
      <c r="C152" s="25" t="s">
        <v>281</v>
      </c>
      <c r="D152" s="4">
        <v>3</v>
      </c>
      <c r="E152" s="4"/>
      <c r="F152" s="292">
        <v>32</v>
      </c>
      <c r="G152" s="292"/>
      <c r="H152" s="4">
        <v>24500</v>
      </c>
      <c r="I152" s="26">
        <f t="shared" si="10"/>
        <v>16415</v>
      </c>
      <c r="J152" s="26">
        <f t="shared" si="11"/>
        <v>16086.699999999999</v>
      </c>
    </row>
    <row r="153" spans="1:10" ht="15" customHeight="1" x14ac:dyDescent="0.35">
      <c r="A153" s="4">
        <v>22</v>
      </c>
      <c r="B153" s="4" t="s">
        <v>282</v>
      </c>
      <c r="C153" s="25" t="s">
        <v>283</v>
      </c>
      <c r="D153" s="4">
        <v>3</v>
      </c>
      <c r="E153" s="4"/>
      <c r="F153" s="292">
        <v>65</v>
      </c>
      <c r="G153" s="292"/>
      <c r="H153" s="4">
        <v>23690</v>
      </c>
      <c r="I153" s="26">
        <f t="shared" si="10"/>
        <v>15872.300000000001</v>
      </c>
      <c r="J153" s="26">
        <f t="shared" si="11"/>
        <v>15554.854000000001</v>
      </c>
    </row>
    <row r="154" spans="1:10" ht="15" customHeight="1" x14ac:dyDescent="0.35">
      <c r="A154" s="4">
        <v>23</v>
      </c>
      <c r="B154" s="4" t="s">
        <v>284</v>
      </c>
      <c r="C154" s="25" t="s">
        <v>283</v>
      </c>
      <c r="D154" s="4">
        <v>3</v>
      </c>
      <c r="E154" s="4"/>
      <c r="F154" s="292">
        <v>65</v>
      </c>
      <c r="G154" s="292"/>
      <c r="H154" s="4">
        <v>15450</v>
      </c>
      <c r="I154" s="26">
        <f t="shared" si="10"/>
        <v>10351.5</v>
      </c>
      <c r="J154" s="26">
        <f t="shared" si="11"/>
        <v>10144.469999999999</v>
      </c>
    </row>
    <row r="155" spans="1:10" ht="15" customHeight="1" x14ac:dyDescent="0.35">
      <c r="A155" s="300" t="s">
        <v>285</v>
      </c>
      <c r="B155" s="300"/>
      <c r="C155" s="300"/>
      <c r="D155" s="300"/>
      <c r="E155" s="300"/>
      <c r="F155" s="300"/>
      <c r="G155" s="300"/>
      <c r="H155" s="207" t="s">
        <v>109</v>
      </c>
      <c r="I155" s="315" t="s">
        <v>334</v>
      </c>
      <c r="J155" s="315"/>
    </row>
    <row r="156" spans="1:10" ht="15" customHeight="1" x14ac:dyDescent="0.35">
      <c r="A156" s="287" t="s">
        <v>2</v>
      </c>
      <c r="B156" s="287" t="s">
        <v>3</v>
      </c>
      <c r="C156" s="298" t="s">
        <v>4</v>
      </c>
      <c r="D156" s="287" t="s">
        <v>5</v>
      </c>
      <c r="E156" s="287"/>
      <c r="F156" s="287" t="s">
        <v>6</v>
      </c>
      <c r="G156" s="287"/>
      <c r="H156" s="259"/>
      <c r="I156" s="341">
        <v>0.33</v>
      </c>
      <c r="J156" s="341">
        <v>0.02</v>
      </c>
    </row>
    <row r="157" spans="1:10" ht="15" customHeight="1" x14ac:dyDescent="0.35">
      <c r="A157" s="287"/>
      <c r="B157" s="287"/>
      <c r="C157" s="298"/>
      <c r="D157" s="11" t="s">
        <v>9</v>
      </c>
      <c r="E157" s="11" t="s">
        <v>10</v>
      </c>
      <c r="F157" s="11" t="s">
        <v>11</v>
      </c>
      <c r="G157" s="11" t="s">
        <v>12</v>
      </c>
      <c r="H157" s="208"/>
      <c r="I157" s="341"/>
      <c r="J157" s="341"/>
    </row>
    <row r="158" spans="1:10" ht="15" customHeight="1" x14ac:dyDescent="0.35">
      <c r="A158" s="4">
        <v>1</v>
      </c>
      <c r="B158" s="4" t="s">
        <v>286</v>
      </c>
      <c r="C158" s="25" t="s">
        <v>287</v>
      </c>
      <c r="D158" s="4">
        <v>0.5</v>
      </c>
      <c r="E158" s="4"/>
      <c r="F158" s="292">
        <v>32</v>
      </c>
      <c r="G158" s="292"/>
      <c r="H158" s="4">
        <v>6800</v>
      </c>
      <c r="I158" s="26">
        <f t="shared" ref="I158:I172" si="12">H158*0.67</f>
        <v>4556</v>
      </c>
      <c r="J158" s="26">
        <f t="shared" ref="J158:J172" si="13">I158*0.98</f>
        <v>4464.88</v>
      </c>
    </row>
    <row r="159" spans="1:10" ht="15" customHeight="1" x14ac:dyDescent="0.35">
      <c r="A159" s="4">
        <v>2</v>
      </c>
      <c r="B159" s="4" t="s">
        <v>288</v>
      </c>
      <c r="C159" s="25" t="s">
        <v>289</v>
      </c>
      <c r="D159" s="4">
        <v>0.5</v>
      </c>
      <c r="E159" s="4"/>
      <c r="F159" s="292">
        <v>32</v>
      </c>
      <c r="G159" s="292"/>
      <c r="H159" s="4">
        <v>7600</v>
      </c>
      <c r="I159" s="26">
        <f t="shared" si="12"/>
        <v>5092</v>
      </c>
      <c r="J159" s="26">
        <f t="shared" si="13"/>
        <v>4990.16</v>
      </c>
    </row>
    <row r="160" spans="1:10" ht="15" customHeight="1" x14ac:dyDescent="0.35">
      <c r="A160" s="4">
        <v>3</v>
      </c>
      <c r="B160" s="4" t="s">
        <v>290</v>
      </c>
      <c r="C160" s="25" t="s">
        <v>291</v>
      </c>
      <c r="D160" s="4">
        <v>0.75</v>
      </c>
      <c r="E160" s="4"/>
      <c r="F160" s="292">
        <v>32</v>
      </c>
      <c r="G160" s="292"/>
      <c r="H160" s="4">
        <v>7800</v>
      </c>
      <c r="I160" s="26">
        <f t="shared" si="12"/>
        <v>5226</v>
      </c>
      <c r="J160" s="26">
        <f t="shared" si="13"/>
        <v>5121.4799999999996</v>
      </c>
    </row>
    <row r="161" spans="1:10" ht="15" customHeight="1" x14ac:dyDescent="0.35">
      <c r="A161" s="4">
        <v>4</v>
      </c>
      <c r="B161" s="4" t="s">
        <v>292</v>
      </c>
      <c r="C161" s="25" t="s">
        <v>293</v>
      </c>
      <c r="D161" s="4">
        <v>0.75</v>
      </c>
      <c r="E161" s="4"/>
      <c r="F161" s="292">
        <v>32</v>
      </c>
      <c r="G161" s="292"/>
      <c r="H161" s="4">
        <v>8000</v>
      </c>
      <c r="I161" s="26">
        <f t="shared" si="12"/>
        <v>5360</v>
      </c>
      <c r="J161" s="26">
        <f t="shared" si="13"/>
        <v>5252.8</v>
      </c>
    </row>
    <row r="162" spans="1:10" ht="15" customHeight="1" x14ac:dyDescent="0.35">
      <c r="A162" s="4">
        <v>5</v>
      </c>
      <c r="B162" s="4" t="s">
        <v>294</v>
      </c>
      <c r="C162" s="25" t="s">
        <v>295</v>
      </c>
      <c r="D162" s="4">
        <v>1</v>
      </c>
      <c r="E162" s="4"/>
      <c r="F162" s="292">
        <v>32</v>
      </c>
      <c r="G162" s="292"/>
      <c r="H162" s="4">
        <v>8200</v>
      </c>
      <c r="I162" s="26">
        <f t="shared" si="12"/>
        <v>5494</v>
      </c>
      <c r="J162" s="26">
        <f t="shared" si="13"/>
        <v>5384.12</v>
      </c>
    </row>
    <row r="163" spans="1:10" ht="15" customHeight="1" x14ac:dyDescent="0.35">
      <c r="A163" s="4">
        <v>6</v>
      </c>
      <c r="B163" s="4" t="s">
        <v>296</v>
      </c>
      <c r="C163" s="25" t="s">
        <v>297</v>
      </c>
      <c r="D163" s="4">
        <v>1</v>
      </c>
      <c r="E163" s="4"/>
      <c r="F163" s="292">
        <v>32</v>
      </c>
      <c r="G163" s="292"/>
      <c r="H163" s="4">
        <v>8400</v>
      </c>
      <c r="I163" s="26">
        <f t="shared" si="12"/>
        <v>5628</v>
      </c>
      <c r="J163" s="26">
        <f t="shared" si="13"/>
        <v>5515.44</v>
      </c>
    </row>
    <row r="164" spans="1:10" ht="15" customHeight="1" x14ac:dyDescent="0.35">
      <c r="A164" s="4">
        <v>7</v>
      </c>
      <c r="B164" s="4" t="s">
        <v>298</v>
      </c>
      <c r="C164" s="25" t="s">
        <v>299</v>
      </c>
      <c r="D164" s="4">
        <v>1</v>
      </c>
      <c r="E164" s="4"/>
      <c r="F164" s="292">
        <v>32</v>
      </c>
      <c r="G164" s="292"/>
      <c r="H164" s="4">
        <v>8600</v>
      </c>
      <c r="I164" s="26">
        <f t="shared" si="12"/>
        <v>5762</v>
      </c>
      <c r="J164" s="26">
        <f t="shared" si="13"/>
        <v>5646.76</v>
      </c>
    </row>
    <row r="165" spans="1:10" ht="15" customHeight="1" x14ac:dyDescent="0.35">
      <c r="A165" s="4">
        <v>8</v>
      </c>
      <c r="B165" s="4" t="s">
        <v>300</v>
      </c>
      <c r="C165" s="25" t="s">
        <v>301</v>
      </c>
      <c r="D165" s="4">
        <v>1.5</v>
      </c>
      <c r="E165" s="4"/>
      <c r="F165" s="292">
        <v>32</v>
      </c>
      <c r="G165" s="292"/>
      <c r="H165" s="4">
        <v>9000</v>
      </c>
      <c r="I165" s="26">
        <f t="shared" si="12"/>
        <v>6030</v>
      </c>
      <c r="J165" s="26">
        <f t="shared" si="13"/>
        <v>5909.4</v>
      </c>
    </row>
    <row r="166" spans="1:10" ht="15" customHeight="1" x14ac:dyDescent="0.35">
      <c r="A166" s="4">
        <v>9</v>
      </c>
      <c r="B166" s="4" t="s">
        <v>302</v>
      </c>
      <c r="C166" s="25" t="s">
        <v>303</v>
      </c>
      <c r="D166" s="4">
        <v>1.5</v>
      </c>
      <c r="E166" s="4"/>
      <c r="F166" s="292">
        <v>32</v>
      </c>
      <c r="G166" s="292"/>
      <c r="H166" s="4">
        <v>10600</v>
      </c>
      <c r="I166" s="26">
        <f t="shared" si="12"/>
        <v>7102</v>
      </c>
      <c r="J166" s="26">
        <f t="shared" si="13"/>
        <v>6959.96</v>
      </c>
    </row>
    <row r="167" spans="1:10" ht="15" customHeight="1" x14ac:dyDescent="0.35">
      <c r="A167" s="4">
        <v>10</v>
      </c>
      <c r="B167" s="4" t="s">
        <v>304</v>
      </c>
      <c r="C167" s="25" t="s">
        <v>305</v>
      </c>
      <c r="D167" s="4">
        <v>1.5</v>
      </c>
      <c r="E167" s="4"/>
      <c r="F167" s="292">
        <v>32</v>
      </c>
      <c r="G167" s="292"/>
      <c r="H167" s="4">
        <v>11000</v>
      </c>
      <c r="I167" s="26">
        <f t="shared" si="12"/>
        <v>7370</v>
      </c>
      <c r="J167" s="26">
        <f t="shared" si="13"/>
        <v>7222.5999999999995</v>
      </c>
    </row>
    <row r="168" spans="1:10" ht="15" customHeight="1" x14ac:dyDescent="0.35">
      <c r="A168" s="4">
        <v>11</v>
      </c>
      <c r="B168" s="4" t="s">
        <v>306</v>
      </c>
      <c r="C168" s="25" t="s">
        <v>307</v>
      </c>
      <c r="D168" s="4">
        <v>2</v>
      </c>
      <c r="E168" s="4"/>
      <c r="F168" s="292">
        <v>32</v>
      </c>
      <c r="G168" s="292"/>
      <c r="H168" s="4">
        <v>13000</v>
      </c>
      <c r="I168" s="26">
        <f t="shared" si="12"/>
        <v>8710</v>
      </c>
      <c r="J168" s="26">
        <f t="shared" si="13"/>
        <v>8535.7999999999993</v>
      </c>
    </row>
    <row r="169" spans="1:10" ht="15" customHeight="1" x14ac:dyDescent="0.35">
      <c r="A169" s="4">
        <v>12</v>
      </c>
      <c r="B169" s="4" t="s">
        <v>308</v>
      </c>
      <c r="C169" s="25" t="s">
        <v>309</v>
      </c>
      <c r="D169" s="4">
        <v>2</v>
      </c>
      <c r="E169" s="4"/>
      <c r="F169" s="292">
        <v>32</v>
      </c>
      <c r="G169" s="292"/>
      <c r="H169" s="4">
        <v>15500</v>
      </c>
      <c r="I169" s="26">
        <f t="shared" si="12"/>
        <v>10385</v>
      </c>
      <c r="J169" s="26">
        <f t="shared" si="13"/>
        <v>10177.299999999999</v>
      </c>
    </row>
    <row r="170" spans="1:10" ht="15" customHeight="1" x14ac:dyDescent="0.35">
      <c r="A170" s="4">
        <v>13</v>
      </c>
      <c r="B170" s="4" t="s">
        <v>310</v>
      </c>
      <c r="C170" s="25" t="s">
        <v>311</v>
      </c>
      <c r="D170" s="4">
        <v>3</v>
      </c>
      <c r="E170" s="4"/>
      <c r="F170" s="292">
        <v>32</v>
      </c>
      <c r="G170" s="292"/>
      <c r="H170" s="4">
        <v>19000</v>
      </c>
      <c r="I170" s="26">
        <f t="shared" si="12"/>
        <v>12730</v>
      </c>
      <c r="J170" s="26">
        <f t="shared" si="13"/>
        <v>12475.4</v>
      </c>
    </row>
    <row r="171" spans="1:10" ht="15" customHeight="1" x14ac:dyDescent="0.35">
      <c r="A171" s="4">
        <v>14</v>
      </c>
      <c r="B171" s="4" t="s">
        <v>312</v>
      </c>
      <c r="C171" s="25" t="s">
        <v>313</v>
      </c>
      <c r="D171" s="4">
        <v>3</v>
      </c>
      <c r="E171" s="4"/>
      <c r="F171" s="292">
        <v>32</v>
      </c>
      <c r="G171" s="292"/>
      <c r="H171" s="4">
        <v>20000</v>
      </c>
      <c r="I171" s="26">
        <f t="shared" si="12"/>
        <v>13400</v>
      </c>
      <c r="J171" s="26">
        <f t="shared" si="13"/>
        <v>13132</v>
      </c>
    </row>
    <row r="172" spans="1:10" ht="15" customHeight="1" x14ac:dyDescent="0.35">
      <c r="A172" s="4">
        <v>15</v>
      </c>
      <c r="B172" s="4" t="s">
        <v>314</v>
      </c>
      <c r="C172" s="25" t="s">
        <v>315</v>
      </c>
      <c r="D172" s="4">
        <v>3</v>
      </c>
      <c r="E172" s="4"/>
      <c r="F172" s="292">
        <v>32</v>
      </c>
      <c r="G172" s="292"/>
      <c r="H172" s="4">
        <v>20500</v>
      </c>
      <c r="I172" s="26">
        <f t="shared" si="12"/>
        <v>13735</v>
      </c>
      <c r="J172" s="26">
        <f t="shared" si="13"/>
        <v>13460.3</v>
      </c>
    </row>
  </sheetData>
  <mergeCells count="114">
    <mergeCell ref="I26:J26"/>
    <mergeCell ref="I27:J27"/>
    <mergeCell ref="A5:A6"/>
    <mergeCell ref="B5:B6"/>
    <mergeCell ref="C5:C6"/>
    <mergeCell ref="D5:E5"/>
    <mergeCell ref="F5:G5"/>
    <mergeCell ref="H5:H6"/>
    <mergeCell ref="A1:J3"/>
    <mergeCell ref="D74:D91"/>
    <mergeCell ref="E74:E91"/>
    <mergeCell ref="I56:I57"/>
    <mergeCell ref="J56:J57"/>
    <mergeCell ref="D58:D59"/>
    <mergeCell ref="E58:E59"/>
    <mergeCell ref="A55:G55"/>
    <mergeCell ref="H55:H57"/>
    <mergeCell ref="A56:A57"/>
    <mergeCell ref="B56:B57"/>
    <mergeCell ref="C56:C57"/>
    <mergeCell ref="D56:E56"/>
    <mergeCell ref="F56:G56"/>
    <mergeCell ref="I118:J118"/>
    <mergeCell ref="D110:D113"/>
    <mergeCell ref="E110:E113"/>
    <mergeCell ref="A114:G114"/>
    <mergeCell ref="H114:H116"/>
    <mergeCell ref="A115:A116"/>
    <mergeCell ref="B115:B116"/>
    <mergeCell ref="C115:C116"/>
    <mergeCell ref="D115:E115"/>
    <mergeCell ref="F115:G115"/>
    <mergeCell ref="A129:G129"/>
    <mergeCell ref="H129:H131"/>
    <mergeCell ref="A130:A131"/>
    <mergeCell ref="B130:B131"/>
    <mergeCell ref="C130:C131"/>
    <mergeCell ref="D130:E130"/>
    <mergeCell ref="F130:G131"/>
    <mergeCell ref="I130:I131"/>
    <mergeCell ref="J130:J131"/>
    <mergeCell ref="I129:J129"/>
    <mergeCell ref="F136:G136"/>
    <mergeCell ref="F137:G137"/>
    <mergeCell ref="F138:G138"/>
    <mergeCell ref="F139:G139"/>
    <mergeCell ref="F140:G140"/>
    <mergeCell ref="F141:G141"/>
    <mergeCell ref="F132:G132"/>
    <mergeCell ref="F133:G133"/>
    <mergeCell ref="F134:G134"/>
    <mergeCell ref="F135:G135"/>
    <mergeCell ref="J156:J157"/>
    <mergeCell ref="F158:G158"/>
    <mergeCell ref="F159:G159"/>
    <mergeCell ref="F160:G160"/>
    <mergeCell ref="F154:G154"/>
    <mergeCell ref="A155:G155"/>
    <mergeCell ref="H155:H157"/>
    <mergeCell ref="A156:A157"/>
    <mergeCell ref="B156:B157"/>
    <mergeCell ref="C156:C157"/>
    <mergeCell ref="D156:E156"/>
    <mergeCell ref="F156:G156"/>
    <mergeCell ref="I156:I157"/>
    <mergeCell ref="I155:J155"/>
    <mergeCell ref="F167:G167"/>
    <mergeCell ref="F168:G168"/>
    <mergeCell ref="F169:G169"/>
    <mergeCell ref="F170:G170"/>
    <mergeCell ref="F171:G171"/>
    <mergeCell ref="F172:G172"/>
    <mergeCell ref="F161:G161"/>
    <mergeCell ref="F162:G162"/>
    <mergeCell ref="F163:G163"/>
    <mergeCell ref="F164:G164"/>
    <mergeCell ref="F165:G165"/>
    <mergeCell ref="F166:G166"/>
    <mergeCell ref="I31:J31"/>
    <mergeCell ref="I32:J32"/>
    <mergeCell ref="I47:J47"/>
    <mergeCell ref="I55:J55"/>
    <mergeCell ref="I114:J114"/>
    <mergeCell ref="I117:J117"/>
    <mergeCell ref="A4:J4"/>
    <mergeCell ref="I5:J5"/>
    <mergeCell ref="I7:J7"/>
    <mergeCell ref="I8:J8"/>
    <mergeCell ref="I9:J9"/>
    <mergeCell ref="I10:J10"/>
    <mergeCell ref="I115:I116"/>
    <mergeCell ref="J115:J116"/>
    <mergeCell ref="D92:D103"/>
    <mergeCell ref="E92:E103"/>
    <mergeCell ref="D104:D106"/>
    <mergeCell ref="E104:E106"/>
    <mergeCell ref="D108:D109"/>
    <mergeCell ref="E108:E109"/>
    <mergeCell ref="D61:D66"/>
    <mergeCell ref="E61:E66"/>
    <mergeCell ref="D67:D73"/>
    <mergeCell ref="E67:E73"/>
    <mergeCell ref="F148:G148"/>
    <mergeCell ref="F149:G149"/>
    <mergeCell ref="F150:G150"/>
    <mergeCell ref="F151:G151"/>
    <mergeCell ref="F152:G152"/>
    <mergeCell ref="F153:G153"/>
    <mergeCell ref="F142:G142"/>
    <mergeCell ref="F143:G143"/>
    <mergeCell ref="F144:G144"/>
    <mergeCell ref="F145:G145"/>
    <mergeCell ref="F146:G146"/>
    <mergeCell ref="F147:G147"/>
  </mergeCells>
  <conditionalFormatting sqref="B1:B172">
    <cfRule type="duplicateValues" dxfId="9" priority="1"/>
    <cfRule type="duplicateValues" dxfId="8" priority="2"/>
  </conditionalFormatting>
  <pageMargins left="0.7" right="0.7" top="0.75" bottom="0.75" header="0.3" footer="0.3"/>
  <legacy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J172"/>
  <sheetViews>
    <sheetView topLeftCell="A106" workbookViewId="0">
      <selection activeCell="I118" sqref="I118"/>
    </sheetView>
  </sheetViews>
  <sheetFormatPr defaultRowHeight="17.25" customHeight="1" x14ac:dyDescent="0.35"/>
  <cols>
    <col min="2" max="2" width="12.81640625" customWidth="1"/>
    <col min="3" max="3" width="19" customWidth="1"/>
  </cols>
  <sheetData>
    <row r="1" spans="1:10" ht="17.25" customHeight="1" x14ac:dyDescent="0.35">
      <c r="A1" s="203" t="s">
        <v>0</v>
      </c>
      <c r="B1" s="204"/>
      <c r="C1" s="204"/>
      <c r="D1" s="204"/>
      <c r="E1" s="204"/>
      <c r="F1" s="204"/>
      <c r="G1" s="204"/>
      <c r="H1" s="204"/>
      <c r="I1" s="204"/>
      <c r="J1" s="204"/>
    </row>
    <row r="2" spans="1:10" ht="17.25" customHeight="1" x14ac:dyDescent="0.35">
      <c r="A2" s="203"/>
      <c r="B2" s="204"/>
      <c r="C2" s="204"/>
      <c r="D2" s="204"/>
      <c r="E2" s="204"/>
      <c r="F2" s="204"/>
      <c r="G2" s="204"/>
      <c r="H2" s="204"/>
      <c r="I2" s="204"/>
      <c r="J2" s="204"/>
    </row>
    <row r="3" spans="1:10" ht="17.25" customHeight="1" x14ac:dyDescent="0.35">
      <c r="A3" s="203"/>
      <c r="B3" s="204"/>
      <c r="C3" s="204"/>
      <c r="D3" s="204"/>
      <c r="E3" s="204"/>
      <c r="F3" s="204"/>
      <c r="G3" s="204"/>
      <c r="H3" s="204"/>
      <c r="I3" s="204"/>
      <c r="J3" s="204"/>
    </row>
    <row r="4" spans="1:10" ht="30" customHeight="1" x14ac:dyDescent="0.35">
      <c r="A4" s="313" t="s">
        <v>545</v>
      </c>
      <c r="B4" s="314"/>
      <c r="C4" s="314"/>
      <c r="D4" s="314"/>
      <c r="E4" s="314"/>
      <c r="F4" s="314"/>
      <c r="G4" s="314"/>
      <c r="H4" s="314"/>
      <c r="I4" s="314"/>
      <c r="J4" s="314"/>
    </row>
    <row r="5" spans="1:10" ht="17.25" customHeight="1" x14ac:dyDescent="0.35">
      <c r="A5" s="287" t="s">
        <v>2</v>
      </c>
      <c r="B5" s="287" t="s">
        <v>3</v>
      </c>
      <c r="C5" s="287" t="s">
        <v>4</v>
      </c>
      <c r="D5" s="287" t="s">
        <v>5</v>
      </c>
      <c r="E5" s="287"/>
      <c r="F5" s="287" t="s">
        <v>6</v>
      </c>
      <c r="G5" s="287"/>
      <c r="H5" s="287" t="s">
        <v>7</v>
      </c>
      <c r="I5" s="315" t="s">
        <v>334</v>
      </c>
      <c r="J5" s="315"/>
    </row>
    <row r="6" spans="1:10" ht="17.25" customHeight="1" x14ac:dyDescent="0.35">
      <c r="A6" s="287"/>
      <c r="B6" s="287"/>
      <c r="C6" s="287"/>
      <c r="D6" s="11" t="s">
        <v>9</v>
      </c>
      <c r="E6" s="11" t="s">
        <v>10</v>
      </c>
      <c r="F6" s="11" t="s">
        <v>11</v>
      </c>
      <c r="G6" s="11" t="s">
        <v>12</v>
      </c>
      <c r="H6" s="287"/>
      <c r="I6" s="41">
        <v>0.33</v>
      </c>
      <c r="J6" s="41">
        <v>0.03</v>
      </c>
    </row>
    <row r="7" spans="1:10" ht="17.25" customHeight="1" x14ac:dyDescent="0.35">
      <c r="A7" s="6">
        <v>1</v>
      </c>
      <c r="B7" s="4" t="s">
        <v>13</v>
      </c>
      <c r="C7" s="12" t="s">
        <v>14</v>
      </c>
      <c r="D7" s="2">
        <v>0.5</v>
      </c>
      <c r="E7" s="2">
        <v>0.37</v>
      </c>
      <c r="F7" s="2">
        <v>25</v>
      </c>
      <c r="G7" s="2">
        <v>25</v>
      </c>
      <c r="H7" s="13">
        <v>2640</v>
      </c>
      <c r="I7" s="295">
        <f>H7*0.63</f>
        <v>1663.2</v>
      </c>
      <c r="J7" s="325"/>
    </row>
    <row r="8" spans="1:10" ht="17.25" customHeight="1" x14ac:dyDescent="0.35">
      <c r="A8" s="6">
        <v>2</v>
      </c>
      <c r="B8" s="4" t="s">
        <v>15</v>
      </c>
      <c r="C8" s="12" t="s">
        <v>16</v>
      </c>
      <c r="D8" s="2">
        <v>1</v>
      </c>
      <c r="E8" s="2">
        <v>0.75</v>
      </c>
      <c r="F8" s="2">
        <v>25</v>
      </c>
      <c r="G8" s="2">
        <v>25</v>
      </c>
      <c r="H8" s="13">
        <v>3420</v>
      </c>
      <c r="I8" s="295">
        <f>H8*0.63</f>
        <v>2154.6</v>
      </c>
      <c r="J8" s="325"/>
    </row>
    <row r="9" spans="1:10" ht="17.25" customHeight="1" x14ac:dyDescent="0.35">
      <c r="A9" s="4">
        <v>3</v>
      </c>
      <c r="B9" s="4" t="s">
        <v>17</v>
      </c>
      <c r="C9" s="12" t="s">
        <v>18</v>
      </c>
      <c r="D9" s="2">
        <v>0.5</v>
      </c>
      <c r="E9" s="2">
        <v>0.37</v>
      </c>
      <c r="F9" s="2">
        <v>25</v>
      </c>
      <c r="G9" s="2">
        <v>25</v>
      </c>
      <c r="H9" s="13">
        <v>2840</v>
      </c>
      <c r="I9" s="295">
        <f>H9*0.63</f>
        <v>1789.2</v>
      </c>
      <c r="J9" s="325"/>
    </row>
    <row r="10" spans="1:10" ht="17.25" customHeight="1" x14ac:dyDescent="0.35">
      <c r="A10" s="6">
        <v>4</v>
      </c>
      <c r="B10" s="4" t="s">
        <v>19</v>
      </c>
      <c r="C10" s="12" t="s">
        <v>20</v>
      </c>
      <c r="D10" s="2">
        <v>1</v>
      </c>
      <c r="E10" s="2">
        <v>0.75</v>
      </c>
      <c r="F10" s="2">
        <v>25</v>
      </c>
      <c r="G10" s="2">
        <v>25</v>
      </c>
      <c r="H10" s="13">
        <v>3660</v>
      </c>
      <c r="I10" s="295">
        <f>H10*0.63</f>
        <v>2305.8000000000002</v>
      </c>
      <c r="J10" s="325"/>
    </row>
    <row r="11" spans="1:10" ht="17.25" customHeight="1" x14ac:dyDescent="0.35">
      <c r="A11" s="6">
        <v>5</v>
      </c>
      <c r="B11" s="6" t="s">
        <v>21</v>
      </c>
      <c r="C11" s="14" t="s">
        <v>22</v>
      </c>
      <c r="D11" s="2">
        <v>0.5</v>
      </c>
      <c r="E11" s="2">
        <v>0.37</v>
      </c>
      <c r="F11" s="2">
        <v>25</v>
      </c>
      <c r="G11" s="2">
        <v>25</v>
      </c>
      <c r="H11" s="8">
        <v>3160</v>
      </c>
      <c r="I11" s="26">
        <f>H11*0.67</f>
        <v>2117.2000000000003</v>
      </c>
      <c r="J11" s="26">
        <f>I11*0.97</f>
        <v>2053.6840000000002</v>
      </c>
    </row>
    <row r="12" spans="1:10" ht="17.25" customHeight="1" x14ac:dyDescent="0.35">
      <c r="A12" s="6">
        <v>6</v>
      </c>
      <c r="B12" s="6" t="s">
        <v>23</v>
      </c>
      <c r="C12" s="14" t="s">
        <v>24</v>
      </c>
      <c r="D12" s="2">
        <v>1</v>
      </c>
      <c r="E12" s="2">
        <v>0.75</v>
      </c>
      <c r="F12" s="2">
        <v>25</v>
      </c>
      <c r="G12" s="2">
        <v>25</v>
      </c>
      <c r="H12" s="8">
        <v>4120</v>
      </c>
      <c r="I12" s="26">
        <f t="shared" ref="I12:I25" si="0">H12*0.67</f>
        <v>2760.4</v>
      </c>
      <c r="J12" s="26">
        <f t="shared" ref="J12:J25" si="1">I12*0.97</f>
        <v>2677.5880000000002</v>
      </c>
    </row>
    <row r="13" spans="1:10" ht="17.25" customHeight="1" x14ac:dyDescent="0.35">
      <c r="A13" s="4">
        <v>7</v>
      </c>
      <c r="B13" s="4" t="s">
        <v>25</v>
      </c>
      <c r="C13" s="12" t="s">
        <v>26</v>
      </c>
      <c r="D13" s="2">
        <v>1.5</v>
      </c>
      <c r="E13" s="2">
        <v>1</v>
      </c>
      <c r="F13" s="2">
        <v>25</v>
      </c>
      <c r="G13" s="2">
        <v>25</v>
      </c>
      <c r="H13" s="8">
        <v>5750</v>
      </c>
      <c r="I13" s="26">
        <f t="shared" si="0"/>
        <v>3852.5000000000005</v>
      </c>
      <c r="J13" s="26">
        <f t="shared" si="1"/>
        <v>3736.9250000000002</v>
      </c>
    </row>
    <row r="14" spans="1:10" ht="17.25" customHeight="1" x14ac:dyDescent="0.35">
      <c r="A14" s="6">
        <v>8</v>
      </c>
      <c r="B14" s="6" t="s">
        <v>27</v>
      </c>
      <c r="C14" s="14" t="s">
        <v>28</v>
      </c>
      <c r="D14" s="2">
        <v>0.5</v>
      </c>
      <c r="E14" s="2">
        <v>0.37</v>
      </c>
      <c r="F14" s="2">
        <v>25</v>
      </c>
      <c r="G14" s="2">
        <v>25</v>
      </c>
      <c r="H14" s="8">
        <v>3520</v>
      </c>
      <c r="I14" s="26">
        <f t="shared" si="0"/>
        <v>2358.4</v>
      </c>
      <c r="J14" s="26">
        <f t="shared" si="1"/>
        <v>2287.6480000000001</v>
      </c>
    </row>
    <row r="15" spans="1:10" ht="17.25" customHeight="1" x14ac:dyDescent="0.35">
      <c r="A15" s="6">
        <v>9</v>
      </c>
      <c r="B15" s="4" t="s">
        <v>29</v>
      </c>
      <c r="C15" s="15" t="s">
        <v>30</v>
      </c>
      <c r="D15" s="2">
        <v>1</v>
      </c>
      <c r="E15" s="2">
        <v>0.75</v>
      </c>
      <c r="F15" s="2">
        <v>25</v>
      </c>
      <c r="G15" s="2">
        <v>25</v>
      </c>
      <c r="H15" s="8">
        <v>3660</v>
      </c>
      <c r="I15" s="26">
        <f t="shared" si="0"/>
        <v>2452.2000000000003</v>
      </c>
      <c r="J15" s="26">
        <f t="shared" si="1"/>
        <v>2378.634</v>
      </c>
    </row>
    <row r="16" spans="1:10" ht="17.25" customHeight="1" x14ac:dyDescent="0.35">
      <c r="A16" s="6">
        <v>10</v>
      </c>
      <c r="B16" s="4" t="s">
        <v>31</v>
      </c>
      <c r="C16" s="12" t="s">
        <v>32</v>
      </c>
      <c r="D16" s="2">
        <v>1</v>
      </c>
      <c r="E16" s="2">
        <v>0.75</v>
      </c>
      <c r="F16" s="2">
        <v>25</v>
      </c>
      <c r="G16" s="2">
        <v>25</v>
      </c>
      <c r="H16" s="8">
        <v>4220</v>
      </c>
      <c r="I16" s="26">
        <f t="shared" si="0"/>
        <v>2827.4</v>
      </c>
      <c r="J16" s="26">
        <f t="shared" si="1"/>
        <v>2742.578</v>
      </c>
    </row>
    <row r="17" spans="1:10" ht="17.25" customHeight="1" x14ac:dyDescent="0.35">
      <c r="A17" s="4">
        <v>11</v>
      </c>
      <c r="B17" s="6" t="s">
        <v>33</v>
      </c>
      <c r="C17" s="14" t="s">
        <v>34</v>
      </c>
      <c r="D17" s="2">
        <v>0.75</v>
      </c>
      <c r="E17" s="2">
        <v>0.56000000000000005</v>
      </c>
      <c r="F17" s="2">
        <v>25</v>
      </c>
      <c r="G17" s="2">
        <v>25</v>
      </c>
      <c r="H17" s="8">
        <v>4080</v>
      </c>
      <c r="I17" s="26">
        <f t="shared" si="0"/>
        <v>2733.6000000000004</v>
      </c>
      <c r="J17" s="26">
        <f t="shared" si="1"/>
        <v>2651.5920000000001</v>
      </c>
    </row>
    <row r="18" spans="1:10" ht="17.25" customHeight="1" x14ac:dyDescent="0.35">
      <c r="A18" s="6">
        <v>12</v>
      </c>
      <c r="B18" s="4" t="s">
        <v>35</v>
      </c>
      <c r="C18" s="16" t="s">
        <v>36</v>
      </c>
      <c r="D18" s="2">
        <v>1</v>
      </c>
      <c r="E18" s="2">
        <v>0.75</v>
      </c>
      <c r="F18" s="2">
        <v>25</v>
      </c>
      <c r="G18" s="2">
        <v>25</v>
      </c>
      <c r="H18" s="8">
        <v>4730</v>
      </c>
      <c r="I18" s="26">
        <f t="shared" si="0"/>
        <v>3169.1000000000004</v>
      </c>
      <c r="J18" s="26">
        <f t="shared" si="1"/>
        <v>3074.027</v>
      </c>
    </row>
    <row r="19" spans="1:10" ht="17.25" customHeight="1" x14ac:dyDescent="0.35">
      <c r="A19" s="6">
        <v>13</v>
      </c>
      <c r="B19" s="4" t="s">
        <v>37</v>
      </c>
      <c r="C19" s="16" t="s">
        <v>38</v>
      </c>
      <c r="D19" s="2">
        <v>1</v>
      </c>
      <c r="E19" s="2">
        <v>0.75</v>
      </c>
      <c r="F19" s="2">
        <v>25</v>
      </c>
      <c r="G19" s="2">
        <v>25</v>
      </c>
      <c r="H19" s="8">
        <v>4730</v>
      </c>
      <c r="I19" s="26">
        <f t="shared" si="0"/>
        <v>3169.1000000000004</v>
      </c>
      <c r="J19" s="26">
        <f t="shared" si="1"/>
        <v>3074.027</v>
      </c>
    </row>
    <row r="20" spans="1:10" ht="17.25" customHeight="1" x14ac:dyDescent="0.35">
      <c r="A20" s="6">
        <v>14</v>
      </c>
      <c r="B20" s="6" t="s">
        <v>39</v>
      </c>
      <c r="C20" s="14" t="s">
        <v>40</v>
      </c>
      <c r="D20" s="2">
        <v>1</v>
      </c>
      <c r="E20" s="2">
        <v>0.75</v>
      </c>
      <c r="F20" s="2">
        <v>25</v>
      </c>
      <c r="G20" s="2">
        <v>25</v>
      </c>
      <c r="H20" s="8">
        <v>5170</v>
      </c>
      <c r="I20" s="26">
        <f t="shared" si="0"/>
        <v>3463.9</v>
      </c>
      <c r="J20" s="26">
        <f t="shared" si="1"/>
        <v>3359.9830000000002</v>
      </c>
    </row>
    <row r="21" spans="1:10" ht="17.25" customHeight="1" x14ac:dyDescent="0.35">
      <c r="A21" s="4">
        <v>15</v>
      </c>
      <c r="B21" s="6" t="s">
        <v>41</v>
      </c>
      <c r="C21" s="14" t="s">
        <v>42</v>
      </c>
      <c r="D21" s="2">
        <v>1</v>
      </c>
      <c r="E21" s="2">
        <v>0.75</v>
      </c>
      <c r="F21" s="2">
        <v>25</v>
      </c>
      <c r="G21" s="2">
        <v>25</v>
      </c>
      <c r="H21" s="8">
        <v>4670</v>
      </c>
      <c r="I21" s="26">
        <f t="shared" si="0"/>
        <v>3128.9</v>
      </c>
      <c r="J21" s="26">
        <f t="shared" si="1"/>
        <v>3035.0329999999999</v>
      </c>
    </row>
    <row r="22" spans="1:10" ht="17.25" customHeight="1" x14ac:dyDescent="0.35">
      <c r="A22" s="6">
        <v>16</v>
      </c>
      <c r="B22" s="4" t="s">
        <v>43</v>
      </c>
      <c r="C22" s="12" t="s">
        <v>44</v>
      </c>
      <c r="D22" s="2">
        <v>1.2</v>
      </c>
      <c r="E22" s="2">
        <v>0.9</v>
      </c>
      <c r="F22" s="2">
        <v>25</v>
      </c>
      <c r="G22" s="2">
        <v>25</v>
      </c>
      <c r="H22" s="8">
        <v>6650</v>
      </c>
      <c r="I22" s="26">
        <f t="shared" si="0"/>
        <v>4455.5</v>
      </c>
      <c r="J22" s="26">
        <f t="shared" si="1"/>
        <v>4321.835</v>
      </c>
    </row>
    <row r="23" spans="1:10" ht="17.25" customHeight="1" x14ac:dyDescent="0.35">
      <c r="A23" s="6">
        <v>17</v>
      </c>
      <c r="B23" s="6" t="s">
        <v>45</v>
      </c>
      <c r="C23" s="14" t="s">
        <v>46</v>
      </c>
      <c r="D23" s="2">
        <v>1.5</v>
      </c>
      <c r="E23" s="2">
        <v>1.1000000000000001</v>
      </c>
      <c r="F23" s="2">
        <v>25</v>
      </c>
      <c r="G23" s="2">
        <v>25</v>
      </c>
      <c r="H23" s="8">
        <v>8150</v>
      </c>
      <c r="I23" s="26">
        <f t="shared" si="0"/>
        <v>5460.5</v>
      </c>
      <c r="J23" s="26">
        <f t="shared" si="1"/>
        <v>5296.6849999999995</v>
      </c>
    </row>
    <row r="24" spans="1:10" ht="17.25" customHeight="1" x14ac:dyDescent="0.35">
      <c r="A24" s="6">
        <v>18</v>
      </c>
      <c r="B24" s="6" t="s">
        <v>47</v>
      </c>
      <c r="C24" s="14" t="s">
        <v>48</v>
      </c>
      <c r="D24" s="2">
        <v>2</v>
      </c>
      <c r="E24" s="2">
        <v>1.5</v>
      </c>
      <c r="F24" s="2">
        <v>25</v>
      </c>
      <c r="G24" s="2">
        <v>25</v>
      </c>
      <c r="H24" s="8">
        <v>9190</v>
      </c>
      <c r="I24" s="26">
        <f t="shared" si="0"/>
        <v>6157.3</v>
      </c>
      <c r="J24" s="26">
        <f t="shared" si="1"/>
        <v>5972.5810000000001</v>
      </c>
    </row>
    <row r="25" spans="1:10" ht="17.25" customHeight="1" x14ac:dyDescent="0.35">
      <c r="A25" s="4">
        <v>19</v>
      </c>
      <c r="B25" s="6" t="s">
        <v>49</v>
      </c>
      <c r="C25" s="14" t="s">
        <v>50</v>
      </c>
      <c r="D25" s="2">
        <v>0.5</v>
      </c>
      <c r="E25" s="2">
        <v>0.37</v>
      </c>
      <c r="F25" s="2">
        <v>25</v>
      </c>
      <c r="G25" s="2">
        <v>25</v>
      </c>
      <c r="H25" s="8">
        <v>3310</v>
      </c>
      <c r="I25" s="26">
        <f t="shared" si="0"/>
        <v>2217.7000000000003</v>
      </c>
      <c r="J25" s="26">
        <f t="shared" si="1"/>
        <v>2151.1690000000003</v>
      </c>
    </row>
    <row r="26" spans="1:10" ht="17.25" customHeight="1" x14ac:dyDescent="0.35">
      <c r="A26" s="6">
        <v>20</v>
      </c>
      <c r="B26" s="4" t="s">
        <v>51</v>
      </c>
      <c r="C26" s="12" t="s">
        <v>52</v>
      </c>
      <c r="D26" s="2">
        <v>0.5</v>
      </c>
      <c r="E26" s="2">
        <v>0.37</v>
      </c>
      <c r="F26" s="2">
        <v>25</v>
      </c>
      <c r="G26" s="2">
        <v>25</v>
      </c>
      <c r="H26" s="10">
        <v>4380</v>
      </c>
      <c r="I26" s="295">
        <f>H26*0.63</f>
        <v>2759.4</v>
      </c>
      <c r="J26" s="325"/>
    </row>
    <row r="27" spans="1:10" ht="17.25" customHeight="1" x14ac:dyDescent="0.35">
      <c r="A27" s="6">
        <v>21</v>
      </c>
      <c r="B27" s="4" t="s">
        <v>53</v>
      </c>
      <c r="C27" s="12" t="s">
        <v>54</v>
      </c>
      <c r="D27" s="2">
        <v>1</v>
      </c>
      <c r="E27" s="2">
        <v>0.75</v>
      </c>
      <c r="F27" s="2">
        <v>25</v>
      </c>
      <c r="G27" s="2">
        <v>25</v>
      </c>
      <c r="H27" s="10">
        <v>5300</v>
      </c>
      <c r="I27" s="295">
        <f>H27*0.63</f>
        <v>3339</v>
      </c>
      <c r="J27" s="325"/>
    </row>
    <row r="28" spans="1:10" ht="17.25" customHeight="1" x14ac:dyDescent="0.35">
      <c r="A28" s="6">
        <v>22</v>
      </c>
      <c r="B28" s="6" t="s">
        <v>55</v>
      </c>
      <c r="C28" s="14" t="s">
        <v>56</v>
      </c>
      <c r="D28" s="2">
        <v>1.1000000000000001</v>
      </c>
      <c r="E28" s="2">
        <v>0.8</v>
      </c>
      <c r="F28" s="2">
        <v>25</v>
      </c>
      <c r="G28" s="2">
        <v>25</v>
      </c>
      <c r="H28" s="8">
        <v>5040</v>
      </c>
      <c r="I28" s="26">
        <f t="shared" ref="I28:I30" si="2">H28*0.67</f>
        <v>3376.8</v>
      </c>
      <c r="J28" s="26">
        <f t="shared" ref="J28:J30" si="3">I28*0.97</f>
        <v>3275.4960000000001</v>
      </c>
    </row>
    <row r="29" spans="1:10" ht="17.25" customHeight="1" x14ac:dyDescent="0.35">
      <c r="A29" s="4">
        <v>23</v>
      </c>
      <c r="B29" s="6" t="s">
        <v>57</v>
      </c>
      <c r="C29" s="14" t="s">
        <v>58</v>
      </c>
      <c r="D29" s="2">
        <v>1.1000000000000001</v>
      </c>
      <c r="E29" s="2">
        <v>0.8</v>
      </c>
      <c r="F29" s="2">
        <v>25</v>
      </c>
      <c r="G29" s="2">
        <v>25</v>
      </c>
      <c r="H29" s="8">
        <v>5150</v>
      </c>
      <c r="I29" s="26">
        <f t="shared" si="2"/>
        <v>3450.5</v>
      </c>
      <c r="J29" s="26">
        <f t="shared" si="3"/>
        <v>3346.9850000000001</v>
      </c>
    </row>
    <row r="30" spans="1:10" ht="17.25" customHeight="1" x14ac:dyDescent="0.35">
      <c r="A30" s="6">
        <v>24</v>
      </c>
      <c r="B30" s="4" t="s">
        <v>59</v>
      </c>
      <c r="C30" s="16" t="s">
        <v>60</v>
      </c>
      <c r="D30" s="2">
        <v>1.25</v>
      </c>
      <c r="E30" s="2">
        <v>0.94</v>
      </c>
      <c r="F30" s="2">
        <v>25</v>
      </c>
      <c r="G30" s="2">
        <v>25</v>
      </c>
      <c r="H30" s="8">
        <v>6630</v>
      </c>
      <c r="I30" s="26">
        <f t="shared" si="2"/>
        <v>4442.1000000000004</v>
      </c>
      <c r="J30" s="26">
        <f t="shared" si="3"/>
        <v>4308.8370000000004</v>
      </c>
    </row>
    <row r="31" spans="1:10" ht="17.25" customHeight="1" x14ac:dyDescent="0.35">
      <c r="A31" s="6">
        <v>25</v>
      </c>
      <c r="B31" s="6" t="s">
        <v>61</v>
      </c>
      <c r="C31" s="14" t="s">
        <v>62</v>
      </c>
      <c r="D31" s="17">
        <v>0.5</v>
      </c>
      <c r="E31" s="17">
        <v>0.37</v>
      </c>
      <c r="F31" s="17">
        <v>25</v>
      </c>
      <c r="G31" s="17">
        <v>25</v>
      </c>
      <c r="H31" s="9">
        <v>4950</v>
      </c>
      <c r="I31" s="295">
        <f>H31*0.63</f>
        <v>3118.5</v>
      </c>
      <c r="J31" s="325"/>
    </row>
    <row r="32" spans="1:10" ht="17.25" customHeight="1" x14ac:dyDescent="0.35">
      <c r="A32" s="6">
        <v>26</v>
      </c>
      <c r="B32" s="6" t="s">
        <v>63</v>
      </c>
      <c r="C32" s="14" t="s">
        <v>64</v>
      </c>
      <c r="D32" s="17">
        <v>0.5</v>
      </c>
      <c r="E32" s="17">
        <v>0.37</v>
      </c>
      <c r="F32" s="17">
        <v>25</v>
      </c>
      <c r="G32" s="17">
        <v>25</v>
      </c>
      <c r="H32" s="9">
        <v>5000</v>
      </c>
      <c r="I32" s="295">
        <f>H32*0.63</f>
        <v>3150</v>
      </c>
      <c r="J32" s="325"/>
    </row>
    <row r="33" spans="1:10" ht="17.25" customHeight="1" x14ac:dyDescent="0.35">
      <c r="A33" s="4">
        <v>27</v>
      </c>
      <c r="B33" s="6" t="s">
        <v>65</v>
      </c>
      <c r="C33" s="14" t="s">
        <v>66</v>
      </c>
      <c r="D33" s="2">
        <v>1</v>
      </c>
      <c r="E33" s="2">
        <v>0.75</v>
      </c>
      <c r="F33" s="2">
        <v>25</v>
      </c>
      <c r="G33" s="2">
        <v>25</v>
      </c>
      <c r="H33" s="8">
        <v>5560</v>
      </c>
      <c r="I33" s="26">
        <f t="shared" ref="I33:I54" si="4">H33*0.67</f>
        <v>3725.2000000000003</v>
      </c>
      <c r="J33" s="26">
        <f t="shared" ref="J33:J54" si="5">I33*0.97</f>
        <v>3613.444</v>
      </c>
    </row>
    <row r="34" spans="1:10" ht="17.25" customHeight="1" x14ac:dyDescent="0.35">
      <c r="A34" s="6">
        <v>28</v>
      </c>
      <c r="B34" s="6" t="s">
        <v>67</v>
      </c>
      <c r="C34" s="14" t="s">
        <v>68</v>
      </c>
      <c r="D34" s="2">
        <v>1</v>
      </c>
      <c r="E34" s="2">
        <v>0.75</v>
      </c>
      <c r="F34" s="2">
        <v>25</v>
      </c>
      <c r="G34" s="2">
        <v>25</v>
      </c>
      <c r="H34" s="8">
        <v>5650</v>
      </c>
      <c r="I34" s="26">
        <f t="shared" si="4"/>
        <v>3785.5</v>
      </c>
      <c r="J34" s="26">
        <f t="shared" si="5"/>
        <v>3671.9349999999999</v>
      </c>
    </row>
    <row r="35" spans="1:10" ht="17.25" customHeight="1" x14ac:dyDescent="0.35">
      <c r="A35" s="6">
        <v>29</v>
      </c>
      <c r="B35" s="6" t="s">
        <v>69</v>
      </c>
      <c r="C35" s="14" t="s">
        <v>70</v>
      </c>
      <c r="D35" s="2">
        <v>1.5</v>
      </c>
      <c r="E35" s="2">
        <v>1.1000000000000001</v>
      </c>
      <c r="F35" s="2">
        <v>25</v>
      </c>
      <c r="G35" s="2">
        <v>25</v>
      </c>
      <c r="H35" s="8">
        <v>7840</v>
      </c>
      <c r="I35" s="26">
        <f t="shared" si="4"/>
        <v>5252.8</v>
      </c>
      <c r="J35" s="26">
        <f t="shared" si="5"/>
        <v>5095.2160000000003</v>
      </c>
    </row>
    <row r="36" spans="1:10" ht="17.25" customHeight="1" x14ac:dyDescent="0.35">
      <c r="A36" s="6">
        <v>30</v>
      </c>
      <c r="B36" s="6" t="s">
        <v>71</v>
      </c>
      <c r="C36" s="14" t="s">
        <v>72</v>
      </c>
      <c r="D36" s="2">
        <v>1.5</v>
      </c>
      <c r="E36" s="2">
        <v>1.1000000000000001</v>
      </c>
      <c r="F36" s="2">
        <v>25</v>
      </c>
      <c r="G36" s="2">
        <v>25</v>
      </c>
      <c r="H36" s="8">
        <v>8170</v>
      </c>
      <c r="I36" s="26">
        <f t="shared" si="4"/>
        <v>5473.9000000000005</v>
      </c>
      <c r="J36" s="26">
        <f t="shared" si="5"/>
        <v>5309.683</v>
      </c>
    </row>
    <row r="37" spans="1:10" ht="17.25" customHeight="1" x14ac:dyDescent="0.35">
      <c r="A37" s="4">
        <v>31</v>
      </c>
      <c r="B37" s="4" t="s">
        <v>73</v>
      </c>
      <c r="C37" s="12" t="s">
        <v>74</v>
      </c>
      <c r="D37" s="2">
        <v>0.5</v>
      </c>
      <c r="E37" s="2">
        <v>0.37</v>
      </c>
      <c r="F37" s="2">
        <v>25</v>
      </c>
      <c r="G37" s="2">
        <v>25</v>
      </c>
      <c r="H37" s="8">
        <v>6450</v>
      </c>
      <c r="I37" s="26">
        <f t="shared" si="4"/>
        <v>4321.5</v>
      </c>
      <c r="J37" s="26">
        <f t="shared" si="5"/>
        <v>4191.8549999999996</v>
      </c>
    </row>
    <row r="38" spans="1:10" ht="17.25" customHeight="1" x14ac:dyDescent="0.35">
      <c r="A38" s="6">
        <v>32</v>
      </c>
      <c r="B38" s="6" t="s">
        <v>75</v>
      </c>
      <c r="C38" s="14" t="s">
        <v>76</v>
      </c>
      <c r="D38" s="3">
        <v>0.9</v>
      </c>
      <c r="E38" s="3">
        <v>0.7</v>
      </c>
      <c r="F38" s="3">
        <v>25</v>
      </c>
      <c r="G38" s="3">
        <v>25</v>
      </c>
      <c r="H38" s="8">
        <v>6640</v>
      </c>
      <c r="I38" s="26">
        <f t="shared" si="4"/>
        <v>4448.8</v>
      </c>
      <c r="J38" s="26">
        <f t="shared" si="5"/>
        <v>4315.3360000000002</v>
      </c>
    </row>
    <row r="39" spans="1:10" ht="17.25" customHeight="1" x14ac:dyDescent="0.35">
      <c r="A39" s="6">
        <v>33</v>
      </c>
      <c r="B39" s="6" t="s">
        <v>77</v>
      </c>
      <c r="C39" s="14" t="s">
        <v>78</v>
      </c>
      <c r="D39" s="3">
        <v>1</v>
      </c>
      <c r="E39" s="3">
        <v>0.75</v>
      </c>
      <c r="F39" s="3">
        <v>25</v>
      </c>
      <c r="G39" s="3">
        <v>25</v>
      </c>
      <c r="H39" s="8">
        <v>7100</v>
      </c>
      <c r="I39" s="26">
        <f t="shared" si="4"/>
        <v>4757</v>
      </c>
      <c r="J39" s="26">
        <f t="shared" si="5"/>
        <v>4614.29</v>
      </c>
    </row>
    <row r="40" spans="1:10" ht="17.25" customHeight="1" x14ac:dyDescent="0.35">
      <c r="A40" s="6">
        <v>34</v>
      </c>
      <c r="B40" s="4" t="s">
        <v>79</v>
      </c>
      <c r="C40" s="15" t="s">
        <v>80</v>
      </c>
      <c r="D40" s="3">
        <v>0.5</v>
      </c>
      <c r="E40" s="3">
        <v>0.37</v>
      </c>
      <c r="F40" s="3">
        <v>25</v>
      </c>
      <c r="G40" s="3">
        <v>25</v>
      </c>
      <c r="H40" s="8">
        <v>5500</v>
      </c>
      <c r="I40" s="26">
        <f t="shared" si="4"/>
        <v>3685</v>
      </c>
      <c r="J40" s="26">
        <f t="shared" si="5"/>
        <v>3574.45</v>
      </c>
    </row>
    <row r="41" spans="1:10" ht="17.25" customHeight="1" x14ac:dyDescent="0.35">
      <c r="A41" s="4">
        <v>35</v>
      </c>
      <c r="B41" s="4"/>
      <c r="C41" s="15" t="s">
        <v>81</v>
      </c>
      <c r="D41" s="3">
        <v>1</v>
      </c>
      <c r="E41" s="3">
        <v>0.75</v>
      </c>
      <c r="F41" s="3">
        <v>25</v>
      </c>
      <c r="G41" s="3">
        <v>25</v>
      </c>
      <c r="H41" s="8">
        <v>6200</v>
      </c>
      <c r="I41" s="26">
        <f t="shared" si="4"/>
        <v>4154</v>
      </c>
      <c r="J41" s="26">
        <f t="shared" si="5"/>
        <v>4029.38</v>
      </c>
    </row>
    <row r="42" spans="1:10" ht="17.25" customHeight="1" x14ac:dyDescent="0.35">
      <c r="A42" s="6">
        <v>36</v>
      </c>
      <c r="B42" s="4" t="s">
        <v>82</v>
      </c>
      <c r="C42" s="12" t="s">
        <v>83</v>
      </c>
      <c r="D42" s="1">
        <v>0.5</v>
      </c>
      <c r="E42" s="1">
        <v>0.37</v>
      </c>
      <c r="F42" s="1">
        <v>25</v>
      </c>
      <c r="G42" s="1">
        <v>25</v>
      </c>
      <c r="H42" s="8">
        <v>7140</v>
      </c>
      <c r="I42" s="26">
        <f t="shared" si="4"/>
        <v>4783.8</v>
      </c>
      <c r="J42" s="26">
        <f t="shared" si="5"/>
        <v>4640.2860000000001</v>
      </c>
    </row>
    <row r="43" spans="1:10" ht="17.25" customHeight="1" x14ac:dyDescent="0.35">
      <c r="A43" s="6">
        <v>37</v>
      </c>
      <c r="B43" s="6" t="s">
        <v>84</v>
      </c>
      <c r="C43" s="14" t="s">
        <v>85</v>
      </c>
      <c r="D43" s="1">
        <v>1.1000000000000001</v>
      </c>
      <c r="E43" s="1">
        <v>0.8</v>
      </c>
      <c r="F43" s="1">
        <v>25</v>
      </c>
      <c r="G43" s="1">
        <v>25</v>
      </c>
      <c r="H43" s="8">
        <v>7700</v>
      </c>
      <c r="I43" s="26">
        <f t="shared" si="4"/>
        <v>5159</v>
      </c>
      <c r="J43" s="26">
        <f t="shared" si="5"/>
        <v>5004.2299999999996</v>
      </c>
    </row>
    <row r="44" spans="1:10" ht="17.25" customHeight="1" x14ac:dyDescent="0.35">
      <c r="A44" s="6">
        <v>38</v>
      </c>
      <c r="B44" s="6" t="s">
        <v>86</v>
      </c>
      <c r="C44" s="14" t="s">
        <v>87</v>
      </c>
      <c r="D44" s="1">
        <v>1.5</v>
      </c>
      <c r="E44" s="1">
        <v>1.1000000000000001</v>
      </c>
      <c r="F44" s="1">
        <v>25</v>
      </c>
      <c r="G44" s="1">
        <v>25</v>
      </c>
      <c r="H44" s="8">
        <v>8690</v>
      </c>
      <c r="I44" s="26">
        <f t="shared" si="4"/>
        <v>5822.3</v>
      </c>
      <c r="J44" s="26">
        <f t="shared" si="5"/>
        <v>5647.6310000000003</v>
      </c>
    </row>
    <row r="45" spans="1:10" ht="17.25" customHeight="1" x14ac:dyDescent="0.35">
      <c r="A45" s="4">
        <v>39</v>
      </c>
      <c r="B45" s="4" t="s">
        <v>88</v>
      </c>
      <c r="C45" s="12" t="s">
        <v>89</v>
      </c>
      <c r="D45" s="2">
        <v>0.5</v>
      </c>
      <c r="E45" s="2">
        <v>0.37</v>
      </c>
      <c r="F45" s="2">
        <v>25</v>
      </c>
      <c r="G45" s="2">
        <v>12</v>
      </c>
      <c r="H45" s="8">
        <v>4860</v>
      </c>
      <c r="I45" s="26">
        <f t="shared" si="4"/>
        <v>3256.2000000000003</v>
      </c>
      <c r="J45" s="26">
        <f t="shared" si="5"/>
        <v>3158.5140000000001</v>
      </c>
    </row>
    <row r="46" spans="1:10" ht="17.25" customHeight="1" x14ac:dyDescent="0.35">
      <c r="A46" s="6">
        <v>40</v>
      </c>
      <c r="B46" s="4" t="s">
        <v>90</v>
      </c>
      <c r="C46" s="12" t="s">
        <v>91</v>
      </c>
      <c r="D46" s="2">
        <v>1</v>
      </c>
      <c r="E46" s="2">
        <v>0.75</v>
      </c>
      <c r="F46" s="2">
        <v>25</v>
      </c>
      <c r="G46" s="2">
        <v>25</v>
      </c>
      <c r="H46" s="8">
        <v>5600</v>
      </c>
      <c r="I46" s="26">
        <f t="shared" si="4"/>
        <v>3752</v>
      </c>
      <c r="J46" s="26">
        <f t="shared" si="5"/>
        <v>3639.44</v>
      </c>
    </row>
    <row r="47" spans="1:10" ht="17.25" customHeight="1" x14ac:dyDescent="0.35">
      <c r="A47" s="6">
        <v>41</v>
      </c>
      <c r="B47" s="6" t="s">
        <v>92</v>
      </c>
      <c r="C47" s="14" t="s">
        <v>93</v>
      </c>
      <c r="D47" s="17">
        <v>1</v>
      </c>
      <c r="E47" s="17">
        <v>0.75</v>
      </c>
      <c r="F47" s="17">
        <v>25</v>
      </c>
      <c r="G47" s="17">
        <v>25</v>
      </c>
      <c r="H47" s="9">
        <v>8420</v>
      </c>
      <c r="I47" s="295">
        <f>H47*0.63</f>
        <v>5304.6</v>
      </c>
      <c r="J47" s="325"/>
    </row>
    <row r="48" spans="1:10" ht="17.25" customHeight="1" x14ac:dyDescent="0.35">
      <c r="A48" s="6">
        <v>42</v>
      </c>
      <c r="B48" s="6" t="s">
        <v>94</v>
      </c>
      <c r="C48" s="14" t="s">
        <v>95</v>
      </c>
      <c r="D48" s="2">
        <v>1.1000000000000001</v>
      </c>
      <c r="E48" s="2">
        <v>0.8</v>
      </c>
      <c r="F48" s="2">
        <v>25</v>
      </c>
      <c r="G48" s="2">
        <v>25</v>
      </c>
      <c r="H48" s="8">
        <v>12020</v>
      </c>
      <c r="I48" s="26">
        <f t="shared" si="4"/>
        <v>8053.4000000000005</v>
      </c>
      <c r="J48" s="26">
        <f t="shared" si="5"/>
        <v>7811.7980000000007</v>
      </c>
    </row>
    <row r="49" spans="1:10" ht="17.25" customHeight="1" x14ac:dyDescent="0.35">
      <c r="A49" s="4">
        <v>43</v>
      </c>
      <c r="B49" s="4" t="s">
        <v>96</v>
      </c>
      <c r="C49" s="12" t="s">
        <v>97</v>
      </c>
      <c r="D49" s="2">
        <v>0.5</v>
      </c>
      <c r="E49" s="2">
        <v>0.37</v>
      </c>
      <c r="F49" s="2">
        <v>25</v>
      </c>
      <c r="G49" s="2">
        <v>25</v>
      </c>
      <c r="H49" s="8">
        <v>7530</v>
      </c>
      <c r="I49" s="26">
        <f t="shared" si="4"/>
        <v>5045.1000000000004</v>
      </c>
      <c r="J49" s="26">
        <f t="shared" si="5"/>
        <v>4893.7470000000003</v>
      </c>
    </row>
    <row r="50" spans="1:10" ht="17.25" customHeight="1" x14ac:dyDescent="0.35">
      <c r="A50" s="6">
        <v>44</v>
      </c>
      <c r="B50" s="4" t="s">
        <v>98</v>
      </c>
      <c r="C50" s="12" t="s">
        <v>99</v>
      </c>
      <c r="D50" s="2">
        <v>1</v>
      </c>
      <c r="E50" s="2">
        <v>0.75</v>
      </c>
      <c r="F50" s="2">
        <v>25</v>
      </c>
      <c r="G50" s="2">
        <v>25</v>
      </c>
      <c r="H50" s="8">
        <v>9150</v>
      </c>
      <c r="I50" s="26">
        <f t="shared" si="4"/>
        <v>6130.5</v>
      </c>
      <c r="J50" s="26">
        <f t="shared" si="5"/>
        <v>5946.585</v>
      </c>
    </row>
    <row r="51" spans="1:10" ht="17.25" customHeight="1" x14ac:dyDescent="0.35">
      <c r="A51" s="6">
        <v>45</v>
      </c>
      <c r="B51" s="4" t="s">
        <v>100</v>
      </c>
      <c r="C51" s="12" t="s">
        <v>101</v>
      </c>
      <c r="D51" s="2">
        <v>1</v>
      </c>
      <c r="E51" s="2">
        <v>0.75</v>
      </c>
      <c r="F51" s="2">
        <v>25</v>
      </c>
      <c r="G51" s="2">
        <v>25</v>
      </c>
      <c r="H51" s="5">
        <v>16800</v>
      </c>
      <c r="I51" s="26">
        <f t="shared" si="4"/>
        <v>11256</v>
      </c>
      <c r="J51" s="26">
        <f t="shared" si="5"/>
        <v>10918.32</v>
      </c>
    </row>
    <row r="52" spans="1:10" ht="17.25" customHeight="1" x14ac:dyDescent="0.35">
      <c r="A52" s="6">
        <v>46</v>
      </c>
      <c r="B52" s="6" t="s">
        <v>102</v>
      </c>
      <c r="C52" s="14" t="s">
        <v>103</v>
      </c>
      <c r="D52" s="2">
        <v>0.5</v>
      </c>
      <c r="E52" s="2">
        <v>0.37</v>
      </c>
      <c r="F52" s="2">
        <v>25</v>
      </c>
      <c r="G52" s="2">
        <v>25</v>
      </c>
      <c r="H52" s="8">
        <v>17760</v>
      </c>
      <c r="I52" s="26">
        <f t="shared" si="4"/>
        <v>11899.2</v>
      </c>
      <c r="J52" s="26">
        <f t="shared" si="5"/>
        <v>11542.224</v>
      </c>
    </row>
    <row r="53" spans="1:10" ht="17.25" customHeight="1" x14ac:dyDescent="0.35">
      <c r="A53" s="4">
        <v>47</v>
      </c>
      <c r="B53" s="6" t="s">
        <v>104</v>
      </c>
      <c r="C53" s="14" t="s">
        <v>105</v>
      </c>
      <c r="D53" s="2">
        <v>1</v>
      </c>
      <c r="E53" s="2">
        <v>0.75</v>
      </c>
      <c r="F53" s="2">
        <v>25</v>
      </c>
      <c r="G53" s="2">
        <v>25</v>
      </c>
      <c r="H53" s="8">
        <v>19120</v>
      </c>
      <c r="I53" s="26">
        <f t="shared" si="4"/>
        <v>12810.400000000001</v>
      </c>
      <c r="J53" s="26">
        <f t="shared" si="5"/>
        <v>12426.088000000002</v>
      </c>
    </row>
    <row r="54" spans="1:10" ht="17.25" customHeight="1" x14ac:dyDescent="0.35">
      <c r="A54" s="6">
        <v>48</v>
      </c>
      <c r="B54" s="6" t="s">
        <v>106</v>
      </c>
      <c r="C54" s="14" t="s">
        <v>107</v>
      </c>
      <c r="D54" s="2">
        <v>1.1000000000000001</v>
      </c>
      <c r="E54" s="2">
        <v>0.8</v>
      </c>
      <c r="F54" s="2">
        <v>25</v>
      </c>
      <c r="G54" s="2">
        <v>25</v>
      </c>
      <c r="H54" s="8">
        <v>20900</v>
      </c>
      <c r="I54" s="26">
        <f t="shared" si="4"/>
        <v>14003</v>
      </c>
      <c r="J54" s="26">
        <f t="shared" si="5"/>
        <v>13582.91</v>
      </c>
    </row>
    <row r="55" spans="1:10" ht="17.25" customHeight="1" x14ac:dyDescent="0.35">
      <c r="A55" s="267" t="s">
        <v>108</v>
      </c>
      <c r="B55" s="268"/>
      <c r="C55" s="268"/>
      <c r="D55" s="268"/>
      <c r="E55" s="268"/>
      <c r="F55" s="268"/>
      <c r="G55" s="269"/>
      <c r="H55" s="207" t="s">
        <v>109</v>
      </c>
      <c r="I55" s="315" t="s">
        <v>334</v>
      </c>
      <c r="J55" s="315"/>
    </row>
    <row r="56" spans="1:10" ht="17.25" customHeight="1" x14ac:dyDescent="0.35">
      <c r="A56" s="207" t="s">
        <v>2</v>
      </c>
      <c r="B56" s="287" t="s">
        <v>3</v>
      </c>
      <c r="C56" s="260" t="s">
        <v>4</v>
      </c>
      <c r="D56" s="209" t="s">
        <v>5</v>
      </c>
      <c r="E56" s="210"/>
      <c r="F56" s="209" t="s">
        <v>6</v>
      </c>
      <c r="G56" s="210"/>
      <c r="H56" s="259"/>
      <c r="I56" s="323">
        <v>0.37</v>
      </c>
      <c r="J56" s="323"/>
    </row>
    <row r="57" spans="1:10" ht="17.25" customHeight="1" x14ac:dyDescent="0.35">
      <c r="A57" s="208"/>
      <c r="B57" s="287"/>
      <c r="C57" s="261"/>
      <c r="D57" s="11" t="s">
        <v>9</v>
      </c>
      <c r="E57" s="11" t="s">
        <v>10</v>
      </c>
      <c r="F57" s="11" t="s">
        <v>11</v>
      </c>
      <c r="G57" s="11" t="s">
        <v>12</v>
      </c>
      <c r="H57" s="208"/>
      <c r="I57" s="324"/>
      <c r="J57" s="324"/>
    </row>
    <row r="58" spans="1:10" ht="17.25" customHeight="1" x14ac:dyDescent="0.35">
      <c r="A58" s="6">
        <v>1</v>
      </c>
      <c r="B58" s="6" t="s">
        <v>110</v>
      </c>
      <c r="C58" s="14" t="s">
        <v>111</v>
      </c>
      <c r="D58" s="303">
        <v>0.5</v>
      </c>
      <c r="E58" s="303">
        <v>0.37</v>
      </c>
      <c r="F58" s="2">
        <v>25</v>
      </c>
      <c r="G58" s="2">
        <v>25</v>
      </c>
      <c r="H58" s="8">
        <v>4680</v>
      </c>
      <c r="I58" s="26">
        <f>H58*0.63</f>
        <v>2948.4</v>
      </c>
    </row>
    <row r="59" spans="1:10" ht="17.25" customHeight="1" x14ac:dyDescent="0.35">
      <c r="A59" s="6">
        <v>2</v>
      </c>
      <c r="B59" s="6" t="s">
        <v>112</v>
      </c>
      <c r="C59" s="14" t="s">
        <v>113</v>
      </c>
      <c r="D59" s="303"/>
      <c r="E59" s="303"/>
      <c r="F59" s="2">
        <v>40</v>
      </c>
      <c r="G59" s="2">
        <v>40</v>
      </c>
      <c r="H59" s="8">
        <v>6430</v>
      </c>
      <c r="I59" s="26">
        <f t="shared" ref="I59:I113" si="6">H59*0.63</f>
        <v>4050.9</v>
      </c>
    </row>
    <row r="60" spans="1:10" ht="17.25" customHeight="1" x14ac:dyDescent="0.35">
      <c r="A60" s="4">
        <v>3</v>
      </c>
      <c r="B60" s="4" t="s">
        <v>114</v>
      </c>
      <c r="C60" s="18" t="s">
        <v>115</v>
      </c>
      <c r="D60" s="2">
        <v>0.75</v>
      </c>
      <c r="E60" s="2">
        <v>0.56000000000000005</v>
      </c>
      <c r="F60" s="2">
        <v>40</v>
      </c>
      <c r="G60" s="2">
        <v>40</v>
      </c>
      <c r="H60" s="5">
        <v>6240</v>
      </c>
      <c r="I60" s="26">
        <f t="shared" si="6"/>
        <v>3931.2</v>
      </c>
    </row>
    <row r="61" spans="1:10" ht="17.25" customHeight="1" x14ac:dyDescent="0.35">
      <c r="A61" s="6">
        <v>4</v>
      </c>
      <c r="B61" s="6" t="s">
        <v>116</v>
      </c>
      <c r="C61" s="14" t="s">
        <v>117</v>
      </c>
      <c r="D61" s="262">
        <v>1</v>
      </c>
      <c r="E61" s="262">
        <v>0.75</v>
      </c>
      <c r="F61" s="1">
        <v>25</v>
      </c>
      <c r="G61" s="1">
        <v>25</v>
      </c>
      <c r="H61" s="8">
        <v>7572</v>
      </c>
      <c r="I61" s="26">
        <f t="shared" si="6"/>
        <v>4770.3599999999997</v>
      </c>
    </row>
    <row r="62" spans="1:10" ht="17.25" customHeight="1" x14ac:dyDescent="0.35">
      <c r="A62" s="6">
        <v>5</v>
      </c>
      <c r="B62" s="6" t="s">
        <v>118</v>
      </c>
      <c r="C62" s="14" t="s">
        <v>119</v>
      </c>
      <c r="D62" s="266"/>
      <c r="E62" s="266"/>
      <c r="F62" s="1">
        <v>50</v>
      </c>
      <c r="G62" s="1">
        <v>50</v>
      </c>
      <c r="H62" s="8">
        <v>8900</v>
      </c>
      <c r="I62" s="26">
        <f t="shared" si="6"/>
        <v>5607</v>
      </c>
    </row>
    <row r="63" spans="1:10" ht="17.25" customHeight="1" x14ac:dyDescent="0.35">
      <c r="A63" s="4">
        <v>6</v>
      </c>
      <c r="B63" s="6" t="s">
        <v>120</v>
      </c>
      <c r="C63" s="14" t="s">
        <v>121</v>
      </c>
      <c r="D63" s="266"/>
      <c r="E63" s="266"/>
      <c r="F63" s="1">
        <v>50</v>
      </c>
      <c r="G63" s="1">
        <v>50</v>
      </c>
      <c r="H63" s="5">
        <v>9100</v>
      </c>
      <c r="I63" s="26">
        <f t="shared" si="6"/>
        <v>5733</v>
      </c>
    </row>
    <row r="64" spans="1:10" ht="17.25" customHeight="1" x14ac:dyDescent="0.35">
      <c r="A64" s="6">
        <v>7</v>
      </c>
      <c r="B64" s="4" t="s">
        <v>122</v>
      </c>
      <c r="C64" s="18" t="s">
        <v>123</v>
      </c>
      <c r="D64" s="266"/>
      <c r="E64" s="266"/>
      <c r="F64" s="1">
        <v>50</v>
      </c>
      <c r="G64" s="1">
        <v>50</v>
      </c>
      <c r="H64" s="5">
        <v>9000</v>
      </c>
      <c r="I64" s="26">
        <f t="shared" si="6"/>
        <v>5670</v>
      </c>
    </row>
    <row r="65" spans="1:9" ht="17.25" customHeight="1" x14ac:dyDescent="0.35">
      <c r="A65" s="6">
        <v>8</v>
      </c>
      <c r="B65" s="4" t="s">
        <v>124</v>
      </c>
      <c r="C65" s="19" t="s">
        <v>125</v>
      </c>
      <c r="D65" s="266"/>
      <c r="E65" s="266"/>
      <c r="F65" s="1">
        <v>75</v>
      </c>
      <c r="G65" s="1">
        <v>75</v>
      </c>
      <c r="H65" s="8">
        <v>10000</v>
      </c>
      <c r="I65" s="26">
        <f t="shared" si="6"/>
        <v>6300</v>
      </c>
    </row>
    <row r="66" spans="1:9" ht="17.25" customHeight="1" x14ac:dyDescent="0.35">
      <c r="A66" s="4">
        <v>9</v>
      </c>
      <c r="B66" s="4"/>
      <c r="C66" s="18" t="s">
        <v>126</v>
      </c>
      <c r="D66" s="263"/>
      <c r="E66" s="263"/>
      <c r="F66" s="1">
        <v>75</v>
      </c>
      <c r="G66" s="1">
        <v>75</v>
      </c>
      <c r="H66" s="5">
        <v>10200</v>
      </c>
      <c r="I66" s="26">
        <f t="shared" si="6"/>
        <v>6426</v>
      </c>
    </row>
    <row r="67" spans="1:9" ht="17.25" customHeight="1" x14ac:dyDescent="0.35">
      <c r="A67" s="6">
        <v>10</v>
      </c>
      <c r="B67" s="4" t="s">
        <v>127</v>
      </c>
      <c r="C67" s="19" t="s">
        <v>128</v>
      </c>
      <c r="D67" s="262">
        <v>1.5</v>
      </c>
      <c r="E67" s="262">
        <v>1.1000000000000001</v>
      </c>
      <c r="F67" s="1">
        <v>50</v>
      </c>
      <c r="G67" s="1">
        <v>50</v>
      </c>
      <c r="H67" s="5">
        <v>10420</v>
      </c>
      <c r="I67" s="26">
        <f t="shared" si="6"/>
        <v>6564.6</v>
      </c>
    </row>
    <row r="68" spans="1:9" ht="17.25" customHeight="1" x14ac:dyDescent="0.35">
      <c r="A68" s="6">
        <v>11</v>
      </c>
      <c r="B68" s="4" t="s">
        <v>129</v>
      </c>
      <c r="C68" s="18" t="s">
        <v>130</v>
      </c>
      <c r="D68" s="266"/>
      <c r="E68" s="266"/>
      <c r="F68" s="1">
        <v>50</v>
      </c>
      <c r="G68" s="1">
        <v>50</v>
      </c>
      <c r="H68" s="5">
        <v>10600</v>
      </c>
      <c r="I68" s="26">
        <f t="shared" si="6"/>
        <v>6678</v>
      </c>
    </row>
    <row r="69" spans="1:9" ht="17.25" customHeight="1" x14ac:dyDescent="0.35">
      <c r="A69" s="4">
        <v>12</v>
      </c>
      <c r="B69" s="4" t="s">
        <v>131</v>
      </c>
      <c r="C69" s="19" t="s">
        <v>132</v>
      </c>
      <c r="D69" s="266"/>
      <c r="E69" s="266"/>
      <c r="F69" s="1">
        <v>65</v>
      </c>
      <c r="G69" s="1">
        <v>50</v>
      </c>
      <c r="H69" s="5">
        <v>10600</v>
      </c>
      <c r="I69" s="26">
        <f t="shared" si="6"/>
        <v>6678</v>
      </c>
    </row>
    <row r="70" spans="1:9" ht="17.25" customHeight="1" x14ac:dyDescent="0.35">
      <c r="A70" s="6">
        <v>13</v>
      </c>
      <c r="B70" s="4" t="s">
        <v>133</v>
      </c>
      <c r="C70" s="18" t="s">
        <v>134</v>
      </c>
      <c r="D70" s="266"/>
      <c r="E70" s="266"/>
      <c r="F70" s="1">
        <v>65</v>
      </c>
      <c r="G70" s="1">
        <v>50</v>
      </c>
      <c r="H70" s="5">
        <v>10800</v>
      </c>
      <c r="I70" s="26">
        <f t="shared" si="6"/>
        <v>6804</v>
      </c>
    </row>
    <row r="71" spans="1:9" ht="17.25" customHeight="1" x14ac:dyDescent="0.35">
      <c r="A71" s="6">
        <v>14</v>
      </c>
      <c r="B71" s="4" t="s">
        <v>135</v>
      </c>
      <c r="C71" s="19" t="s">
        <v>136</v>
      </c>
      <c r="D71" s="266"/>
      <c r="E71" s="266"/>
      <c r="F71" s="1">
        <v>75</v>
      </c>
      <c r="G71" s="1">
        <v>75</v>
      </c>
      <c r="H71" s="8">
        <v>11000</v>
      </c>
      <c r="I71" s="26">
        <f t="shared" si="6"/>
        <v>6930</v>
      </c>
    </row>
    <row r="72" spans="1:9" ht="17.25" customHeight="1" x14ac:dyDescent="0.35">
      <c r="A72" s="4">
        <v>15</v>
      </c>
      <c r="B72" s="4" t="s">
        <v>137</v>
      </c>
      <c r="C72" s="18" t="s">
        <v>138</v>
      </c>
      <c r="D72" s="266"/>
      <c r="E72" s="266"/>
      <c r="F72" s="1">
        <v>75</v>
      </c>
      <c r="G72" s="1">
        <v>75</v>
      </c>
      <c r="H72" s="5">
        <v>11200</v>
      </c>
      <c r="I72" s="26">
        <f t="shared" si="6"/>
        <v>7056</v>
      </c>
    </row>
    <row r="73" spans="1:9" ht="17.25" customHeight="1" x14ac:dyDescent="0.35">
      <c r="A73" s="6">
        <v>16</v>
      </c>
      <c r="B73" s="4" t="s">
        <v>139</v>
      </c>
      <c r="C73" s="18" t="s">
        <v>140</v>
      </c>
      <c r="D73" s="263"/>
      <c r="E73" s="263"/>
      <c r="F73" s="1">
        <v>75</v>
      </c>
      <c r="G73" s="1">
        <v>75</v>
      </c>
      <c r="H73" s="5">
        <v>11200</v>
      </c>
      <c r="I73" s="26">
        <f t="shared" si="6"/>
        <v>7056</v>
      </c>
    </row>
    <row r="74" spans="1:9" ht="17.25" customHeight="1" x14ac:dyDescent="0.35">
      <c r="A74" s="6">
        <v>17</v>
      </c>
      <c r="B74" s="4" t="s">
        <v>141</v>
      </c>
      <c r="C74" s="19" t="s">
        <v>142</v>
      </c>
      <c r="D74" s="262">
        <v>2</v>
      </c>
      <c r="E74" s="262">
        <v>1.5</v>
      </c>
      <c r="F74" s="1">
        <v>50</v>
      </c>
      <c r="G74" s="1">
        <v>40</v>
      </c>
      <c r="H74" s="8">
        <v>15000</v>
      </c>
      <c r="I74" s="26">
        <f t="shared" si="6"/>
        <v>9450</v>
      </c>
    </row>
    <row r="75" spans="1:9" ht="17.25" customHeight="1" x14ac:dyDescent="0.35">
      <c r="A75" s="4">
        <v>18</v>
      </c>
      <c r="B75" s="4" t="s">
        <v>143</v>
      </c>
      <c r="C75" s="18" t="s">
        <v>144</v>
      </c>
      <c r="D75" s="266"/>
      <c r="E75" s="266"/>
      <c r="F75" s="1">
        <v>50</v>
      </c>
      <c r="G75" s="1">
        <v>40</v>
      </c>
      <c r="H75" s="5">
        <v>15200</v>
      </c>
      <c r="I75" s="26">
        <f t="shared" si="6"/>
        <v>9576</v>
      </c>
    </row>
    <row r="76" spans="1:9" ht="17.25" customHeight="1" x14ac:dyDescent="0.35">
      <c r="A76" s="6">
        <v>19</v>
      </c>
      <c r="B76" s="6" t="s">
        <v>145</v>
      </c>
      <c r="C76" s="14" t="s">
        <v>146</v>
      </c>
      <c r="D76" s="266"/>
      <c r="E76" s="266"/>
      <c r="F76" s="1">
        <v>50</v>
      </c>
      <c r="G76" s="1">
        <v>50</v>
      </c>
      <c r="H76" s="8">
        <v>13000</v>
      </c>
      <c r="I76" s="26">
        <f t="shared" si="6"/>
        <v>8190</v>
      </c>
    </row>
    <row r="77" spans="1:9" ht="17.25" customHeight="1" x14ac:dyDescent="0.35">
      <c r="A77" s="6">
        <v>20</v>
      </c>
      <c r="B77" s="4" t="s">
        <v>147</v>
      </c>
      <c r="C77" s="18" t="s">
        <v>148</v>
      </c>
      <c r="D77" s="266"/>
      <c r="E77" s="266"/>
      <c r="F77" s="1">
        <v>50</v>
      </c>
      <c r="G77" s="1">
        <v>50</v>
      </c>
      <c r="H77" s="5">
        <v>13200</v>
      </c>
      <c r="I77" s="26">
        <f t="shared" si="6"/>
        <v>8316</v>
      </c>
    </row>
    <row r="78" spans="1:9" ht="17.25" customHeight="1" x14ac:dyDescent="0.35">
      <c r="A78" s="4">
        <v>21</v>
      </c>
      <c r="B78" s="6" t="s">
        <v>149</v>
      </c>
      <c r="C78" s="14" t="s">
        <v>150</v>
      </c>
      <c r="D78" s="266"/>
      <c r="E78" s="266"/>
      <c r="F78" s="1">
        <v>65</v>
      </c>
      <c r="G78" s="1">
        <v>50</v>
      </c>
      <c r="H78" s="8">
        <v>13300</v>
      </c>
      <c r="I78" s="26">
        <f t="shared" si="6"/>
        <v>8379</v>
      </c>
    </row>
    <row r="79" spans="1:9" ht="17.25" customHeight="1" x14ac:dyDescent="0.35">
      <c r="A79" s="6">
        <v>22</v>
      </c>
      <c r="B79" s="6" t="s">
        <v>151</v>
      </c>
      <c r="C79" s="14" t="s">
        <v>152</v>
      </c>
      <c r="D79" s="266"/>
      <c r="E79" s="266"/>
      <c r="F79" s="1">
        <v>65</v>
      </c>
      <c r="G79" s="1">
        <v>50</v>
      </c>
      <c r="H79" s="5">
        <v>13500</v>
      </c>
      <c r="I79" s="26">
        <f t="shared" si="6"/>
        <v>8505</v>
      </c>
    </row>
    <row r="80" spans="1:9" ht="17.25" customHeight="1" x14ac:dyDescent="0.35">
      <c r="A80" s="6">
        <v>23</v>
      </c>
      <c r="B80" s="4" t="s">
        <v>153</v>
      </c>
      <c r="C80" s="18" t="s">
        <v>154</v>
      </c>
      <c r="D80" s="266"/>
      <c r="E80" s="266"/>
      <c r="F80" s="1">
        <v>65</v>
      </c>
      <c r="G80" s="1">
        <v>50</v>
      </c>
      <c r="H80" s="5">
        <v>13340</v>
      </c>
      <c r="I80" s="26">
        <f t="shared" si="6"/>
        <v>8404.2000000000007</v>
      </c>
    </row>
    <row r="81" spans="1:9" ht="17.25" customHeight="1" x14ac:dyDescent="0.35">
      <c r="A81" s="4">
        <v>24</v>
      </c>
      <c r="B81" s="6"/>
      <c r="C81" s="14" t="s">
        <v>155</v>
      </c>
      <c r="D81" s="266"/>
      <c r="E81" s="266"/>
      <c r="F81" s="1">
        <v>65</v>
      </c>
      <c r="G81" s="1">
        <v>50</v>
      </c>
      <c r="H81" s="8">
        <v>13300</v>
      </c>
      <c r="I81" s="26">
        <f t="shared" si="6"/>
        <v>8379</v>
      </c>
    </row>
    <row r="82" spans="1:9" ht="17.25" customHeight="1" x14ac:dyDescent="0.35">
      <c r="A82" s="6">
        <v>25</v>
      </c>
      <c r="B82" s="4" t="s">
        <v>156</v>
      </c>
      <c r="C82" s="18" t="s">
        <v>157</v>
      </c>
      <c r="D82" s="266"/>
      <c r="E82" s="266"/>
      <c r="F82" s="1">
        <v>75</v>
      </c>
      <c r="G82" s="1">
        <v>75</v>
      </c>
      <c r="H82" s="5">
        <v>13600</v>
      </c>
      <c r="I82" s="26">
        <f t="shared" si="6"/>
        <v>8568</v>
      </c>
    </row>
    <row r="83" spans="1:9" ht="17.25" customHeight="1" x14ac:dyDescent="0.35">
      <c r="A83" s="6">
        <v>26</v>
      </c>
      <c r="B83" s="6" t="s">
        <v>158</v>
      </c>
      <c r="C83" s="14" t="s">
        <v>159</v>
      </c>
      <c r="D83" s="266"/>
      <c r="E83" s="266"/>
      <c r="F83" s="1">
        <v>75</v>
      </c>
      <c r="G83" s="1">
        <v>75</v>
      </c>
      <c r="H83" s="8">
        <v>13450</v>
      </c>
      <c r="I83" s="26">
        <f t="shared" si="6"/>
        <v>8473.5</v>
      </c>
    </row>
    <row r="84" spans="1:9" ht="17.25" customHeight="1" x14ac:dyDescent="0.35">
      <c r="A84" s="4">
        <v>27</v>
      </c>
      <c r="B84" s="6" t="s">
        <v>160</v>
      </c>
      <c r="C84" s="14" t="s">
        <v>161</v>
      </c>
      <c r="D84" s="266"/>
      <c r="E84" s="266"/>
      <c r="F84" s="1">
        <v>75</v>
      </c>
      <c r="G84" s="1">
        <v>75</v>
      </c>
      <c r="H84" s="5">
        <v>13800</v>
      </c>
      <c r="I84" s="26">
        <f t="shared" si="6"/>
        <v>8694</v>
      </c>
    </row>
    <row r="85" spans="1:9" ht="17.25" customHeight="1" x14ac:dyDescent="0.35">
      <c r="A85" s="6">
        <v>28</v>
      </c>
      <c r="B85" s="6" t="s">
        <v>162</v>
      </c>
      <c r="C85" s="14" t="s">
        <v>163</v>
      </c>
      <c r="D85" s="266"/>
      <c r="E85" s="266"/>
      <c r="F85" s="1">
        <v>75</v>
      </c>
      <c r="G85" s="1">
        <v>75</v>
      </c>
      <c r="H85" s="5">
        <v>14000</v>
      </c>
      <c r="I85" s="26">
        <f t="shared" si="6"/>
        <v>8820</v>
      </c>
    </row>
    <row r="86" spans="1:9" ht="17.25" customHeight="1" x14ac:dyDescent="0.35">
      <c r="A86" s="6">
        <v>29</v>
      </c>
      <c r="B86" s="6" t="s">
        <v>164</v>
      </c>
      <c r="C86" s="14" t="s">
        <v>165</v>
      </c>
      <c r="D86" s="266"/>
      <c r="E86" s="266"/>
      <c r="F86" s="1">
        <v>75</v>
      </c>
      <c r="G86" s="1">
        <v>75</v>
      </c>
      <c r="H86" s="5">
        <v>14500</v>
      </c>
      <c r="I86" s="26">
        <f t="shared" si="6"/>
        <v>9135</v>
      </c>
    </row>
    <row r="87" spans="1:9" ht="17.25" customHeight="1" x14ac:dyDescent="0.35">
      <c r="A87" s="4">
        <v>30</v>
      </c>
      <c r="B87" s="4" t="s">
        <v>166</v>
      </c>
      <c r="C87" s="18" t="s">
        <v>167</v>
      </c>
      <c r="D87" s="266"/>
      <c r="E87" s="266"/>
      <c r="F87" s="1">
        <v>75</v>
      </c>
      <c r="G87" s="1">
        <v>75</v>
      </c>
      <c r="H87" s="5">
        <v>13550</v>
      </c>
      <c r="I87" s="26">
        <f t="shared" si="6"/>
        <v>8536.5</v>
      </c>
    </row>
    <row r="88" spans="1:9" ht="17.25" customHeight="1" x14ac:dyDescent="0.35">
      <c r="A88" s="6">
        <v>31</v>
      </c>
      <c r="B88" s="6" t="s">
        <v>168</v>
      </c>
      <c r="C88" s="14" t="s">
        <v>169</v>
      </c>
      <c r="D88" s="266"/>
      <c r="E88" s="266"/>
      <c r="F88" s="1">
        <v>75</v>
      </c>
      <c r="G88" s="1">
        <v>65</v>
      </c>
      <c r="H88" s="8">
        <v>13450</v>
      </c>
      <c r="I88" s="26">
        <f t="shared" si="6"/>
        <v>8473.5</v>
      </c>
    </row>
    <row r="89" spans="1:9" ht="17.25" customHeight="1" x14ac:dyDescent="0.35">
      <c r="A89" s="6">
        <v>32</v>
      </c>
      <c r="B89" s="6" t="s">
        <v>170</v>
      </c>
      <c r="C89" s="14" t="s">
        <v>171</v>
      </c>
      <c r="D89" s="266"/>
      <c r="E89" s="266"/>
      <c r="F89" s="1">
        <v>75</v>
      </c>
      <c r="G89" s="1">
        <v>65</v>
      </c>
      <c r="H89" s="5">
        <v>13740</v>
      </c>
      <c r="I89" s="26">
        <f t="shared" si="6"/>
        <v>8656.2000000000007</v>
      </c>
    </row>
    <row r="90" spans="1:9" ht="17.25" customHeight="1" x14ac:dyDescent="0.35">
      <c r="A90" s="4">
        <v>33</v>
      </c>
      <c r="B90" s="4"/>
      <c r="C90" s="19" t="s">
        <v>172</v>
      </c>
      <c r="D90" s="266"/>
      <c r="E90" s="266"/>
      <c r="F90" s="1">
        <v>100</v>
      </c>
      <c r="G90" s="1">
        <v>100</v>
      </c>
      <c r="H90" s="8">
        <v>15000</v>
      </c>
      <c r="I90" s="26">
        <f t="shared" si="6"/>
        <v>9450</v>
      </c>
    </row>
    <row r="91" spans="1:9" ht="17.25" customHeight="1" x14ac:dyDescent="0.35">
      <c r="A91" s="6">
        <v>34</v>
      </c>
      <c r="B91" s="4"/>
      <c r="C91" s="18" t="s">
        <v>173</v>
      </c>
      <c r="D91" s="263"/>
      <c r="E91" s="263"/>
      <c r="F91" s="1">
        <v>100</v>
      </c>
      <c r="G91" s="1">
        <v>100</v>
      </c>
      <c r="H91" s="5">
        <v>15200</v>
      </c>
      <c r="I91" s="26">
        <f t="shared" si="6"/>
        <v>9576</v>
      </c>
    </row>
    <row r="92" spans="1:9" ht="17.25" customHeight="1" x14ac:dyDescent="0.35">
      <c r="A92" s="6">
        <v>35</v>
      </c>
      <c r="B92" s="4"/>
      <c r="C92" s="19" t="s">
        <v>174</v>
      </c>
      <c r="D92" s="262">
        <v>3</v>
      </c>
      <c r="E92" s="262">
        <v>2.25</v>
      </c>
      <c r="F92" s="1">
        <v>50</v>
      </c>
      <c r="G92" s="1">
        <v>40</v>
      </c>
      <c r="H92" s="8">
        <v>18000</v>
      </c>
      <c r="I92" s="26">
        <f t="shared" si="6"/>
        <v>11340</v>
      </c>
    </row>
    <row r="93" spans="1:9" ht="17.25" customHeight="1" x14ac:dyDescent="0.35">
      <c r="A93" s="4">
        <v>36</v>
      </c>
      <c r="B93" s="4" t="s">
        <v>175</v>
      </c>
      <c r="C93" s="18" t="s">
        <v>176</v>
      </c>
      <c r="D93" s="266"/>
      <c r="E93" s="266"/>
      <c r="F93" s="1">
        <v>50</v>
      </c>
      <c r="G93" s="1">
        <v>40</v>
      </c>
      <c r="H93" s="5">
        <v>18560</v>
      </c>
      <c r="I93" s="26">
        <f t="shared" si="6"/>
        <v>11692.8</v>
      </c>
    </row>
    <row r="94" spans="1:9" ht="17.25" customHeight="1" x14ac:dyDescent="0.35">
      <c r="A94" s="6">
        <v>37</v>
      </c>
      <c r="B94" s="4" t="s">
        <v>177</v>
      </c>
      <c r="C94" s="19" t="s">
        <v>178</v>
      </c>
      <c r="D94" s="266"/>
      <c r="E94" s="266"/>
      <c r="F94" s="1">
        <v>50</v>
      </c>
      <c r="G94" s="1">
        <v>50</v>
      </c>
      <c r="H94" s="8">
        <v>18250</v>
      </c>
      <c r="I94" s="26">
        <f t="shared" si="6"/>
        <v>11497.5</v>
      </c>
    </row>
    <row r="95" spans="1:9" ht="17.25" customHeight="1" x14ac:dyDescent="0.35">
      <c r="A95" s="6">
        <v>38</v>
      </c>
      <c r="B95" s="4" t="s">
        <v>179</v>
      </c>
      <c r="C95" s="18" t="s">
        <v>180</v>
      </c>
      <c r="D95" s="266"/>
      <c r="E95" s="266"/>
      <c r="F95" s="1">
        <v>50</v>
      </c>
      <c r="G95" s="1">
        <v>50</v>
      </c>
      <c r="H95" s="5">
        <v>18670</v>
      </c>
      <c r="I95" s="26">
        <f t="shared" si="6"/>
        <v>11762.1</v>
      </c>
    </row>
    <row r="96" spans="1:9" ht="17.25" customHeight="1" x14ac:dyDescent="0.35">
      <c r="A96" s="4">
        <v>39</v>
      </c>
      <c r="B96" s="6" t="s">
        <v>181</v>
      </c>
      <c r="C96" s="14" t="s">
        <v>182</v>
      </c>
      <c r="D96" s="266"/>
      <c r="E96" s="266"/>
      <c r="F96" s="1">
        <v>65</v>
      </c>
      <c r="G96" s="1">
        <v>50</v>
      </c>
      <c r="H96" s="8">
        <v>18100</v>
      </c>
      <c r="I96" s="26">
        <f t="shared" si="6"/>
        <v>11403</v>
      </c>
    </row>
    <row r="97" spans="1:9" ht="17.25" customHeight="1" x14ac:dyDescent="0.35">
      <c r="A97" s="6">
        <v>40</v>
      </c>
      <c r="B97" s="6" t="s">
        <v>183</v>
      </c>
      <c r="C97" s="14" t="s">
        <v>184</v>
      </c>
      <c r="D97" s="266"/>
      <c r="E97" s="266"/>
      <c r="F97" s="1">
        <v>65</v>
      </c>
      <c r="G97" s="1">
        <v>50</v>
      </c>
      <c r="H97" s="5">
        <v>18770</v>
      </c>
      <c r="I97" s="26">
        <f t="shared" si="6"/>
        <v>11825.1</v>
      </c>
    </row>
    <row r="98" spans="1:9" ht="17.25" customHeight="1" x14ac:dyDescent="0.35">
      <c r="A98" s="6">
        <v>41</v>
      </c>
      <c r="B98" s="6" t="s">
        <v>185</v>
      </c>
      <c r="C98" s="14" t="s">
        <v>186</v>
      </c>
      <c r="D98" s="266"/>
      <c r="E98" s="266"/>
      <c r="F98" s="1">
        <v>75</v>
      </c>
      <c r="G98" s="1">
        <v>75</v>
      </c>
      <c r="H98" s="8">
        <v>18020</v>
      </c>
      <c r="I98" s="26">
        <f t="shared" si="6"/>
        <v>11352.6</v>
      </c>
    </row>
    <row r="99" spans="1:9" ht="17.25" customHeight="1" x14ac:dyDescent="0.35">
      <c r="A99" s="4">
        <v>42</v>
      </c>
      <c r="B99" s="6" t="s">
        <v>187</v>
      </c>
      <c r="C99" s="14" t="s">
        <v>188</v>
      </c>
      <c r="D99" s="266"/>
      <c r="E99" s="266"/>
      <c r="F99" s="1">
        <v>75</v>
      </c>
      <c r="G99" s="1">
        <v>75</v>
      </c>
      <c r="H99" s="5">
        <v>18680</v>
      </c>
      <c r="I99" s="26">
        <f t="shared" si="6"/>
        <v>11768.4</v>
      </c>
    </row>
    <row r="100" spans="1:9" ht="17.25" customHeight="1" x14ac:dyDescent="0.35">
      <c r="A100" s="6">
        <v>43</v>
      </c>
      <c r="B100" s="6" t="s">
        <v>189</v>
      </c>
      <c r="C100" s="14" t="s">
        <v>190</v>
      </c>
      <c r="D100" s="266"/>
      <c r="E100" s="266"/>
      <c r="F100" s="1">
        <v>100</v>
      </c>
      <c r="G100" s="1">
        <v>100</v>
      </c>
      <c r="H100" s="8">
        <v>19100</v>
      </c>
      <c r="I100" s="26">
        <f t="shared" si="6"/>
        <v>12033</v>
      </c>
    </row>
    <row r="101" spans="1:9" ht="17.25" customHeight="1" x14ac:dyDescent="0.35">
      <c r="A101" s="6">
        <v>44</v>
      </c>
      <c r="B101" s="6" t="s">
        <v>191</v>
      </c>
      <c r="C101" s="14" t="s">
        <v>192</v>
      </c>
      <c r="D101" s="266"/>
      <c r="E101" s="266"/>
      <c r="F101" s="1">
        <v>100</v>
      </c>
      <c r="G101" s="1">
        <v>100</v>
      </c>
      <c r="H101" s="5">
        <v>19500</v>
      </c>
      <c r="I101" s="26">
        <f t="shared" si="6"/>
        <v>12285</v>
      </c>
    </row>
    <row r="102" spans="1:9" ht="17.25" customHeight="1" x14ac:dyDescent="0.35">
      <c r="A102" s="4">
        <v>45</v>
      </c>
      <c r="B102" s="6" t="s">
        <v>193</v>
      </c>
      <c r="C102" s="14" t="s">
        <v>194</v>
      </c>
      <c r="D102" s="266"/>
      <c r="E102" s="266"/>
      <c r="F102" s="1">
        <v>100</v>
      </c>
      <c r="G102" s="1">
        <v>100</v>
      </c>
      <c r="H102" s="5">
        <v>14800</v>
      </c>
      <c r="I102" s="26">
        <f t="shared" si="6"/>
        <v>9324</v>
      </c>
    </row>
    <row r="103" spans="1:9" ht="17.25" customHeight="1" x14ac:dyDescent="0.35">
      <c r="A103" s="6">
        <v>46</v>
      </c>
      <c r="B103" s="4" t="s">
        <v>195</v>
      </c>
      <c r="C103" s="18" t="s">
        <v>196</v>
      </c>
      <c r="D103" s="263"/>
      <c r="E103" s="263"/>
      <c r="F103" s="1">
        <v>100</v>
      </c>
      <c r="G103" s="1">
        <v>100</v>
      </c>
      <c r="H103" s="5">
        <v>15000</v>
      </c>
      <c r="I103" s="26">
        <f t="shared" si="6"/>
        <v>9450</v>
      </c>
    </row>
    <row r="104" spans="1:9" ht="17.25" customHeight="1" x14ac:dyDescent="0.35">
      <c r="A104" s="6">
        <v>47</v>
      </c>
      <c r="B104" s="6" t="s">
        <v>197</v>
      </c>
      <c r="C104" s="14" t="s">
        <v>198</v>
      </c>
      <c r="D104" s="262">
        <v>5</v>
      </c>
      <c r="E104" s="262">
        <v>3.75</v>
      </c>
      <c r="F104" s="1">
        <v>80</v>
      </c>
      <c r="G104" s="1">
        <v>65</v>
      </c>
      <c r="H104" s="5">
        <v>24600</v>
      </c>
      <c r="I104" s="26">
        <f t="shared" si="6"/>
        <v>15498</v>
      </c>
    </row>
    <row r="105" spans="1:9" ht="17.25" customHeight="1" x14ac:dyDescent="0.35">
      <c r="A105" s="4">
        <v>48</v>
      </c>
      <c r="B105" s="4"/>
      <c r="C105" s="20" t="s">
        <v>199</v>
      </c>
      <c r="D105" s="266"/>
      <c r="E105" s="266"/>
      <c r="F105" s="1">
        <v>80</v>
      </c>
      <c r="G105" s="1">
        <v>65</v>
      </c>
      <c r="H105" s="5">
        <v>26000</v>
      </c>
      <c r="I105" s="26">
        <f t="shared" si="6"/>
        <v>16380</v>
      </c>
    </row>
    <row r="106" spans="1:9" ht="17.25" customHeight="1" x14ac:dyDescent="0.35">
      <c r="A106" s="6">
        <v>49</v>
      </c>
      <c r="B106" s="6" t="s">
        <v>200</v>
      </c>
      <c r="C106" s="20" t="s">
        <v>201</v>
      </c>
      <c r="D106" s="263"/>
      <c r="E106" s="263"/>
      <c r="F106" s="1">
        <v>80</v>
      </c>
      <c r="G106" s="1">
        <v>65</v>
      </c>
      <c r="H106" s="5">
        <v>23600</v>
      </c>
      <c r="I106" s="26">
        <f t="shared" si="6"/>
        <v>14868</v>
      </c>
    </row>
    <row r="107" spans="1:9" ht="17.25" customHeight="1" x14ac:dyDescent="0.35">
      <c r="A107" s="6">
        <v>50</v>
      </c>
      <c r="B107" s="4" t="s">
        <v>202</v>
      </c>
      <c r="C107" s="18" t="s">
        <v>203</v>
      </c>
      <c r="D107" s="7">
        <v>0.75</v>
      </c>
      <c r="E107" s="7">
        <v>0.56000000000000005</v>
      </c>
      <c r="F107" s="2">
        <v>25</v>
      </c>
      <c r="G107" s="2">
        <v>25</v>
      </c>
      <c r="H107" s="5">
        <v>5170</v>
      </c>
      <c r="I107" s="26">
        <f t="shared" si="6"/>
        <v>3257.1</v>
      </c>
    </row>
    <row r="108" spans="1:9" ht="17.25" customHeight="1" x14ac:dyDescent="0.35">
      <c r="A108" s="4">
        <v>51</v>
      </c>
      <c r="B108" s="4" t="s">
        <v>204</v>
      </c>
      <c r="C108" s="18" t="s">
        <v>205</v>
      </c>
      <c r="D108" s="262">
        <v>1</v>
      </c>
      <c r="E108" s="262">
        <v>0.75</v>
      </c>
      <c r="F108" s="1">
        <v>40</v>
      </c>
      <c r="G108" s="1">
        <v>40</v>
      </c>
      <c r="H108" s="5">
        <v>9000</v>
      </c>
      <c r="I108" s="26">
        <f t="shared" si="6"/>
        <v>5670</v>
      </c>
    </row>
    <row r="109" spans="1:9" ht="17.25" customHeight="1" x14ac:dyDescent="0.35">
      <c r="A109" s="6">
        <v>52</v>
      </c>
      <c r="B109" s="4"/>
      <c r="C109" s="18" t="s">
        <v>206</v>
      </c>
      <c r="D109" s="263"/>
      <c r="E109" s="263"/>
      <c r="F109" s="1">
        <v>40</v>
      </c>
      <c r="G109" s="1">
        <v>40</v>
      </c>
      <c r="H109" s="5">
        <v>9000</v>
      </c>
      <c r="I109" s="26">
        <f t="shared" si="6"/>
        <v>5670</v>
      </c>
    </row>
    <row r="110" spans="1:9" ht="17.25" customHeight="1" x14ac:dyDescent="0.35">
      <c r="A110" s="6">
        <v>53</v>
      </c>
      <c r="B110" s="4"/>
      <c r="C110" s="20" t="s">
        <v>207</v>
      </c>
      <c r="D110" s="262">
        <v>2</v>
      </c>
      <c r="E110" s="262">
        <v>1.5</v>
      </c>
      <c r="F110" s="1">
        <v>75</v>
      </c>
      <c r="G110" s="1">
        <v>75</v>
      </c>
      <c r="H110" s="5">
        <v>12500</v>
      </c>
      <c r="I110" s="26">
        <f t="shared" si="6"/>
        <v>7875</v>
      </c>
    </row>
    <row r="111" spans="1:9" ht="17.25" customHeight="1" x14ac:dyDescent="0.35">
      <c r="A111" s="4">
        <v>54</v>
      </c>
      <c r="B111" s="4" t="s">
        <v>208</v>
      </c>
      <c r="C111" s="20" t="s">
        <v>209</v>
      </c>
      <c r="D111" s="266"/>
      <c r="E111" s="266"/>
      <c r="F111" s="1">
        <v>75</v>
      </c>
      <c r="G111" s="1">
        <v>75</v>
      </c>
      <c r="H111" s="5">
        <v>12500</v>
      </c>
      <c r="I111" s="26">
        <f t="shared" si="6"/>
        <v>7875</v>
      </c>
    </row>
    <row r="112" spans="1:9" ht="17.25" customHeight="1" x14ac:dyDescent="0.35">
      <c r="A112" s="6">
        <v>55</v>
      </c>
      <c r="B112" s="4" t="s">
        <v>210</v>
      </c>
      <c r="C112" s="20" t="s">
        <v>211</v>
      </c>
      <c r="D112" s="266"/>
      <c r="E112" s="266"/>
      <c r="F112" s="1">
        <v>65</v>
      </c>
      <c r="G112" s="1">
        <v>50</v>
      </c>
      <c r="H112" s="5">
        <v>12200</v>
      </c>
      <c r="I112" s="26">
        <f t="shared" si="6"/>
        <v>7686</v>
      </c>
    </row>
    <row r="113" spans="1:9" ht="17.25" customHeight="1" x14ac:dyDescent="0.35">
      <c r="A113" s="6">
        <v>56</v>
      </c>
      <c r="B113" s="4" t="s">
        <v>212</v>
      </c>
      <c r="C113" s="20" t="s">
        <v>213</v>
      </c>
      <c r="D113" s="263"/>
      <c r="E113" s="263"/>
      <c r="F113" s="1">
        <v>50</v>
      </c>
      <c r="G113" s="1">
        <v>50</v>
      </c>
      <c r="H113" s="5">
        <v>12200</v>
      </c>
      <c r="I113" s="26">
        <f t="shared" si="6"/>
        <v>7686</v>
      </c>
    </row>
    <row r="114" spans="1:9" ht="17.25" customHeight="1" x14ac:dyDescent="0.35">
      <c r="A114" s="300" t="s">
        <v>214</v>
      </c>
      <c r="B114" s="300"/>
      <c r="C114" s="300"/>
      <c r="D114" s="300"/>
      <c r="E114" s="300"/>
      <c r="F114" s="300"/>
      <c r="G114" s="300"/>
      <c r="H114" s="207" t="s">
        <v>109</v>
      </c>
      <c r="I114" s="131" t="s">
        <v>334</v>
      </c>
    </row>
    <row r="115" spans="1:9" ht="17.25" customHeight="1" x14ac:dyDescent="0.35">
      <c r="A115" s="207" t="s">
        <v>2</v>
      </c>
      <c r="B115" s="287" t="s">
        <v>3</v>
      </c>
      <c r="C115" s="298" t="s">
        <v>4</v>
      </c>
      <c r="D115" s="287" t="s">
        <v>5</v>
      </c>
      <c r="E115" s="287"/>
      <c r="F115" s="287" t="s">
        <v>6</v>
      </c>
      <c r="G115" s="287"/>
      <c r="H115" s="259"/>
      <c r="I115" s="323">
        <v>0.37</v>
      </c>
    </row>
    <row r="116" spans="1:9" ht="17.25" customHeight="1" x14ac:dyDescent="0.35">
      <c r="A116" s="208"/>
      <c r="B116" s="287"/>
      <c r="C116" s="298"/>
      <c r="D116" s="11" t="s">
        <v>9</v>
      </c>
      <c r="E116" s="11" t="s">
        <v>10</v>
      </c>
      <c r="F116" s="11" t="s">
        <v>11</v>
      </c>
      <c r="G116" s="11" t="s">
        <v>12</v>
      </c>
      <c r="H116" s="208"/>
      <c r="I116" s="324"/>
    </row>
    <row r="117" spans="1:9" ht="17.25" customHeight="1" x14ac:dyDescent="0.35">
      <c r="A117" s="4">
        <v>1</v>
      </c>
      <c r="B117" s="4" t="s">
        <v>215</v>
      </c>
      <c r="C117" s="12" t="s">
        <v>216</v>
      </c>
      <c r="D117" s="2">
        <v>0.5</v>
      </c>
      <c r="E117" s="2">
        <v>0.37</v>
      </c>
      <c r="F117" s="2">
        <v>25</v>
      </c>
      <c r="G117" s="2">
        <v>25</v>
      </c>
      <c r="H117" s="13">
        <v>5370</v>
      </c>
      <c r="I117" s="102">
        <f>H117*0.63</f>
        <v>3383.1</v>
      </c>
    </row>
    <row r="118" spans="1:9" ht="17.25" customHeight="1" x14ac:dyDescent="0.35">
      <c r="A118" s="4">
        <v>2</v>
      </c>
      <c r="B118" s="4" t="s">
        <v>217</v>
      </c>
      <c r="C118" s="12" t="s">
        <v>218</v>
      </c>
      <c r="D118" s="2">
        <v>1</v>
      </c>
      <c r="E118" s="2">
        <v>0.75</v>
      </c>
      <c r="F118" s="2">
        <v>25</v>
      </c>
      <c r="G118" s="2">
        <v>25</v>
      </c>
      <c r="H118" s="13">
        <v>7070</v>
      </c>
      <c r="I118" s="150">
        <v>4793</v>
      </c>
    </row>
    <row r="119" spans="1:9" ht="17.25" customHeight="1" x14ac:dyDescent="0.35">
      <c r="A119" s="4">
        <v>3</v>
      </c>
      <c r="B119" s="21" t="s">
        <v>219</v>
      </c>
      <c r="C119" s="22" t="s">
        <v>220</v>
      </c>
      <c r="D119" s="23">
        <v>2</v>
      </c>
      <c r="E119" s="4">
        <v>1.5</v>
      </c>
      <c r="F119" s="4">
        <v>50</v>
      </c>
      <c r="G119" s="4">
        <v>50</v>
      </c>
      <c r="H119" s="4">
        <v>12200</v>
      </c>
      <c r="I119" s="26">
        <f t="shared" ref="I119:I128" si="7">H119*0.63</f>
        <v>7686</v>
      </c>
    </row>
    <row r="120" spans="1:9" ht="17.25" customHeight="1" x14ac:dyDescent="0.35">
      <c r="A120" s="4">
        <v>4</v>
      </c>
      <c r="B120" s="21" t="s">
        <v>221</v>
      </c>
      <c r="C120" s="22" t="s">
        <v>222</v>
      </c>
      <c r="D120" s="23">
        <v>2</v>
      </c>
      <c r="E120" s="4">
        <v>1.5</v>
      </c>
      <c r="F120" s="4">
        <v>50</v>
      </c>
      <c r="G120" s="4">
        <v>50</v>
      </c>
      <c r="H120" s="4">
        <v>12200</v>
      </c>
      <c r="I120" s="26">
        <f t="shared" si="7"/>
        <v>7686</v>
      </c>
    </row>
    <row r="121" spans="1:9" ht="17.25" customHeight="1" x14ac:dyDescent="0.35">
      <c r="A121" s="4">
        <v>5</v>
      </c>
      <c r="B121" s="21" t="s">
        <v>223</v>
      </c>
      <c r="C121" s="22" t="s">
        <v>224</v>
      </c>
      <c r="D121" s="23">
        <v>2</v>
      </c>
      <c r="E121" s="4">
        <v>1.5</v>
      </c>
      <c r="F121" s="4">
        <v>65</v>
      </c>
      <c r="G121" s="4">
        <v>50</v>
      </c>
      <c r="H121" s="4">
        <v>12300</v>
      </c>
      <c r="I121" s="26">
        <f t="shared" si="7"/>
        <v>7749</v>
      </c>
    </row>
    <row r="122" spans="1:9" ht="17.25" customHeight="1" x14ac:dyDescent="0.35">
      <c r="A122" s="4">
        <v>6</v>
      </c>
      <c r="B122" s="21" t="s">
        <v>225</v>
      </c>
      <c r="C122" s="22" t="s">
        <v>226</v>
      </c>
      <c r="D122" s="23">
        <v>2</v>
      </c>
      <c r="E122" s="4">
        <v>1.5</v>
      </c>
      <c r="F122" s="4">
        <v>65</v>
      </c>
      <c r="G122" s="4">
        <v>50</v>
      </c>
      <c r="H122" s="4">
        <v>12300</v>
      </c>
      <c r="I122" s="26">
        <f t="shared" si="7"/>
        <v>7749</v>
      </c>
    </row>
    <row r="123" spans="1:9" ht="17.25" customHeight="1" x14ac:dyDescent="0.35">
      <c r="A123" s="4">
        <v>7</v>
      </c>
      <c r="B123" s="21" t="s">
        <v>227</v>
      </c>
      <c r="C123" s="22" t="s">
        <v>228</v>
      </c>
      <c r="D123" s="21">
        <v>3</v>
      </c>
      <c r="E123" s="4">
        <v>2.25</v>
      </c>
      <c r="F123" s="4">
        <v>65</v>
      </c>
      <c r="G123" s="4">
        <v>50</v>
      </c>
      <c r="H123" s="4">
        <v>12900</v>
      </c>
      <c r="I123" s="26">
        <f t="shared" si="7"/>
        <v>8127</v>
      </c>
    </row>
    <row r="124" spans="1:9" ht="17.25" customHeight="1" x14ac:dyDescent="0.35">
      <c r="A124" s="4">
        <v>8</v>
      </c>
      <c r="B124" s="21" t="s">
        <v>229</v>
      </c>
      <c r="C124" s="24" t="s">
        <v>230</v>
      </c>
      <c r="D124" s="21">
        <v>3</v>
      </c>
      <c r="E124" s="4">
        <v>2.25</v>
      </c>
      <c r="F124" s="4">
        <v>65</v>
      </c>
      <c r="G124" s="4">
        <v>50</v>
      </c>
      <c r="H124" s="4">
        <v>13000</v>
      </c>
      <c r="I124" s="26">
        <f t="shared" si="7"/>
        <v>8190</v>
      </c>
    </row>
    <row r="125" spans="1:9" ht="17.25" customHeight="1" x14ac:dyDescent="0.35">
      <c r="A125" s="4">
        <v>9</v>
      </c>
      <c r="B125" s="21" t="s">
        <v>231</v>
      </c>
      <c r="C125" s="24" t="s">
        <v>232</v>
      </c>
      <c r="D125" s="21">
        <v>3</v>
      </c>
      <c r="E125" s="4">
        <v>2.25</v>
      </c>
      <c r="F125" s="4">
        <v>65</v>
      </c>
      <c r="G125" s="4">
        <v>50</v>
      </c>
      <c r="H125" s="4">
        <v>12900</v>
      </c>
      <c r="I125" s="26">
        <f t="shared" si="7"/>
        <v>8127</v>
      </c>
    </row>
    <row r="126" spans="1:9" ht="17.25" customHeight="1" x14ac:dyDescent="0.35">
      <c r="A126" s="4">
        <v>10</v>
      </c>
      <c r="B126" s="21" t="s">
        <v>233</v>
      </c>
      <c r="C126" s="24" t="s">
        <v>234</v>
      </c>
      <c r="D126" s="21">
        <v>3</v>
      </c>
      <c r="E126" s="4">
        <v>2.25</v>
      </c>
      <c r="F126" s="4">
        <v>65</v>
      </c>
      <c r="G126" s="4">
        <v>50</v>
      </c>
      <c r="H126" s="4">
        <v>19300</v>
      </c>
      <c r="I126" s="26">
        <f t="shared" si="7"/>
        <v>12159</v>
      </c>
    </row>
    <row r="127" spans="1:9" ht="17.25" customHeight="1" x14ac:dyDescent="0.35">
      <c r="A127" s="4">
        <v>11</v>
      </c>
      <c r="B127" s="21" t="s">
        <v>235</v>
      </c>
      <c r="C127" s="24" t="s">
        <v>236</v>
      </c>
      <c r="D127" s="21">
        <v>5</v>
      </c>
      <c r="E127" s="1">
        <v>3.75</v>
      </c>
      <c r="F127" s="4">
        <v>65</v>
      </c>
      <c r="G127" s="4">
        <v>50</v>
      </c>
      <c r="H127" s="4">
        <v>18700</v>
      </c>
      <c r="I127" s="26">
        <f t="shared" si="7"/>
        <v>11781</v>
      </c>
    </row>
    <row r="128" spans="1:9" ht="17.25" customHeight="1" x14ac:dyDescent="0.35">
      <c r="A128" s="4">
        <v>12</v>
      </c>
      <c r="B128" s="21" t="s">
        <v>237</v>
      </c>
      <c r="C128" s="24" t="s">
        <v>238</v>
      </c>
      <c r="D128" s="21">
        <v>5</v>
      </c>
      <c r="E128" s="1">
        <v>3.75</v>
      </c>
      <c r="F128" s="4">
        <v>65</v>
      </c>
      <c r="G128" s="4">
        <v>50</v>
      </c>
      <c r="H128" s="4">
        <v>22900</v>
      </c>
      <c r="I128" s="26">
        <f t="shared" si="7"/>
        <v>14427</v>
      </c>
    </row>
    <row r="129" spans="1:9" ht="17.25" customHeight="1" x14ac:dyDescent="0.35">
      <c r="A129" s="300" t="s">
        <v>239</v>
      </c>
      <c r="B129" s="300"/>
      <c r="C129" s="300"/>
      <c r="D129" s="300"/>
      <c r="E129" s="300"/>
      <c r="F129" s="300"/>
      <c r="G129" s="300"/>
      <c r="H129" s="207" t="s">
        <v>109</v>
      </c>
      <c r="I129" s="131" t="s">
        <v>334</v>
      </c>
    </row>
    <row r="130" spans="1:9" ht="17.25" customHeight="1" x14ac:dyDescent="0.35">
      <c r="A130" s="287" t="s">
        <v>2</v>
      </c>
      <c r="B130" s="287" t="s">
        <v>3</v>
      </c>
      <c r="C130" s="298" t="s">
        <v>4</v>
      </c>
      <c r="D130" s="287" t="s">
        <v>5</v>
      </c>
      <c r="E130" s="287"/>
      <c r="F130" s="272" t="s">
        <v>6</v>
      </c>
      <c r="G130" s="273"/>
      <c r="H130" s="259"/>
      <c r="I130" s="323">
        <v>0.37</v>
      </c>
    </row>
    <row r="131" spans="1:9" ht="17.25" customHeight="1" x14ac:dyDescent="0.35">
      <c r="A131" s="287"/>
      <c r="B131" s="287"/>
      <c r="C131" s="298"/>
      <c r="D131" s="11" t="s">
        <v>9</v>
      </c>
      <c r="E131" s="11" t="s">
        <v>10</v>
      </c>
      <c r="F131" s="274"/>
      <c r="G131" s="275"/>
      <c r="H131" s="208"/>
      <c r="I131" s="324"/>
    </row>
    <row r="132" spans="1:9" ht="17.25" customHeight="1" x14ac:dyDescent="0.35">
      <c r="A132" s="4">
        <v>1</v>
      </c>
      <c r="B132" s="4" t="s">
        <v>240</v>
      </c>
      <c r="C132" s="25" t="s">
        <v>241</v>
      </c>
      <c r="D132" s="4">
        <v>0.5</v>
      </c>
      <c r="E132" s="4"/>
      <c r="F132" s="292">
        <v>32</v>
      </c>
      <c r="G132" s="292"/>
      <c r="H132" s="4">
        <v>8240</v>
      </c>
      <c r="I132" s="26">
        <f t="shared" ref="I132:I154" si="8">H132*0.63</f>
        <v>5191.2</v>
      </c>
    </row>
    <row r="133" spans="1:9" ht="17.25" customHeight="1" x14ac:dyDescent="0.35">
      <c r="A133" s="4">
        <v>2</v>
      </c>
      <c r="B133" s="4" t="s">
        <v>242</v>
      </c>
      <c r="C133" s="25" t="s">
        <v>243</v>
      </c>
      <c r="D133" s="4">
        <v>0.5</v>
      </c>
      <c r="E133" s="4"/>
      <c r="F133" s="292">
        <v>32</v>
      </c>
      <c r="G133" s="292"/>
      <c r="H133" s="4">
        <v>8450</v>
      </c>
      <c r="I133" s="26">
        <f t="shared" si="8"/>
        <v>5323.5</v>
      </c>
    </row>
    <row r="134" spans="1:9" ht="17.25" customHeight="1" x14ac:dyDescent="0.35">
      <c r="A134" s="4">
        <v>3</v>
      </c>
      <c r="B134" s="4" t="s">
        <v>244</v>
      </c>
      <c r="C134" s="25" t="s">
        <v>245</v>
      </c>
      <c r="D134" s="4">
        <v>0.75</v>
      </c>
      <c r="E134" s="4"/>
      <c r="F134" s="292">
        <v>32</v>
      </c>
      <c r="G134" s="292"/>
      <c r="H134" s="4">
        <v>8550</v>
      </c>
      <c r="I134" s="26">
        <f t="shared" si="8"/>
        <v>5386.5</v>
      </c>
    </row>
    <row r="135" spans="1:9" ht="17.25" customHeight="1" x14ac:dyDescent="0.35">
      <c r="A135" s="4">
        <v>4</v>
      </c>
      <c r="B135" s="4" t="s">
        <v>246</v>
      </c>
      <c r="C135" s="25" t="s">
        <v>247</v>
      </c>
      <c r="D135" s="4">
        <v>0.75</v>
      </c>
      <c r="E135" s="4"/>
      <c r="F135" s="292">
        <v>32</v>
      </c>
      <c r="G135" s="292"/>
      <c r="H135" s="4">
        <v>8750</v>
      </c>
      <c r="I135" s="26">
        <f t="shared" si="8"/>
        <v>5512.5</v>
      </c>
    </row>
    <row r="136" spans="1:9" ht="17.25" customHeight="1" x14ac:dyDescent="0.35">
      <c r="A136" s="4">
        <v>5</v>
      </c>
      <c r="B136" s="4" t="s">
        <v>248</v>
      </c>
      <c r="C136" s="25" t="s">
        <v>249</v>
      </c>
      <c r="D136" s="4">
        <v>1</v>
      </c>
      <c r="E136" s="4"/>
      <c r="F136" s="292">
        <v>32</v>
      </c>
      <c r="G136" s="292"/>
      <c r="H136" s="26">
        <v>8800</v>
      </c>
      <c r="I136" s="26">
        <f t="shared" si="8"/>
        <v>5544</v>
      </c>
    </row>
    <row r="137" spans="1:9" ht="17.25" customHeight="1" x14ac:dyDescent="0.35">
      <c r="A137" s="4">
        <v>6</v>
      </c>
      <c r="B137" s="4" t="s">
        <v>250</v>
      </c>
      <c r="C137" s="25" t="s">
        <v>251</v>
      </c>
      <c r="D137" s="4">
        <v>1</v>
      </c>
      <c r="E137" s="4"/>
      <c r="F137" s="292">
        <v>32</v>
      </c>
      <c r="G137" s="292"/>
      <c r="H137" s="26">
        <v>9000</v>
      </c>
      <c r="I137" s="26">
        <f t="shared" si="8"/>
        <v>5670</v>
      </c>
    </row>
    <row r="138" spans="1:9" ht="17.25" customHeight="1" x14ac:dyDescent="0.35">
      <c r="A138" s="4">
        <v>7</v>
      </c>
      <c r="B138" s="4" t="s">
        <v>252</v>
      </c>
      <c r="C138" s="25" t="s">
        <v>253</v>
      </c>
      <c r="D138" s="4">
        <v>1</v>
      </c>
      <c r="E138" s="4"/>
      <c r="F138" s="292">
        <v>32</v>
      </c>
      <c r="G138" s="292"/>
      <c r="H138" s="4">
        <v>9480</v>
      </c>
      <c r="I138" s="26">
        <f t="shared" si="8"/>
        <v>5972.4</v>
      </c>
    </row>
    <row r="139" spans="1:9" ht="17.25" customHeight="1" x14ac:dyDescent="0.35">
      <c r="A139" s="4">
        <v>8</v>
      </c>
      <c r="B139" s="4" t="s">
        <v>254</v>
      </c>
      <c r="C139" s="25" t="s">
        <v>255</v>
      </c>
      <c r="D139" s="4">
        <v>1</v>
      </c>
      <c r="E139" s="4"/>
      <c r="F139" s="292">
        <v>32</v>
      </c>
      <c r="G139" s="292"/>
      <c r="H139" s="4">
        <v>9790</v>
      </c>
      <c r="I139" s="26">
        <f t="shared" si="8"/>
        <v>6167.7</v>
      </c>
    </row>
    <row r="140" spans="1:9" ht="17.25" customHeight="1" x14ac:dyDescent="0.35">
      <c r="A140" s="4">
        <v>9</v>
      </c>
      <c r="B140" s="4" t="s">
        <v>256</v>
      </c>
      <c r="C140" s="25" t="s">
        <v>257</v>
      </c>
      <c r="D140" s="4">
        <v>1.5</v>
      </c>
      <c r="E140" s="4"/>
      <c r="F140" s="292">
        <v>32</v>
      </c>
      <c r="G140" s="292"/>
      <c r="H140" s="4">
        <v>11330</v>
      </c>
      <c r="I140" s="26">
        <f t="shared" si="8"/>
        <v>7137.9</v>
      </c>
    </row>
    <row r="141" spans="1:9" ht="17.25" customHeight="1" x14ac:dyDescent="0.35">
      <c r="A141" s="4">
        <v>10</v>
      </c>
      <c r="B141" s="4" t="s">
        <v>258</v>
      </c>
      <c r="C141" s="25" t="s">
        <v>259</v>
      </c>
      <c r="D141" s="4">
        <v>1.5</v>
      </c>
      <c r="E141" s="4"/>
      <c r="F141" s="292">
        <v>32</v>
      </c>
      <c r="G141" s="292"/>
      <c r="H141" s="4">
        <v>11640</v>
      </c>
      <c r="I141" s="26">
        <f t="shared" si="8"/>
        <v>7333.2</v>
      </c>
    </row>
    <row r="142" spans="1:9" ht="17.25" customHeight="1" x14ac:dyDescent="0.35">
      <c r="A142" s="4">
        <v>11</v>
      </c>
      <c r="B142" s="4" t="s">
        <v>260</v>
      </c>
      <c r="C142" s="25" t="s">
        <v>261</v>
      </c>
      <c r="D142" s="4">
        <v>1.5</v>
      </c>
      <c r="E142" s="4"/>
      <c r="F142" s="292">
        <v>32</v>
      </c>
      <c r="G142" s="292"/>
      <c r="H142" s="4">
        <v>11800</v>
      </c>
      <c r="I142" s="26">
        <f t="shared" si="8"/>
        <v>7434</v>
      </c>
    </row>
    <row r="143" spans="1:9" ht="17.25" customHeight="1" x14ac:dyDescent="0.35">
      <c r="A143" s="4">
        <v>12</v>
      </c>
      <c r="B143" s="4" t="s">
        <v>262</v>
      </c>
      <c r="C143" s="25" t="s">
        <v>263</v>
      </c>
      <c r="D143" s="4">
        <v>1.5</v>
      </c>
      <c r="E143" s="4"/>
      <c r="F143" s="292">
        <v>32</v>
      </c>
      <c r="G143" s="292"/>
      <c r="H143" s="4">
        <v>12670</v>
      </c>
      <c r="I143" s="26">
        <f t="shared" si="8"/>
        <v>7982.1</v>
      </c>
    </row>
    <row r="144" spans="1:9" ht="17.25" customHeight="1" x14ac:dyDescent="0.35">
      <c r="A144" s="4">
        <v>13</v>
      </c>
      <c r="B144" s="4" t="s">
        <v>264</v>
      </c>
      <c r="C144" s="25" t="s">
        <v>265</v>
      </c>
      <c r="D144" s="4">
        <v>2</v>
      </c>
      <c r="E144" s="4"/>
      <c r="F144" s="292">
        <v>40</v>
      </c>
      <c r="G144" s="292"/>
      <c r="H144" s="4">
        <v>14730</v>
      </c>
      <c r="I144" s="26">
        <f t="shared" si="8"/>
        <v>9279.9</v>
      </c>
    </row>
    <row r="145" spans="1:9" ht="17.25" customHeight="1" x14ac:dyDescent="0.35">
      <c r="A145" s="4">
        <v>14</v>
      </c>
      <c r="B145" s="4" t="s">
        <v>266</v>
      </c>
      <c r="C145" s="25" t="s">
        <v>267</v>
      </c>
      <c r="D145" s="4">
        <v>2</v>
      </c>
      <c r="E145" s="4"/>
      <c r="F145" s="292">
        <v>32</v>
      </c>
      <c r="G145" s="292"/>
      <c r="H145" s="4">
        <v>15250</v>
      </c>
      <c r="I145" s="26">
        <f t="shared" si="8"/>
        <v>9607.5</v>
      </c>
    </row>
    <row r="146" spans="1:9" ht="17.25" customHeight="1" x14ac:dyDescent="0.35">
      <c r="A146" s="4">
        <v>15</v>
      </c>
      <c r="B146" s="4" t="s">
        <v>268</v>
      </c>
      <c r="C146" s="25" t="s">
        <v>269</v>
      </c>
      <c r="D146" s="4">
        <v>2</v>
      </c>
      <c r="E146" s="4"/>
      <c r="F146" s="292">
        <v>32</v>
      </c>
      <c r="G146" s="292"/>
      <c r="H146" s="4">
        <v>15860</v>
      </c>
      <c r="I146" s="26">
        <f t="shared" si="8"/>
        <v>9991.7999999999993</v>
      </c>
    </row>
    <row r="147" spans="1:9" ht="17.25" customHeight="1" x14ac:dyDescent="0.35">
      <c r="A147" s="4">
        <v>16</v>
      </c>
      <c r="B147" s="4" t="s">
        <v>270</v>
      </c>
      <c r="C147" s="25" t="s">
        <v>271</v>
      </c>
      <c r="D147" s="4">
        <v>2</v>
      </c>
      <c r="E147" s="4"/>
      <c r="F147" s="292">
        <v>32</v>
      </c>
      <c r="G147" s="292"/>
      <c r="H147" s="4">
        <v>15970</v>
      </c>
      <c r="I147" s="26">
        <f t="shared" si="8"/>
        <v>10061.1</v>
      </c>
    </row>
    <row r="148" spans="1:9" ht="17.25" customHeight="1" x14ac:dyDescent="0.35">
      <c r="A148" s="4">
        <v>17</v>
      </c>
      <c r="B148" s="4" t="s">
        <v>272</v>
      </c>
      <c r="C148" s="25" t="s">
        <v>273</v>
      </c>
      <c r="D148" s="4">
        <v>2</v>
      </c>
      <c r="E148" s="4"/>
      <c r="F148" s="292">
        <v>32</v>
      </c>
      <c r="G148" s="292"/>
      <c r="H148" s="4">
        <v>16480</v>
      </c>
      <c r="I148" s="26">
        <f t="shared" si="8"/>
        <v>10382.4</v>
      </c>
    </row>
    <row r="149" spans="1:9" ht="17.25" customHeight="1" x14ac:dyDescent="0.35">
      <c r="A149" s="4">
        <v>18</v>
      </c>
      <c r="B149" s="4" t="s">
        <v>274</v>
      </c>
      <c r="C149" s="25" t="s">
        <v>275</v>
      </c>
      <c r="D149" s="4">
        <v>2</v>
      </c>
      <c r="E149" s="4"/>
      <c r="F149" s="292">
        <v>65</v>
      </c>
      <c r="G149" s="292"/>
      <c r="H149" s="4">
        <v>14940</v>
      </c>
      <c r="I149" s="26">
        <f t="shared" si="8"/>
        <v>9412.2000000000007</v>
      </c>
    </row>
    <row r="150" spans="1:9" ht="17.25" customHeight="1" x14ac:dyDescent="0.35">
      <c r="A150" s="4">
        <v>19</v>
      </c>
      <c r="B150" s="4" t="s">
        <v>276</v>
      </c>
      <c r="C150" s="25" t="s">
        <v>277</v>
      </c>
      <c r="D150" s="4">
        <v>3</v>
      </c>
      <c r="E150" s="4"/>
      <c r="F150" s="292">
        <v>32</v>
      </c>
      <c r="G150" s="292"/>
      <c r="H150" s="4">
        <v>23500</v>
      </c>
      <c r="I150" s="26">
        <f t="shared" si="8"/>
        <v>14805</v>
      </c>
    </row>
    <row r="151" spans="1:9" ht="17.25" customHeight="1" x14ac:dyDescent="0.35">
      <c r="A151" s="4">
        <v>20</v>
      </c>
      <c r="B151" s="4" t="s">
        <v>278</v>
      </c>
      <c r="C151" s="25" t="s">
        <v>279</v>
      </c>
      <c r="D151" s="4">
        <v>3</v>
      </c>
      <c r="E151" s="4"/>
      <c r="F151" s="292">
        <v>32</v>
      </c>
      <c r="G151" s="292"/>
      <c r="H151" s="4">
        <v>24000</v>
      </c>
      <c r="I151" s="26">
        <f t="shared" si="8"/>
        <v>15120</v>
      </c>
    </row>
    <row r="152" spans="1:9" ht="17.25" customHeight="1" x14ac:dyDescent="0.35">
      <c r="A152" s="4">
        <v>21</v>
      </c>
      <c r="B152" s="4" t="s">
        <v>280</v>
      </c>
      <c r="C152" s="25" t="s">
        <v>281</v>
      </c>
      <c r="D152" s="4">
        <v>3</v>
      </c>
      <c r="E152" s="4"/>
      <c r="F152" s="292">
        <v>32</v>
      </c>
      <c r="G152" s="292"/>
      <c r="H152" s="4">
        <v>24500</v>
      </c>
      <c r="I152" s="26">
        <f t="shared" si="8"/>
        <v>15435</v>
      </c>
    </row>
    <row r="153" spans="1:9" ht="17.25" customHeight="1" x14ac:dyDescent="0.35">
      <c r="A153" s="4">
        <v>22</v>
      </c>
      <c r="B153" s="4" t="s">
        <v>282</v>
      </c>
      <c r="C153" s="25" t="s">
        <v>283</v>
      </c>
      <c r="D153" s="4">
        <v>3</v>
      </c>
      <c r="E153" s="4"/>
      <c r="F153" s="292">
        <v>65</v>
      </c>
      <c r="G153" s="292"/>
      <c r="H153" s="4">
        <v>23690</v>
      </c>
      <c r="I153" s="26">
        <f t="shared" si="8"/>
        <v>14924.7</v>
      </c>
    </row>
    <row r="154" spans="1:9" ht="17.25" customHeight="1" x14ac:dyDescent="0.35">
      <c r="A154" s="4">
        <v>23</v>
      </c>
      <c r="B154" s="4" t="s">
        <v>284</v>
      </c>
      <c r="C154" s="25" t="s">
        <v>283</v>
      </c>
      <c r="D154" s="4">
        <v>3</v>
      </c>
      <c r="E154" s="4"/>
      <c r="F154" s="292">
        <v>65</v>
      </c>
      <c r="G154" s="292"/>
      <c r="H154" s="4">
        <v>15450</v>
      </c>
      <c r="I154" s="26">
        <f t="shared" si="8"/>
        <v>9733.5</v>
      </c>
    </row>
    <row r="155" spans="1:9" ht="17.25" customHeight="1" x14ac:dyDescent="0.35">
      <c r="A155" s="300" t="s">
        <v>285</v>
      </c>
      <c r="B155" s="300"/>
      <c r="C155" s="300"/>
      <c r="D155" s="300"/>
      <c r="E155" s="300"/>
      <c r="F155" s="300"/>
      <c r="G155" s="300"/>
      <c r="H155" s="207" t="s">
        <v>109</v>
      </c>
      <c r="I155" s="131" t="s">
        <v>334</v>
      </c>
    </row>
    <row r="156" spans="1:9" ht="17.25" customHeight="1" x14ac:dyDescent="0.35">
      <c r="A156" s="287" t="s">
        <v>2</v>
      </c>
      <c r="B156" s="287" t="s">
        <v>3</v>
      </c>
      <c r="C156" s="298" t="s">
        <v>4</v>
      </c>
      <c r="D156" s="287" t="s">
        <v>5</v>
      </c>
      <c r="E156" s="287"/>
      <c r="F156" s="287" t="s">
        <v>6</v>
      </c>
      <c r="G156" s="287"/>
      <c r="H156" s="259"/>
      <c r="I156" s="323">
        <v>0.37</v>
      </c>
    </row>
    <row r="157" spans="1:9" ht="17.25" customHeight="1" x14ac:dyDescent="0.35">
      <c r="A157" s="287"/>
      <c r="B157" s="287"/>
      <c r="C157" s="298"/>
      <c r="D157" s="11" t="s">
        <v>9</v>
      </c>
      <c r="E157" s="11" t="s">
        <v>10</v>
      </c>
      <c r="F157" s="11" t="s">
        <v>11</v>
      </c>
      <c r="G157" s="11" t="s">
        <v>12</v>
      </c>
      <c r="H157" s="208"/>
      <c r="I157" s="324"/>
    </row>
    <row r="158" spans="1:9" ht="17.25" customHeight="1" x14ac:dyDescent="0.35">
      <c r="A158" s="4">
        <v>1</v>
      </c>
      <c r="B158" s="4" t="s">
        <v>286</v>
      </c>
      <c r="C158" s="25" t="s">
        <v>287</v>
      </c>
      <c r="D158" s="4">
        <v>0.5</v>
      </c>
      <c r="E158" s="4"/>
      <c r="F158" s="292">
        <v>32</v>
      </c>
      <c r="G158" s="292"/>
      <c r="H158" s="4">
        <v>6800</v>
      </c>
      <c r="I158" s="26">
        <f t="shared" ref="I158:I172" si="9">H158*0.63</f>
        <v>4284</v>
      </c>
    </row>
    <row r="159" spans="1:9" ht="17.25" customHeight="1" x14ac:dyDescent="0.35">
      <c r="A159" s="4">
        <v>2</v>
      </c>
      <c r="B159" s="4" t="s">
        <v>288</v>
      </c>
      <c r="C159" s="25" t="s">
        <v>289</v>
      </c>
      <c r="D159" s="4">
        <v>0.5</v>
      </c>
      <c r="E159" s="4"/>
      <c r="F159" s="292">
        <v>32</v>
      </c>
      <c r="G159" s="292"/>
      <c r="H159" s="4">
        <v>7600</v>
      </c>
      <c r="I159" s="26">
        <f t="shared" si="9"/>
        <v>4788</v>
      </c>
    </row>
    <row r="160" spans="1:9" ht="17.25" customHeight="1" x14ac:dyDescent="0.35">
      <c r="A160" s="4">
        <v>3</v>
      </c>
      <c r="B160" s="4" t="s">
        <v>290</v>
      </c>
      <c r="C160" s="25" t="s">
        <v>291</v>
      </c>
      <c r="D160" s="4">
        <v>0.75</v>
      </c>
      <c r="E160" s="4"/>
      <c r="F160" s="292">
        <v>32</v>
      </c>
      <c r="G160" s="292"/>
      <c r="H160" s="4">
        <v>7800</v>
      </c>
      <c r="I160" s="26">
        <f t="shared" si="9"/>
        <v>4914</v>
      </c>
    </row>
    <row r="161" spans="1:9" ht="17.25" customHeight="1" x14ac:dyDescent="0.35">
      <c r="A161" s="4">
        <v>4</v>
      </c>
      <c r="B161" s="4" t="s">
        <v>292</v>
      </c>
      <c r="C161" s="25" t="s">
        <v>293</v>
      </c>
      <c r="D161" s="4">
        <v>0.75</v>
      </c>
      <c r="E161" s="4"/>
      <c r="F161" s="292">
        <v>32</v>
      </c>
      <c r="G161" s="292"/>
      <c r="H161" s="4">
        <v>8000</v>
      </c>
      <c r="I161" s="26">
        <f t="shared" si="9"/>
        <v>5040</v>
      </c>
    </row>
    <row r="162" spans="1:9" ht="17.25" customHeight="1" x14ac:dyDescent="0.35">
      <c r="A162" s="4">
        <v>5</v>
      </c>
      <c r="B162" s="4" t="s">
        <v>294</v>
      </c>
      <c r="C162" s="25" t="s">
        <v>295</v>
      </c>
      <c r="D162" s="4">
        <v>1</v>
      </c>
      <c r="E162" s="4"/>
      <c r="F162" s="292">
        <v>32</v>
      </c>
      <c r="G162" s="292"/>
      <c r="H162" s="4">
        <v>8200</v>
      </c>
      <c r="I162" s="26">
        <f t="shared" si="9"/>
        <v>5166</v>
      </c>
    </row>
    <row r="163" spans="1:9" ht="17.25" customHeight="1" x14ac:dyDescent="0.35">
      <c r="A163" s="4">
        <v>6</v>
      </c>
      <c r="B163" s="4" t="s">
        <v>296</v>
      </c>
      <c r="C163" s="25" t="s">
        <v>297</v>
      </c>
      <c r="D163" s="4">
        <v>1</v>
      </c>
      <c r="E163" s="4"/>
      <c r="F163" s="292">
        <v>32</v>
      </c>
      <c r="G163" s="292"/>
      <c r="H163" s="4">
        <v>8400</v>
      </c>
      <c r="I163" s="26">
        <f t="shared" si="9"/>
        <v>5292</v>
      </c>
    </row>
    <row r="164" spans="1:9" ht="17.25" customHeight="1" x14ac:dyDescent="0.35">
      <c r="A164" s="4">
        <v>7</v>
      </c>
      <c r="B164" s="4" t="s">
        <v>298</v>
      </c>
      <c r="C164" s="25" t="s">
        <v>299</v>
      </c>
      <c r="D164" s="4">
        <v>1</v>
      </c>
      <c r="E164" s="4"/>
      <c r="F164" s="292">
        <v>32</v>
      </c>
      <c r="G164" s="292"/>
      <c r="H164" s="4">
        <v>8600</v>
      </c>
      <c r="I164" s="26">
        <f t="shared" si="9"/>
        <v>5418</v>
      </c>
    </row>
    <row r="165" spans="1:9" ht="17.25" customHeight="1" x14ac:dyDescent="0.35">
      <c r="A165" s="4">
        <v>8</v>
      </c>
      <c r="B165" s="4" t="s">
        <v>300</v>
      </c>
      <c r="C165" s="25" t="s">
        <v>301</v>
      </c>
      <c r="D165" s="4">
        <v>1.5</v>
      </c>
      <c r="E165" s="4"/>
      <c r="F165" s="292">
        <v>32</v>
      </c>
      <c r="G165" s="292"/>
      <c r="H165" s="4">
        <v>9000</v>
      </c>
      <c r="I165" s="26">
        <f t="shared" si="9"/>
        <v>5670</v>
      </c>
    </row>
    <row r="166" spans="1:9" ht="17.25" customHeight="1" x14ac:dyDescent="0.35">
      <c r="A166" s="4">
        <v>9</v>
      </c>
      <c r="B166" s="4" t="s">
        <v>302</v>
      </c>
      <c r="C166" s="25" t="s">
        <v>303</v>
      </c>
      <c r="D166" s="4">
        <v>1.5</v>
      </c>
      <c r="E166" s="4"/>
      <c r="F166" s="292">
        <v>32</v>
      </c>
      <c r="G166" s="292"/>
      <c r="H166" s="4">
        <v>10600</v>
      </c>
      <c r="I166" s="26">
        <f t="shared" si="9"/>
        <v>6678</v>
      </c>
    </row>
    <row r="167" spans="1:9" ht="17.25" customHeight="1" x14ac:dyDescent="0.35">
      <c r="A167" s="4">
        <v>10</v>
      </c>
      <c r="B167" s="4" t="s">
        <v>304</v>
      </c>
      <c r="C167" s="25" t="s">
        <v>305</v>
      </c>
      <c r="D167" s="4">
        <v>1.5</v>
      </c>
      <c r="E167" s="4"/>
      <c r="F167" s="292">
        <v>32</v>
      </c>
      <c r="G167" s="292"/>
      <c r="H167" s="4">
        <v>11000</v>
      </c>
      <c r="I167" s="26">
        <f t="shared" si="9"/>
        <v>6930</v>
      </c>
    </row>
    <row r="168" spans="1:9" ht="17.25" customHeight="1" x14ac:dyDescent="0.35">
      <c r="A168" s="4">
        <v>11</v>
      </c>
      <c r="B168" s="4" t="s">
        <v>306</v>
      </c>
      <c r="C168" s="25" t="s">
        <v>307</v>
      </c>
      <c r="D168" s="4">
        <v>2</v>
      </c>
      <c r="E168" s="4"/>
      <c r="F168" s="292">
        <v>32</v>
      </c>
      <c r="G168" s="292"/>
      <c r="H168" s="4">
        <v>13000</v>
      </c>
      <c r="I168" s="26">
        <f t="shared" si="9"/>
        <v>8190</v>
      </c>
    </row>
    <row r="169" spans="1:9" ht="17.25" customHeight="1" x14ac:dyDescent="0.35">
      <c r="A169" s="4">
        <v>12</v>
      </c>
      <c r="B169" s="4" t="s">
        <v>308</v>
      </c>
      <c r="C169" s="25" t="s">
        <v>309</v>
      </c>
      <c r="D169" s="4">
        <v>2</v>
      </c>
      <c r="E169" s="4"/>
      <c r="F169" s="292">
        <v>32</v>
      </c>
      <c r="G169" s="292"/>
      <c r="H169" s="4">
        <v>15500</v>
      </c>
      <c r="I169" s="26">
        <f t="shared" si="9"/>
        <v>9765</v>
      </c>
    </row>
    <row r="170" spans="1:9" ht="17.25" customHeight="1" x14ac:dyDescent="0.35">
      <c r="A170" s="4">
        <v>13</v>
      </c>
      <c r="B170" s="4" t="s">
        <v>310</v>
      </c>
      <c r="C170" s="25" t="s">
        <v>311</v>
      </c>
      <c r="D170" s="4">
        <v>3</v>
      </c>
      <c r="E170" s="4"/>
      <c r="F170" s="292">
        <v>32</v>
      </c>
      <c r="G170" s="292"/>
      <c r="H170" s="4">
        <v>19000</v>
      </c>
      <c r="I170" s="26">
        <f t="shared" si="9"/>
        <v>11970</v>
      </c>
    </row>
    <row r="171" spans="1:9" ht="17.25" customHeight="1" x14ac:dyDescent="0.35">
      <c r="A171" s="4">
        <v>14</v>
      </c>
      <c r="B171" s="4" t="s">
        <v>312</v>
      </c>
      <c r="C171" s="25" t="s">
        <v>313</v>
      </c>
      <c r="D171" s="4">
        <v>3</v>
      </c>
      <c r="E171" s="4"/>
      <c r="F171" s="292">
        <v>32</v>
      </c>
      <c r="G171" s="292"/>
      <c r="H171" s="4">
        <v>20000</v>
      </c>
      <c r="I171" s="26">
        <f t="shared" si="9"/>
        <v>12600</v>
      </c>
    </row>
    <row r="172" spans="1:9" ht="17.25" customHeight="1" x14ac:dyDescent="0.35">
      <c r="A172" s="4">
        <v>15</v>
      </c>
      <c r="B172" s="4" t="s">
        <v>314</v>
      </c>
      <c r="C172" s="25" t="s">
        <v>315</v>
      </c>
      <c r="D172" s="4">
        <v>3</v>
      </c>
      <c r="E172" s="4"/>
      <c r="F172" s="292">
        <v>32</v>
      </c>
      <c r="G172" s="292"/>
      <c r="H172" s="4">
        <v>20500</v>
      </c>
      <c r="I172" s="26">
        <f t="shared" si="9"/>
        <v>12915</v>
      </c>
    </row>
  </sheetData>
  <mergeCells count="106">
    <mergeCell ref="I7:J7"/>
    <mergeCell ref="I8:J8"/>
    <mergeCell ref="I9:J9"/>
    <mergeCell ref="I10:J10"/>
    <mergeCell ref="I26:J26"/>
    <mergeCell ref="I27:J27"/>
    <mergeCell ref="A1:J3"/>
    <mergeCell ref="A4:J4"/>
    <mergeCell ref="A5:A6"/>
    <mergeCell ref="B5:B6"/>
    <mergeCell ref="C5:C6"/>
    <mergeCell ref="D5:E5"/>
    <mergeCell ref="F5:G5"/>
    <mergeCell ref="H5:H6"/>
    <mergeCell ref="I5:J5"/>
    <mergeCell ref="I56:I57"/>
    <mergeCell ref="J56:J57"/>
    <mergeCell ref="D58:D59"/>
    <mergeCell ref="E58:E59"/>
    <mergeCell ref="I32:J32"/>
    <mergeCell ref="I47:J47"/>
    <mergeCell ref="A55:G55"/>
    <mergeCell ref="H55:H57"/>
    <mergeCell ref="I55:J55"/>
    <mergeCell ref="A56:A57"/>
    <mergeCell ref="B56:B57"/>
    <mergeCell ref="C56:C57"/>
    <mergeCell ref="D56:E56"/>
    <mergeCell ref="F56:G56"/>
    <mergeCell ref="D92:D103"/>
    <mergeCell ref="E92:E103"/>
    <mergeCell ref="D104:D106"/>
    <mergeCell ref="E104:E106"/>
    <mergeCell ref="D108:D109"/>
    <mergeCell ref="E108:E109"/>
    <mergeCell ref="D61:D66"/>
    <mergeCell ref="E61:E66"/>
    <mergeCell ref="D67:D73"/>
    <mergeCell ref="E67:E73"/>
    <mergeCell ref="D74:D91"/>
    <mergeCell ref="E74:E91"/>
    <mergeCell ref="A129:G129"/>
    <mergeCell ref="H129:H131"/>
    <mergeCell ref="A130:A131"/>
    <mergeCell ref="B130:B131"/>
    <mergeCell ref="C130:C131"/>
    <mergeCell ref="D130:E130"/>
    <mergeCell ref="F130:G131"/>
    <mergeCell ref="I115:I116"/>
    <mergeCell ref="D110:D113"/>
    <mergeCell ref="E110:E113"/>
    <mergeCell ref="A114:G114"/>
    <mergeCell ref="H114:H116"/>
    <mergeCell ref="A115:A116"/>
    <mergeCell ref="B115:B116"/>
    <mergeCell ref="C115:C116"/>
    <mergeCell ref="D115:E115"/>
    <mergeCell ref="F115:G115"/>
    <mergeCell ref="I156:I157"/>
    <mergeCell ref="F148:G148"/>
    <mergeCell ref="F149:G149"/>
    <mergeCell ref="F150:G150"/>
    <mergeCell ref="F151:G151"/>
    <mergeCell ref="F152:G152"/>
    <mergeCell ref="F153:G153"/>
    <mergeCell ref="I130:I131"/>
    <mergeCell ref="F142:G142"/>
    <mergeCell ref="F143:G143"/>
    <mergeCell ref="F144:G144"/>
    <mergeCell ref="F145:G145"/>
    <mergeCell ref="F146:G146"/>
    <mergeCell ref="F147:G147"/>
    <mergeCell ref="F136:G136"/>
    <mergeCell ref="F137:G137"/>
    <mergeCell ref="F138:G138"/>
    <mergeCell ref="F139:G139"/>
    <mergeCell ref="F140:G140"/>
    <mergeCell ref="F141:G141"/>
    <mergeCell ref="F132:G132"/>
    <mergeCell ref="F133:G133"/>
    <mergeCell ref="F134:G134"/>
    <mergeCell ref="F135:G135"/>
    <mergeCell ref="I31:J31"/>
    <mergeCell ref="F167:G167"/>
    <mergeCell ref="F168:G168"/>
    <mergeCell ref="F169:G169"/>
    <mergeCell ref="F170:G170"/>
    <mergeCell ref="F171:G171"/>
    <mergeCell ref="F172:G172"/>
    <mergeCell ref="F161:G161"/>
    <mergeCell ref="F162:G162"/>
    <mergeCell ref="F163:G163"/>
    <mergeCell ref="F164:G164"/>
    <mergeCell ref="F165:G165"/>
    <mergeCell ref="F166:G166"/>
    <mergeCell ref="F158:G158"/>
    <mergeCell ref="F159:G159"/>
    <mergeCell ref="F160:G160"/>
    <mergeCell ref="F154:G154"/>
    <mergeCell ref="A155:G155"/>
    <mergeCell ref="H155:H157"/>
    <mergeCell ref="A156:A157"/>
    <mergeCell ref="B156:B157"/>
    <mergeCell ref="C156:C157"/>
    <mergeCell ref="D156:E156"/>
    <mergeCell ref="F156:G156"/>
  </mergeCells>
  <conditionalFormatting sqref="B1:B172">
    <cfRule type="duplicateValues" dxfId="7" priority="1"/>
    <cfRule type="duplicateValues" dxfId="6" priority="2"/>
  </conditionalFormatting>
  <pageMargins left="0.7" right="0.7" top="0.75" bottom="0.75" header="0.3" footer="0.3"/>
  <legacy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L172"/>
  <sheetViews>
    <sheetView topLeftCell="A112" workbookViewId="0">
      <selection activeCell="I118" sqref="I118:L118"/>
    </sheetView>
  </sheetViews>
  <sheetFormatPr defaultRowHeight="20.25" customHeight="1" x14ac:dyDescent="0.35"/>
  <cols>
    <col min="2" max="2" width="12.81640625" customWidth="1"/>
    <col min="3" max="3" width="19.26953125" customWidth="1"/>
  </cols>
  <sheetData>
    <row r="1" spans="1:12" ht="20.25" customHeight="1" x14ac:dyDescent="0.35">
      <c r="A1" s="203" t="s">
        <v>0</v>
      </c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</row>
    <row r="2" spans="1:12" ht="20.25" customHeight="1" x14ac:dyDescent="0.35">
      <c r="A2" s="203"/>
      <c r="B2" s="204"/>
      <c r="C2" s="204"/>
      <c r="D2" s="204"/>
      <c r="E2" s="204"/>
      <c r="F2" s="204"/>
      <c r="G2" s="204"/>
      <c r="H2" s="204"/>
      <c r="I2" s="204"/>
      <c r="J2" s="204"/>
      <c r="K2" s="204"/>
      <c r="L2" s="204"/>
    </row>
    <row r="3" spans="1:12" ht="20.25" customHeight="1" x14ac:dyDescent="0.35">
      <c r="A3" s="203"/>
      <c r="B3" s="204"/>
      <c r="C3" s="204"/>
      <c r="D3" s="204"/>
      <c r="E3" s="204"/>
      <c r="F3" s="204"/>
      <c r="G3" s="204"/>
      <c r="H3" s="204"/>
      <c r="I3" s="204"/>
      <c r="J3" s="204"/>
      <c r="K3" s="204"/>
      <c r="L3" s="204"/>
    </row>
    <row r="4" spans="1:12" ht="30" customHeight="1" x14ac:dyDescent="0.35">
      <c r="A4" s="313" t="s">
        <v>546</v>
      </c>
      <c r="B4" s="314"/>
      <c r="C4" s="314"/>
      <c r="D4" s="314"/>
      <c r="E4" s="314"/>
      <c r="F4" s="314"/>
      <c r="G4" s="314"/>
      <c r="H4" s="314"/>
      <c r="I4" s="314"/>
      <c r="J4" s="314"/>
      <c r="K4" s="314"/>
      <c r="L4" s="314"/>
    </row>
    <row r="5" spans="1:12" ht="20.25" customHeight="1" x14ac:dyDescent="0.35">
      <c r="A5" s="287" t="s">
        <v>2</v>
      </c>
      <c r="B5" s="287" t="s">
        <v>3</v>
      </c>
      <c r="C5" s="287" t="s">
        <v>4</v>
      </c>
      <c r="D5" s="287" t="s">
        <v>5</v>
      </c>
      <c r="E5" s="287"/>
      <c r="F5" s="287" t="s">
        <v>6</v>
      </c>
      <c r="G5" s="287"/>
      <c r="H5" s="305" t="s">
        <v>7</v>
      </c>
      <c r="I5" s="315" t="s">
        <v>334</v>
      </c>
      <c r="J5" s="315"/>
      <c r="K5" s="315"/>
      <c r="L5" s="315"/>
    </row>
    <row r="6" spans="1:12" ht="20.25" customHeight="1" x14ac:dyDescent="0.35">
      <c r="A6" s="287"/>
      <c r="B6" s="287"/>
      <c r="C6" s="287"/>
      <c r="D6" s="11" t="s">
        <v>9</v>
      </c>
      <c r="E6" s="11" t="s">
        <v>10</v>
      </c>
      <c r="F6" s="11" t="s">
        <v>11</v>
      </c>
      <c r="G6" s="11" t="s">
        <v>12</v>
      </c>
      <c r="H6" s="305"/>
      <c r="I6" s="41">
        <v>0.31</v>
      </c>
      <c r="J6" s="41">
        <v>0.02</v>
      </c>
      <c r="K6" s="41">
        <v>0.01</v>
      </c>
      <c r="L6" s="41">
        <v>0.03</v>
      </c>
    </row>
    <row r="7" spans="1:12" ht="20.25" customHeight="1" x14ac:dyDescent="0.35">
      <c r="A7" s="6">
        <v>1</v>
      </c>
      <c r="B7" s="4" t="s">
        <v>13</v>
      </c>
      <c r="C7" s="12" t="s">
        <v>14</v>
      </c>
      <c r="D7" s="2">
        <v>0.5</v>
      </c>
      <c r="E7" s="2">
        <v>0.37</v>
      </c>
      <c r="F7" s="2">
        <v>25</v>
      </c>
      <c r="G7" s="2">
        <v>25</v>
      </c>
      <c r="H7" s="13">
        <v>2640</v>
      </c>
      <c r="I7" s="295">
        <f>H7*0.63</f>
        <v>1663.2</v>
      </c>
      <c r="J7" s="325"/>
      <c r="K7" s="325"/>
      <c r="L7" s="296"/>
    </row>
    <row r="8" spans="1:12" ht="20.25" customHeight="1" x14ac:dyDescent="0.35">
      <c r="A8" s="6">
        <v>2</v>
      </c>
      <c r="B8" s="4" t="s">
        <v>15</v>
      </c>
      <c r="C8" s="12" t="s">
        <v>16</v>
      </c>
      <c r="D8" s="2">
        <v>1</v>
      </c>
      <c r="E8" s="2">
        <v>0.75</v>
      </c>
      <c r="F8" s="2">
        <v>25</v>
      </c>
      <c r="G8" s="2">
        <v>25</v>
      </c>
      <c r="H8" s="13">
        <v>3420</v>
      </c>
      <c r="I8" s="295">
        <f>H8*0.63</f>
        <v>2154.6</v>
      </c>
      <c r="J8" s="325"/>
      <c r="K8" s="325"/>
      <c r="L8" s="296"/>
    </row>
    <row r="9" spans="1:12" ht="20.25" customHeight="1" x14ac:dyDescent="0.35">
      <c r="A9" s="4">
        <v>3</v>
      </c>
      <c r="B9" s="4" t="s">
        <v>17</v>
      </c>
      <c r="C9" s="12" t="s">
        <v>18</v>
      </c>
      <c r="D9" s="2">
        <v>0.5</v>
      </c>
      <c r="E9" s="2">
        <v>0.37</v>
      </c>
      <c r="F9" s="2">
        <v>25</v>
      </c>
      <c r="G9" s="2">
        <v>25</v>
      </c>
      <c r="H9" s="13">
        <v>2840</v>
      </c>
      <c r="I9" s="295">
        <f>H9*0.63</f>
        <v>1789.2</v>
      </c>
      <c r="J9" s="325"/>
      <c r="K9" s="325"/>
      <c r="L9" s="296"/>
    </row>
    <row r="10" spans="1:12" ht="20.25" customHeight="1" x14ac:dyDescent="0.35">
      <c r="A10" s="6">
        <v>4</v>
      </c>
      <c r="B10" s="4" t="s">
        <v>19</v>
      </c>
      <c r="C10" s="12" t="s">
        <v>20</v>
      </c>
      <c r="D10" s="2">
        <v>1</v>
      </c>
      <c r="E10" s="2">
        <v>0.75</v>
      </c>
      <c r="F10" s="2">
        <v>25</v>
      </c>
      <c r="G10" s="2">
        <v>25</v>
      </c>
      <c r="H10" s="13">
        <v>3660</v>
      </c>
      <c r="I10" s="295">
        <f>H10*0.63</f>
        <v>2305.8000000000002</v>
      </c>
      <c r="J10" s="325"/>
      <c r="K10" s="325"/>
      <c r="L10" s="296"/>
    </row>
    <row r="11" spans="1:12" ht="20.25" customHeight="1" x14ac:dyDescent="0.35">
      <c r="A11" s="6">
        <v>5</v>
      </c>
      <c r="B11" s="6" t="s">
        <v>21</v>
      </c>
      <c r="C11" s="14" t="s">
        <v>22</v>
      </c>
      <c r="D11" s="2">
        <v>0.5</v>
      </c>
      <c r="E11" s="2">
        <v>0.37</v>
      </c>
      <c r="F11" s="2">
        <v>25</v>
      </c>
      <c r="G11" s="2">
        <v>25</v>
      </c>
      <c r="H11" s="8">
        <v>3160</v>
      </c>
      <c r="I11" s="26">
        <f>H11*0.69</f>
        <v>2180.3999999999996</v>
      </c>
      <c r="J11" s="26">
        <f>I11*0.98</f>
        <v>2136.7919999999995</v>
      </c>
      <c r="K11" s="26">
        <f>J11*0.99</f>
        <v>2115.4240799999993</v>
      </c>
      <c r="L11" s="26">
        <f>K11*0.97</f>
        <v>2051.9613575999992</v>
      </c>
    </row>
    <row r="12" spans="1:12" ht="20.25" customHeight="1" x14ac:dyDescent="0.35">
      <c r="A12" s="6">
        <v>6</v>
      </c>
      <c r="B12" s="6" t="s">
        <v>23</v>
      </c>
      <c r="C12" s="14" t="s">
        <v>24</v>
      </c>
      <c r="D12" s="2">
        <v>1</v>
      </c>
      <c r="E12" s="2">
        <v>0.75</v>
      </c>
      <c r="F12" s="2">
        <v>25</v>
      </c>
      <c r="G12" s="2">
        <v>25</v>
      </c>
      <c r="H12" s="8">
        <v>4120</v>
      </c>
      <c r="I12" s="26">
        <f t="shared" ref="I12:I25" si="0">H12*0.69</f>
        <v>2842.7999999999997</v>
      </c>
      <c r="J12" s="26">
        <f t="shared" ref="J12:J25" si="1">I12*0.98</f>
        <v>2785.9439999999995</v>
      </c>
      <c r="K12" s="26">
        <f t="shared" ref="K12:K25" si="2">J12*0.99</f>
        <v>2758.0845599999993</v>
      </c>
      <c r="L12" s="26">
        <f t="shared" ref="L12:L25" si="3">K12*0.97</f>
        <v>2675.3420231999994</v>
      </c>
    </row>
    <row r="13" spans="1:12" ht="20.25" customHeight="1" x14ac:dyDescent="0.35">
      <c r="A13" s="4">
        <v>7</v>
      </c>
      <c r="B13" s="4" t="s">
        <v>25</v>
      </c>
      <c r="C13" s="12" t="s">
        <v>26</v>
      </c>
      <c r="D13" s="2">
        <v>1.5</v>
      </c>
      <c r="E13" s="2">
        <v>1</v>
      </c>
      <c r="F13" s="2">
        <v>25</v>
      </c>
      <c r="G13" s="2">
        <v>25</v>
      </c>
      <c r="H13" s="8">
        <v>5750</v>
      </c>
      <c r="I13" s="26">
        <f t="shared" si="0"/>
        <v>3967.4999999999995</v>
      </c>
      <c r="J13" s="26">
        <f t="shared" si="1"/>
        <v>3888.1499999999996</v>
      </c>
      <c r="K13" s="26">
        <f t="shared" si="2"/>
        <v>3849.2684999999997</v>
      </c>
      <c r="L13" s="26">
        <f t="shared" si="3"/>
        <v>3733.7904449999996</v>
      </c>
    </row>
    <row r="14" spans="1:12" ht="20.25" customHeight="1" x14ac:dyDescent="0.35">
      <c r="A14" s="6">
        <v>8</v>
      </c>
      <c r="B14" s="6" t="s">
        <v>27</v>
      </c>
      <c r="C14" s="14" t="s">
        <v>28</v>
      </c>
      <c r="D14" s="2">
        <v>0.5</v>
      </c>
      <c r="E14" s="2">
        <v>0.37</v>
      </c>
      <c r="F14" s="2">
        <v>25</v>
      </c>
      <c r="G14" s="2">
        <v>25</v>
      </c>
      <c r="H14" s="8">
        <v>3520</v>
      </c>
      <c r="I14" s="26">
        <f t="shared" si="0"/>
        <v>2428.7999999999997</v>
      </c>
      <c r="J14" s="26">
        <f t="shared" si="1"/>
        <v>2380.2239999999997</v>
      </c>
      <c r="K14" s="26">
        <f t="shared" si="2"/>
        <v>2356.4217599999997</v>
      </c>
      <c r="L14" s="26">
        <f t="shared" si="3"/>
        <v>2285.7291071999998</v>
      </c>
    </row>
    <row r="15" spans="1:12" ht="20.25" customHeight="1" x14ac:dyDescent="0.35">
      <c r="A15" s="6">
        <v>9</v>
      </c>
      <c r="B15" s="4" t="s">
        <v>29</v>
      </c>
      <c r="C15" s="15" t="s">
        <v>30</v>
      </c>
      <c r="D15" s="2">
        <v>1</v>
      </c>
      <c r="E15" s="2">
        <v>0.75</v>
      </c>
      <c r="F15" s="2">
        <v>25</v>
      </c>
      <c r="G15" s="2">
        <v>25</v>
      </c>
      <c r="H15" s="8">
        <v>3660</v>
      </c>
      <c r="I15" s="26">
        <f t="shared" si="0"/>
        <v>2525.3999999999996</v>
      </c>
      <c r="J15" s="26">
        <f t="shared" si="1"/>
        <v>2474.8919999999998</v>
      </c>
      <c r="K15" s="26">
        <f t="shared" si="2"/>
        <v>2450.1430799999998</v>
      </c>
      <c r="L15" s="26">
        <f t="shared" si="3"/>
        <v>2376.6387875999999</v>
      </c>
    </row>
    <row r="16" spans="1:12" ht="20.25" customHeight="1" x14ac:dyDescent="0.35">
      <c r="A16" s="6">
        <v>10</v>
      </c>
      <c r="B16" s="4" t="s">
        <v>31</v>
      </c>
      <c r="C16" s="12" t="s">
        <v>32</v>
      </c>
      <c r="D16" s="2">
        <v>1</v>
      </c>
      <c r="E16" s="2">
        <v>0.75</v>
      </c>
      <c r="F16" s="2">
        <v>25</v>
      </c>
      <c r="G16" s="2">
        <v>25</v>
      </c>
      <c r="H16" s="8">
        <v>4220</v>
      </c>
      <c r="I16" s="26">
        <f t="shared" si="0"/>
        <v>2911.7999999999997</v>
      </c>
      <c r="J16" s="26">
        <f t="shared" si="1"/>
        <v>2853.5639999999999</v>
      </c>
      <c r="K16" s="26">
        <f t="shared" si="2"/>
        <v>2825.0283599999998</v>
      </c>
      <c r="L16" s="26">
        <f t="shared" si="3"/>
        <v>2740.2775091999997</v>
      </c>
    </row>
    <row r="17" spans="1:12" ht="20.25" customHeight="1" x14ac:dyDescent="0.35">
      <c r="A17" s="4">
        <v>11</v>
      </c>
      <c r="B17" s="6" t="s">
        <v>33</v>
      </c>
      <c r="C17" s="14" t="s">
        <v>34</v>
      </c>
      <c r="D17" s="2">
        <v>0.75</v>
      </c>
      <c r="E17" s="2">
        <v>0.56000000000000005</v>
      </c>
      <c r="F17" s="2">
        <v>25</v>
      </c>
      <c r="G17" s="2">
        <v>25</v>
      </c>
      <c r="H17" s="8">
        <v>4080</v>
      </c>
      <c r="I17" s="26">
        <f t="shared" si="0"/>
        <v>2815.2</v>
      </c>
      <c r="J17" s="26">
        <f t="shared" si="1"/>
        <v>2758.8959999999997</v>
      </c>
      <c r="K17" s="26">
        <f t="shared" si="2"/>
        <v>2731.3070399999997</v>
      </c>
      <c r="L17" s="26">
        <f t="shared" si="3"/>
        <v>2649.3678287999996</v>
      </c>
    </row>
    <row r="18" spans="1:12" ht="20.25" customHeight="1" x14ac:dyDescent="0.35">
      <c r="A18" s="6">
        <v>12</v>
      </c>
      <c r="B18" s="4" t="s">
        <v>35</v>
      </c>
      <c r="C18" s="16" t="s">
        <v>36</v>
      </c>
      <c r="D18" s="2">
        <v>1</v>
      </c>
      <c r="E18" s="2">
        <v>0.75</v>
      </c>
      <c r="F18" s="2">
        <v>25</v>
      </c>
      <c r="G18" s="2">
        <v>25</v>
      </c>
      <c r="H18" s="8">
        <v>4730</v>
      </c>
      <c r="I18" s="26">
        <f t="shared" si="0"/>
        <v>3263.7</v>
      </c>
      <c r="J18" s="26">
        <f t="shared" si="1"/>
        <v>3198.4259999999999</v>
      </c>
      <c r="K18" s="26">
        <f t="shared" si="2"/>
        <v>3166.4417399999998</v>
      </c>
      <c r="L18" s="26">
        <f t="shared" si="3"/>
        <v>3071.4484877999998</v>
      </c>
    </row>
    <row r="19" spans="1:12" ht="20.25" customHeight="1" x14ac:dyDescent="0.35">
      <c r="A19" s="6">
        <v>13</v>
      </c>
      <c r="B19" s="4" t="s">
        <v>37</v>
      </c>
      <c r="C19" s="16" t="s">
        <v>38</v>
      </c>
      <c r="D19" s="2">
        <v>1</v>
      </c>
      <c r="E19" s="2">
        <v>0.75</v>
      </c>
      <c r="F19" s="2">
        <v>25</v>
      </c>
      <c r="G19" s="2">
        <v>25</v>
      </c>
      <c r="H19" s="8">
        <v>4730</v>
      </c>
      <c r="I19" s="26">
        <f t="shared" si="0"/>
        <v>3263.7</v>
      </c>
      <c r="J19" s="26">
        <f t="shared" si="1"/>
        <v>3198.4259999999999</v>
      </c>
      <c r="K19" s="26">
        <f t="shared" si="2"/>
        <v>3166.4417399999998</v>
      </c>
      <c r="L19" s="26">
        <f t="shared" si="3"/>
        <v>3071.4484877999998</v>
      </c>
    </row>
    <row r="20" spans="1:12" ht="20.25" customHeight="1" x14ac:dyDescent="0.35">
      <c r="A20" s="6">
        <v>14</v>
      </c>
      <c r="B20" s="6" t="s">
        <v>39</v>
      </c>
      <c r="C20" s="14" t="s">
        <v>40</v>
      </c>
      <c r="D20" s="2">
        <v>1</v>
      </c>
      <c r="E20" s="2">
        <v>0.75</v>
      </c>
      <c r="F20" s="2">
        <v>25</v>
      </c>
      <c r="G20" s="2">
        <v>25</v>
      </c>
      <c r="H20" s="8">
        <v>5170</v>
      </c>
      <c r="I20" s="26">
        <f t="shared" si="0"/>
        <v>3567.2999999999997</v>
      </c>
      <c r="J20" s="26">
        <f t="shared" si="1"/>
        <v>3495.9539999999997</v>
      </c>
      <c r="K20" s="26">
        <f t="shared" si="2"/>
        <v>3460.9944599999999</v>
      </c>
      <c r="L20" s="26">
        <f t="shared" si="3"/>
        <v>3357.1646261999999</v>
      </c>
    </row>
    <row r="21" spans="1:12" ht="20.25" customHeight="1" x14ac:dyDescent="0.35">
      <c r="A21" s="4">
        <v>15</v>
      </c>
      <c r="B21" s="6" t="s">
        <v>41</v>
      </c>
      <c r="C21" s="14" t="s">
        <v>42</v>
      </c>
      <c r="D21" s="2">
        <v>1</v>
      </c>
      <c r="E21" s="2">
        <v>0.75</v>
      </c>
      <c r="F21" s="2">
        <v>25</v>
      </c>
      <c r="G21" s="2">
        <v>25</v>
      </c>
      <c r="H21" s="8">
        <v>4670</v>
      </c>
      <c r="I21" s="26">
        <f t="shared" si="0"/>
        <v>3222.2999999999997</v>
      </c>
      <c r="J21" s="26">
        <f t="shared" si="1"/>
        <v>3157.8539999999998</v>
      </c>
      <c r="K21" s="26">
        <f t="shared" si="2"/>
        <v>3126.2754599999998</v>
      </c>
      <c r="L21" s="26">
        <f t="shared" si="3"/>
        <v>3032.4871961999997</v>
      </c>
    </row>
    <row r="22" spans="1:12" ht="20.25" customHeight="1" x14ac:dyDescent="0.35">
      <c r="A22" s="6">
        <v>16</v>
      </c>
      <c r="B22" s="4" t="s">
        <v>43</v>
      </c>
      <c r="C22" s="12" t="s">
        <v>44</v>
      </c>
      <c r="D22" s="2">
        <v>1.2</v>
      </c>
      <c r="E22" s="2">
        <v>0.9</v>
      </c>
      <c r="F22" s="2">
        <v>25</v>
      </c>
      <c r="G22" s="2">
        <v>25</v>
      </c>
      <c r="H22" s="8">
        <v>6650</v>
      </c>
      <c r="I22" s="26">
        <f t="shared" si="0"/>
        <v>4588.5</v>
      </c>
      <c r="J22" s="26">
        <f t="shared" si="1"/>
        <v>4496.7299999999996</v>
      </c>
      <c r="K22" s="26">
        <f t="shared" si="2"/>
        <v>4451.7626999999993</v>
      </c>
      <c r="L22" s="26">
        <f t="shared" si="3"/>
        <v>4318.2098189999988</v>
      </c>
    </row>
    <row r="23" spans="1:12" ht="20.25" customHeight="1" x14ac:dyDescent="0.35">
      <c r="A23" s="6">
        <v>17</v>
      </c>
      <c r="B23" s="6" t="s">
        <v>45</v>
      </c>
      <c r="C23" s="14" t="s">
        <v>46</v>
      </c>
      <c r="D23" s="2">
        <v>1.5</v>
      </c>
      <c r="E23" s="2">
        <v>1.1000000000000001</v>
      </c>
      <c r="F23" s="2">
        <v>25</v>
      </c>
      <c r="G23" s="2">
        <v>25</v>
      </c>
      <c r="H23" s="8">
        <v>8150</v>
      </c>
      <c r="I23" s="26">
        <f t="shared" si="0"/>
        <v>5623.5</v>
      </c>
      <c r="J23" s="26">
        <f t="shared" si="1"/>
        <v>5511.03</v>
      </c>
      <c r="K23" s="26">
        <f t="shared" si="2"/>
        <v>5455.9196999999995</v>
      </c>
      <c r="L23" s="26">
        <f t="shared" si="3"/>
        <v>5292.2421089999989</v>
      </c>
    </row>
    <row r="24" spans="1:12" ht="20.25" customHeight="1" x14ac:dyDescent="0.35">
      <c r="A24" s="6">
        <v>18</v>
      </c>
      <c r="B24" s="6" t="s">
        <v>47</v>
      </c>
      <c r="C24" s="14" t="s">
        <v>48</v>
      </c>
      <c r="D24" s="2">
        <v>2</v>
      </c>
      <c r="E24" s="2">
        <v>1.5</v>
      </c>
      <c r="F24" s="2">
        <v>25</v>
      </c>
      <c r="G24" s="2">
        <v>25</v>
      </c>
      <c r="H24" s="8">
        <v>9190</v>
      </c>
      <c r="I24" s="26">
        <f t="shared" si="0"/>
        <v>6341.0999999999995</v>
      </c>
      <c r="J24" s="26">
        <f t="shared" si="1"/>
        <v>6214.2779999999993</v>
      </c>
      <c r="K24" s="26">
        <f t="shared" si="2"/>
        <v>6152.1352199999992</v>
      </c>
      <c r="L24" s="26">
        <f t="shared" si="3"/>
        <v>5967.571163399999</v>
      </c>
    </row>
    <row r="25" spans="1:12" ht="20.25" customHeight="1" x14ac:dyDescent="0.35">
      <c r="A25" s="4">
        <v>19</v>
      </c>
      <c r="B25" s="6" t="s">
        <v>49</v>
      </c>
      <c r="C25" s="14" t="s">
        <v>50</v>
      </c>
      <c r="D25" s="2">
        <v>0.5</v>
      </c>
      <c r="E25" s="2">
        <v>0.37</v>
      </c>
      <c r="F25" s="2">
        <v>25</v>
      </c>
      <c r="G25" s="2">
        <v>25</v>
      </c>
      <c r="H25" s="8">
        <v>3310</v>
      </c>
      <c r="I25" s="26">
        <f t="shared" si="0"/>
        <v>2283.8999999999996</v>
      </c>
      <c r="J25" s="26">
        <f t="shared" si="1"/>
        <v>2238.2219999999998</v>
      </c>
      <c r="K25" s="26">
        <f t="shared" si="2"/>
        <v>2215.8397799999998</v>
      </c>
      <c r="L25" s="26">
        <f t="shared" si="3"/>
        <v>2149.3645865999997</v>
      </c>
    </row>
    <row r="26" spans="1:12" ht="20.25" customHeight="1" x14ac:dyDescent="0.35">
      <c r="A26" s="6">
        <v>20</v>
      </c>
      <c r="B26" s="4" t="s">
        <v>51</v>
      </c>
      <c r="C26" s="12" t="s">
        <v>52</v>
      </c>
      <c r="D26" s="2">
        <v>0.5</v>
      </c>
      <c r="E26" s="2">
        <v>0.37</v>
      </c>
      <c r="F26" s="2">
        <v>25</v>
      </c>
      <c r="G26" s="2">
        <v>25</v>
      </c>
      <c r="H26" s="10">
        <v>4380</v>
      </c>
      <c r="I26" s="295">
        <f>H26*0.63</f>
        <v>2759.4</v>
      </c>
      <c r="J26" s="325"/>
      <c r="K26" s="325"/>
      <c r="L26" s="296"/>
    </row>
    <row r="27" spans="1:12" ht="20.25" customHeight="1" x14ac:dyDescent="0.35">
      <c r="A27" s="6">
        <v>21</v>
      </c>
      <c r="B27" s="4" t="s">
        <v>53</v>
      </c>
      <c r="C27" s="12" t="s">
        <v>54</v>
      </c>
      <c r="D27" s="2">
        <v>1</v>
      </c>
      <c r="E27" s="2">
        <v>0.75</v>
      </c>
      <c r="F27" s="2">
        <v>25</v>
      </c>
      <c r="G27" s="2">
        <v>25</v>
      </c>
      <c r="H27" s="10">
        <v>5300</v>
      </c>
      <c r="I27" s="295">
        <f>H27*0.63</f>
        <v>3339</v>
      </c>
      <c r="J27" s="325"/>
      <c r="K27" s="325"/>
      <c r="L27" s="296"/>
    </row>
    <row r="28" spans="1:12" ht="20.25" customHeight="1" x14ac:dyDescent="0.35">
      <c r="A28" s="6">
        <v>22</v>
      </c>
      <c r="B28" s="6" t="s">
        <v>55</v>
      </c>
      <c r="C28" s="14" t="s">
        <v>56</v>
      </c>
      <c r="D28" s="2">
        <v>1.1000000000000001</v>
      </c>
      <c r="E28" s="2">
        <v>0.8</v>
      </c>
      <c r="F28" s="2">
        <v>25</v>
      </c>
      <c r="G28" s="2">
        <v>25</v>
      </c>
      <c r="H28" s="8">
        <v>5040</v>
      </c>
      <c r="I28" s="26">
        <f t="shared" ref="I28:I30" si="4">H28*0.69</f>
        <v>3477.6</v>
      </c>
      <c r="J28" s="26">
        <f t="shared" ref="J28:J30" si="5">I28*0.98</f>
        <v>3408.0479999999998</v>
      </c>
      <c r="K28" s="26">
        <f t="shared" ref="K28:K30" si="6">J28*0.99</f>
        <v>3373.9675199999997</v>
      </c>
      <c r="L28" s="26">
        <f t="shared" ref="L28:L30" si="7">K28*0.97</f>
        <v>3272.7484943999998</v>
      </c>
    </row>
    <row r="29" spans="1:12" ht="20.25" customHeight="1" x14ac:dyDescent="0.35">
      <c r="A29" s="4">
        <v>23</v>
      </c>
      <c r="B29" s="6" t="s">
        <v>57</v>
      </c>
      <c r="C29" s="14" t="s">
        <v>58</v>
      </c>
      <c r="D29" s="2">
        <v>1.1000000000000001</v>
      </c>
      <c r="E29" s="2">
        <v>0.8</v>
      </c>
      <c r="F29" s="2">
        <v>25</v>
      </c>
      <c r="G29" s="2">
        <v>25</v>
      </c>
      <c r="H29" s="8">
        <v>5150</v>
      </c>
      <c r="I29" s="26">
        <f t="shared" si="4"/>
        <v>3553.4999999999995</v>
      </c>
      <c r="J29" s="26">
        <f t="shared" si="5"/>
        <v>3482.4299999999994</v>
      </c>
      <c r="K29" s="26">
        <f t="shared" si="6"/>
        <v>3447.6056999999992</v>
      </c>
      <c r="L29" s="26">
        <f t="shared" si="7"/>
        <v>3344.1775289999991</v>
      </c>
    </row>
    <row r="30" spans="1:12" ht="20.25" customHeight="1" x14ac:dyDescent="0.35">
      <c r="A30" s="6">
        <v>24</v>
      </c>
      <c r="B30" s="4" t="s">
        <v>59</v>
      </c>
      <c r="C30" s="16" t="s">
        <v>60</v>
      </c>
      <c r="D30" s="2">
        <v>1.25</v>
      </c>
      <c r="E30" s="2">
        <v>0.94</v>
      </c>
      <c r="F30" s="2">
        <v>25</v>
      </c>
      <c r="G30" s="2">
        <v>25</v>
      </c>
      <c r="H30" s="8">
        <v>6630</v>
      </c>
      <c r="I30" s="26">
        <f t="shared" si="4"/>
        <v>4574.7</v>
      </c>
      <c r="J30" s="26">
        <f t="shared" si="5"/>
        <v>4483.2060000000001</v>
      </c>
      <c r="K30" s="26">
        <f t="shared" si="6"/>
        <v>4438.3739400000004</v>
      </c>
      <c r="L30" s="26">
        <f t="shared" si="7"/>
        <v>4305.2227218000007</v>
      </c>
    </row>
    <row r="31" spans="1:12" ht="20.25" customHeight="1" x14ac:dyDescent="0.35">
      <c r="A31" s="6">
        <v>25</v>
      </c>
      <c r="B31" s="6" t="s">
        <v>61</v>
      </c>
      <c r="C31" s="14" t="s">
        <v>62</v>
      </c>
      <c r="D31" s="17">
        <v>0.5</v>
      </c>
      <c r="E31" s="17">
        <v>0.37</v>
      </c>
      <c r="F31" s="17">
        <v>25</v>
      </c>
      <c r="G31" s="17">
        <v>25</v>
      </c>
      <c r="H31" s="9">
        <v>4950</v>
      </c>
      <c r="I31" s="102">
        <f>H31*0.63</f>
        <v>3118.5</v>
      </c>
      <c r="J31" s="108"/>
      <c r="K31" s="108"/>
      <c r="L31" s="109"/>
    </row>
    <row r="32" spans="1:12" ht="20.25" customHeight="1" x14ac:dyDescent="0.35">
      <c r="A32" s="6">
        <v>26</v>
      </c>
      <c r="B32" s="6" t="s">
        <v>63</v>
      </c>
      <c r="C32" s="14" t="s">
        <v>64</v>
      </c>
      <c r="D32" s="17">
        <v>0.5</v>
      </c>
      <c r="E32" s="17">
        <v>0.37</v>
      </c>
      <c r="F32" s="17">
        <v>25</v>
      </c>
      <c r="G32" s="17">
        <v>25</v>
      </c>
      <c r="H32" s="9">
        <v>5000</v>
      </c>
      <c r="I32" s="295">
        <f>H32*0.63</f>
        <v>3150</v>
      </c>
      <c r="J32" s="325"/>
      <c r="K32" s="325"/>
      <c r="L32" s="296"/>
    </row>
    <row r="33" spans="1:12" ht="20.25" customHeight="1" x14ac:dyDescent="0.35">
      <c r="A33" s="4">
        <v>27</v>
      </c>
      <c r="B33" s="6" t="s">
        <v>65</v>
      </c>
      <c r="C33" s="14" t="s">
        <v>66</v>
      </c>
      <c r="D33" s="2">
        <v>1</v>
      </c>
      <c r="E33" s="2">
        <v>0.75</v>
      </c>
      <c r="F33" s="2">
        <v>25</v>
      </c>
      <c r="G33" s="2">
        <v>25</v>
      </c>
      <c r="H33" s="8">
        <v>5560</v>
      </c>
      <c r="I33" s="26">
        <f t="shared" ref="I33:I54" si="8">H33*0.69</f>
        <v>3836.3999999999996</v>
      </c>
      <c r="J33" s="26">
        <f t="shared" ref="J33:J54" si="9">I33*0.98</f>
        <v>3759.6719999999996</v>
      </c>
      <c r="K33" s="26">
        <f t="shared" ref="K33:K54" si="10">J33*0.99</f>
        <v>3722.0752799999996</v>
      </c>
      <c r="L33" s="26">
        <f t="shared" ref="L33:L54" si="11">K33*0.97</f>
        <v>3610.4130215999994</v>
      </c>
    </row>
    <row r="34" spans="1:12" ht="20.25" customHeight="1" x14ac:dyDescent="0.35">
      <c r="A34" s="6">
        <v>28</v>
      </c>
      <c r="B34" s="6" t="s">
        <v>67</v>
      </c>
      <c r="C34" s="14" t="s">
        <v>68</v>
      </c>
      <c r="D34" s="2">
        <v>1</v>
      </c>
      <c r="E34" s="2">
        <v>0.75</v>
      </c>
      <c r="F34" s="2">
        <v>25</v>
      </c>
      <c r="G34" s="2">
        <v>25</v>
      </c>
      <c r="H34" s="8">
        <v>5650</v>
      </c>
      <c r="I34" s="26">
        <f t="shared" si="8"/>
        <v>3898.4999999999995</v>
      </c>
      <c r="J34" s="26">
        <f t="shared" si="9"/>
        <v>3820.5299999999993</v>
      </c>
      <c r="K34" s="26">
        <f t="shared" si="10"/>
        <v>3782.3246999999992</v>
      </c>
      <c r="L34" s="26">
        <f t="shared" si="11"/>
        <v>3668.8549589999993</v>
      </c>
    </row>
    <row r="35" spans="1:12" ht="20.25" customHeight="1" x14ac:dyDescent="0.35">
      <c r="A35" s="6">
        <v>29</v>
      </c>
      <c r="B35" s="6" t="s">
        <v>69</v>
      </c>
      <c r="C35" s="14" t="s">
        <v>70</v>
      </c>
      <c r="D35" s="2">
        <v>1.5</v>
      </c>
      <c r="E35" s="2">
        <v>1.1000000000000001</v>
      </c>
      <c r="F35" s="2">
        <v>25</v>
      </c>
      <c r="G35" s="2">
        <v>25</v>
      </c>
      <c r="H35" s="8">
        <v>7840</v>
      </c>
      <c r="I35" s="26">
        <f t="shared" si="8"/>
        <v>5409.5999999999995</v>
      </c>
      <c r="J35" s="26">
        <f t="shared" si="9"/>
        <v>5301.4079999999994</v>
      </c>
      <c r="K35" s="26">
        <f t="shared" si="10"/>
        <v>5248.3939199999995</v>
      </c>
      <c r="L35" s="26">
        <f t="shared" si="11"/>
        <v>5090.9421023999994</v>
      </c>
    </row>
    <row r="36" spans="1:12" ht="20.25" customHeight="1" x14ac:dyDescent="0.35">
      <c r="A36" s="6">
        <v>30</v>
      </c>
      <c r="B36" s="6" t="s">
        <v>71</v>
      </c>
      <c r="C36" s="14" t="s">
        <v>72</v>
      </c>
      <c r="D36" s="2">
        <v>1.5</v>
      </c>
      <c r="E36" s="2">
        <v>1.1000000000000001</v>
      </c>
      <c r="F36" s="2">
        <v>25</v>
      </c>
      <c r="G36" s="2">
        <v>25</v>
      </c>
      <c r="H36" s="8">
        <v>8170</v>
      </c>
      <c r="I36" s="26">
        <f t="shared" si="8"/>
        <v>5637.2999999999993</v>
      </c>
      <c r="J36" s="26">
        <f t="shared" si="9"/>
        <v>5524.5539999999992</v>
      </c>
      <c r="K36" s="26">
        <f t="shared" si="10"/>
        <v>5469.3084599999993</v>
      </c>
      <c r="L36" s="26">
        <f t="shared" si="11"/>
        <v>5305.2292061999988</v>
      </c>
    </row>
    <row r="37" spans="1:12" ht="20.25" customHeight="1" x14ac:dyDescent="0.35">
      <c r="A37" s="4">
        <v>31</v>
      </c>
      <c r="B37" s="4" t="s">
        <v>73</v>
      </c>
      <c r="C37" s="12" t="s">
        <v>74</v>
      </c>
      <c r="D37" s="2">
        <v>0.5</v>
      </c>
      <c r="E37" s="2">
        <v>0.37</v>
      </c>
      <c r="F37" s="2">
        <v>25</v>
      </c>
      <c r="G37" s="2">
        <v>25</v>
      </c>
      <c r="H37" s="8">
        <v>6450</v>
      </c>
      <c r="I37" s="26">
        <f t="shared" si="8"/>
        <v>4450.5</v>
      </c>
      <c r="J37" s="26">
        <f t="shared" si="9"/>
        <v>4361.49</v>
      </c>
      <c r="K37" s="26">
        <f t="shared" si="10"/>
        <v>4317.8750999999993</v>
      </c>
      <c r="L37" s="26">
        <f t="shared" si="11"/>
        <v>4188.3388469999991</v>
      </c>
    </row>
    <row r="38" spans="1:12" ht="20.25" customHeight="1" x14ac:dyDescent="0.35">
      <c r="A38" s="6">
        <v>32</v>
      </c>
      <c r="B38" s="6" t="s">
        <v>75</v>
      </c>
      <c r="C38" s="14" t="s">
        <v>76</v>
      </c>
      <c r="D38" s="3">
        <v>0.9</v>
      </c>
      <c r="E38" s="3">
        <v>0.7</v>
      </c>
      <c r="F38" s="3">
        <v>25</v>
      </c>
      <c r="G38" s="3">
        <v>25</v>
      </c>
      <c r="H38" s="8">
        <v>6640</v>
      </c>
      <c r="I38" s="26">
        <f t="shared" si="8"/>
        <v>4581.5999999999995</v>
      </c>
      <c r="J38" s="26">
        <f t="shared" si="9"/>
        <v>4489.9679999999989</v>
      </c>
      <c r="K38" s="26">
        <f t="shared" si="10"/>
        <v>4445.0683199999985</v>
      </c>
      <c r="L38" s="26">
        <f t="shared" si="11"/>
        <v>4311.7162703999984</v>
      </c>
    </row>
    <row r="39" spans="1:12" ht="20.25" customHeight="1" x14ac:dyDescent="0.35">
      <c r="A39" s="6">
        <v>33</v>
      </c>
      <c r="B39" s="6" t="s">
        <v>77</v>
      </c>
      <c r="C39" s="14" t="s">
        <v>78</v>
      </c>
      <c r="D39" s="3">
        <v>1</v>
      </c>
      <c r="E39" s="3">
        <v>0.75</v>
      </c>
      <c r="F39" s="3">
        <v>25</v>
      </c>
      <c r="G39" s="3">
        <v>25</v>
      </c>
      <c r="H39" s="8">
        <v>7100</v>
      </c>
      <c r="I39" s="26">
        <f t="shared" si="8"/>
        <v>4899</v>
      </c>
      <c r="J39" s="26">
        <f t="shared" si="9"/>
        <v>4801.0199999999995</v>
      </c>
      <c r="K39" s="26">
        <f t="shared" si="10"/>
        <v>4753.0097999999998</v>
      </c>
      <c r="L39" s="26">
        <f t="shared" si="11"/>
        <v>4610.4195059999993</v>
      </c>
    </row>
    <row r="40" spans="1:12" ht="20.25" customHeight="1" x14ac:dyDescent="0.35">
      <c r="A40" s="6">
        <v>34</v>
      </c>
      <c r="B40" s="4" t="s">
        <v>79</v>
      </c>
      <c r="C40" s="15" t="s">
        <v>80</v>
      </c>
      <c r="D40" s="3">
        <v>0.5</v>
      </c>
      <c r="E40" s="3">
        <v>0.37</v>
      </c>
      <c r="F40" s="3">
        <v>25</v>
      </c>
      <c r="G40" s="3">
        <v>25</v>
      </c>
      <c r="H40" s="8">
        <v>5500</v>
      </c>
      <c r="I40" s="26">
        <f t="shared" si="8"/>
        <v>3794.9999999999995</v>
      </c>
      <c r="J40" s="26">
        <f t="shared" si="9"/>
        <v>3719.0999999999995</v>
      </c>
      <c r="K40" s="26">
        <f t="shared" si="10"/>
        <v>3681.9089999999997</v>
      </c>
      <c r="L40" s="26">
        <f t="shared" si="11"/>
        <v>3571.4517299999998</v>
      </c>
    </row>
    <row r="41" spans="1:12" ht="20.25" customHeight="1" x14ac:dyDescent="0.35">
      <c r="A41" s="4">
        <v>35</v>
      </c>
      <c r="B41" s="4"/>
      <c r="C41" s="15" t="s">
        <v>81</v>
      </c>
      <c r="D41" s="3">
        <v>1</v>
      </c>
      <c r="E41" s="3">
        <v>0.75</v>
      </c>
      <c r="F41" s="3">
        <v>25</v>
      </c>
      <c r="G41" s="3">
        <v>25</v>
      </c>
      <c r="H41" s="8">
        <v>6200</v>
      </c>
      <c r="I41" s="26">
        <f t="shared" si="8"/>
        <v>4278</v>
      </c>
      <c r="J41" s="26">
        <f t="shared" si="9"/>
        <v>4192.4399999999996</v>
      </c>
      <c r="K41" s="26">
        <f t="shared" si="10"/>
        <v>4150.5155999999997</v>
      </c>
      <c r="L41" s="26">
        <f t="shared" si="11"/>
        <v>4026.0001319999997</v>
      </c>
    </row>
    <row r="42" spans="1:12" ht="20.25" customHeight="1" x14ac:dyDescent="0.35">
      <c r="A42" s="6">
        <v>36</v>
      </c>
      <c r="B42" s="4" t="s">
        <v>82</v>
      </c>
      <c r="C42" s="12" t="s">
        <v>83</v>
      </c>
      <c r="D42" s="1">
        <v>0.5</v>
      </c>
      <c r="E42" s="1">
        <v>0.37</v>
      </c>
      <c r="F42" s="1">
        <v>25</v>
      </c>
      <c r="G42" s="1">
        <v>25</v>
      </c>
      <c r="H42" s="8">
        <v>7140</v>
      </c>
      <c r="I42" s="26">
        <f t="shared" si="8"/>
        <v>4926.5999999999995</v>
      </c>
      <c r="J42" s="26">
        <f t="shared" si="9"/>
        <v>4828.0679999999993</v>
      </c>
      <c r="K42" s="26">
        <f t="shared" si="10"/>
        <v>4779.7873199999995</v>
      </c>
      <c r="L42" s="26">
        <f t="shared" si="11"/>
        <v>4636.393700399999</v>
      </c>
    </row>
    <row r="43" spans="1:12" ht="20.25" customHeight="1" x14ac:dyDescent="0.35">
      <c r="A43" s="6">
        <v>37</v>
      </c>
      <c r="B43" s="6" t="s">
        <v>84</v>
      </c>
      <c r="C43" s="14" t="s">
        <v>85</v>
      </c>
      <c r="D43" s="1">
        <v>1.1000000000000001</v>
      </c>
      <c r="E43" s="1">
        <v>0.8</v>
      </c>
      <c r="F43" s="1">
        <v>25</v>
      </c>
      <c r="G43" s="1">
        <v>25</v>
      </c>
      <c r="H43" s="8">
        <v>7700</v>
      </c>
      <c r="I43" s="26">
        <f t="shared" si="8"/>
        <v>5313</v>
      </c>
      <c r="J43" s="26">
        <f t="shared" si="9"/>
        <v>5206.74</v>
      </c>
      <c r="K43" s="26">
        <f t="shared" si="10"/>
        <v>5154.6725999999999</v>
      </c>
      <c r="L43" s="26">
        <f t="shared" si="11"/>
        <v>5000.0324219999993</v>
      </c>
    </row>
    <row r="44" spans="1:12" ht="20.25" customHeight="1" x14ac:dyDescent="0.35">
      <c r="A44" s="6">
        <v>38</v>
      </c>
      <c r="B44" s="6" t="s">
        <v>86</v>
      </c>
      <c r="C44" s="14" t="s">
        <v>87</v>
      </c>
      <c r="D44" s="1">
        <v>1.5</v>
      </c>
      <c r="E44" s="1">
        <v>1.1000000000000001</v>
      </c>
      <c r="F44" s="1">
        <v>25</v>
      </c>
      <c r="G44" s="1">
        <v>25</v>
      </c>
      <c r="H44" s="8">
        <v>8690</v>
      </c>
      <c r="I44" s="26">
        <f t="shared" si="8"/>
        <v>5996.0999999999995</v>
      </c>
      <c r="J44" s="26">
        <f t="shared" si="9"/>
        <v>5876.177999999999</v>
      </c>
      <c r="K44" s="26">
        <f t="shared" si="10"/>
        <v>5817.4162199999992</v>
      </c>
      <c r="L44" s="26">
        <f t="shared" si="11"/>
        <v>5642.8937333999993</v>
      </c>
    </row>
    <row r="45" spans="1:12" ht="20.25" customHeight="1" x14ac:dyDescent="0.35">
      <c r="A45" s="4">
        <v>39</v>
      </c>
      <c r="B45" s="4" t="s">
        <v>88</v>
      </c>
      <c r="C45" s="12" t="s">
        <v>89</v>
      </c>
      <c r="D45" s="2">
        <v>0.5</v>
      </c>
      <c r="E45" s="2">
        <v>0.37</v>
      </c>
      <c r="F45" s="2">
        <v>25</v>
      </c>
      <c r="G45" s="2">
        <v>12</v>
      </c>
      <c r="H45" s="8">
        <v>4860</v>
      </c>
      <c r="I45" s="26">
        <f t="shared" si="8"/>
        <v>3353.3999999999996</v>
      </c>
      <c r="J45" s="26">
        <f t="shared" si="9"/>
        <v>3286.3319999999994</v>
      </c>
      <c r="K45" s="26">
        <f t="shared" si="10"/>
        <v>3253.4686799999995</v>
      </c>
      <c r="L45" s="26">
        <f t="shared" si="11"/>
        <v>3155.8646195999995</v>
      </c>
    </row>
    <row r="46" spans="1:12" ht="20.25" customHeight="1" x14ac:dyDescent="0.35">
      <c r="A46" s="6">
        <v>40</v>
      </c>
      <c r="B46" s="4" t="s">
        <v>90</v>
      </c>
      <c r="C46" s="12" t="s">
        <v>91</v>
      </c>
      <c r="D46" s="2">
        <v>1</v>
      </c>
      <c r="E46" s="2">
        <v>0.75</v>
      </c>
      <c r="F46" s="2">
        <v>25</v>
      </c>
      <c r="G46" s="2">
        <v>25</v>
      </c>
      <c r="H46" s="8">
        <v>5600</v>
      </c>
      <c r="I46" s="26">
        <f t="shared" si="8"/>
        <v>3863.9999999999995</v>
      </c>
      <c r="J46" s="26">
        <f t="shared" si="9"/>
        <v>3786.7199999999993</v>
      </c>
      <c r="K46" s="26">
        <f t="shared" si="10"/>
        <v>3748.8527999999992</v>
      </c>
      <c r="L46" s="26">
        <f t="shared" si="11"/>
        <v>3636.3872159999992</v>
      </c>
    </row>
    <row r="47" spans="1:12" ht="20.25" customHeight="1" x14ac:dyDescent="0.35">
      <c r="A47" s="6">
        <v>41</v>
      </c>
      <c r="B47" s="6" t="s">
        <v>92</v>
      </c>
      <c r="C47" s="14" t="s">
        <v>93</v>
      </c>
      <c r="D47" s="17">
        <v>1</v>
      </c>
      <c r="E47" s="17">
        <v>0.75</v>
      </c>
      <c r="F47" s="17">
        <v>25</v>
      </c>
      <c r="G47" s="17">
        <v>25</v>
      </c>
      <c r="H47" s="9">
        <v>8420</v>
      </c>
      <c r="I47" s="295">
        <f>H47*0.63</f>
        <v>5304.6</v>
      </c>
      <c r="J47" s="325"/>
      <c r="K47" s="325"/>
      <c r="L47" s="296"/>
    </row>
    <row r="48" spans="1:12" ht="20.25" customHeight="1" x14ac:dyDescent="0.35">
      <c r="A48" s="6">
        <v>42</v>
      </c>
      <c r="B48" s="6" t="s">
        <v>94</v>
      </c>
      <c r="C48" s="14" t="s">
        <v>95</v>
      </c>
      <c r="D48" s="2">
        <v>1.1000000000000001</v>
      </c>
      <c r="E48" s="2">
        <v>0.8</v>
      </c>
      <c r="F48" s="2">
        <v>25</v>
      </c>
      <c r="G48" s="2">
        <v>25</v>
      </c>
      <c r="H48" s="8">
        <v>12020</v>
      </c>
      <c r="I48" s="26">
        <f t="shared" si="8"/>
        <v>8293.7999999999993</v>
      </c>
      <c r="J48" s="26">
        <f t="shared" si="9"/>
        <v>8127.9239999999991</v>
      </c>
      <c r="K48" s="26">
        <f t="shared" si="10"/>
        <v>8046.6447599999992</v>
      </c>
      <c r="L48" s="26">
        <f t="shared" si="11"/>
        <v>7805.2454171999989</v>
      </c>
    </row>
    <row r="49" spans="1:12" ht="20.25" customHeight="1" x14ac:dyDescent="0.35">
      <c r="A49" s="4">
        <v>43</v>
      </c>
      <c r="B49" s="4" t="s">
        <v>96</v>
      </c>
      <c r="C49" s="12" t="s">
        <v>97</v>
      </c>
      <c r="D49" s="2">
        <v>0.5</v>
      </c>
      <c r="E49" s="2">
        <v>0.37</v>
      </c>
      <c r="F49" s="2">
        <v>25</v>
      </c>
      <c r="G49" s="2">
        <v>25</v>
      </c>
      <c r="H49" s="8">
        <v>7530</v>
      </c>
      <c r="I49" s="26">
        <f t="shared" si="8"/>
        <v>5195.7</v>
      </c>
      <c r="J49" s="26">
        <f t="shared" si="9"/>
        <v>5091.7860000000001</v>
      </c>
      <c r="K49" s="26">
        <f t="shared" si="10"/>
        <v>5040.8681399999996</v>
      </c>
      <c r="L49" s="26">
        <f t="shared" si="11"/>
        <v>4889.6420957999999</v>
      </c>
    </row>
    <row r="50" spans="1:12" ht="20.25" customHeight="1" x14ac:dyDescent="0.35">
      <c r="A50" s="6">
        <v>44</v>
      </c>
      <c r="B50" s="4" t="s">
        <v>98</v>
      </c>
      <c r="C50" s="12" t="s">
        <v>99</v>
      </c>
      <c r="D50" s="2">
        <v>1</v>
      </c>
      <c r="E50" s="2">
        <v>0.75</v>
      </c>
      <c r="F50" s="2">
        <v>25</v>
      </c>
      <c r="G50" s="2">
        <v>25</v>
      </c>
      <c r="H50" s="8">
        <v>9150</v>
      </c>
      <c r="I50" s="26">
        <f t="shared" si="8"/>
        <v>6313.4999999999991</v>
      </c>
      <c r="J50" s="26">
        <f t="shared" si="9"/>
        <v>6187.2299999999987</v>
      </c>
      <c r="K50" s="26">
        <f t="shared" si="10"/>
        <v>6125.3576999999987</v>
      </c>
      <c r="L50" s="26">
        <f t="shared" si="11"/>
        <v>5941.5969689999984</v>
      </c>
    </row>
    <row r="51" spans="1:12" ht="20.25" customHeight="1" x14ac:dyDescent="0.35">
      <c r="A51" s="6">
        <v>45</v>
      </c>
      <c r="B51" s="4" t="s">
        <v>100</v>
      </c>
      <c r="C51" s="12" t="s">
        <v>101</v>
      </c>
      <c r="D51" s="2">
        <v>1</v>
      </c>
      <c r="E51" s="2">
        <v>0.75</v>
      </c>
      <c r="F51" s="2">
        <v>25</v>
      </c>
      <c r="G51" s="2">
        <v>25</v>
      </c>
      <c r="H51" s="5">
        <v>16800</v>
      </c>
      <c r="I51" s="26">
        <f t="shared" si="8"/>
        <v>11592</v>
      </c>
      <c r="J51" s="26">
        <f t="shared" si="9"/>
        <v>11360.16</v>
      </c>
      <c r="K51" s="26">
        <f t="shared" si="10"/>
        <v>11246.5584</v>
      </c>
      <c r="L51" s="26">
        <f t="shared" si="11"/>
        <v>10909.161647999999</v>
      </c>
    </row>
    <row r="52" spans="1:12" ht="20.25" customHeight="1" x14ac:dyDescent="0.35">
      <c r="A52" s="6">
        <v>46</v>
      </c>
      <c r="B52" s="6" t="s">
        <v>102</v>
      </c>
      <c r="C52" s="14" t="s">
        <v>103</v>
      </c>
      <c r="D52" s="2">
        <v>0.5</v>
      </c>
      <c r="E52" s="2">
        <v>0.37</v>
      </c>
      <c r="F52" s="2">
        <v>25</v>
      </c>
      <c r="G52" s="2">
        <v>25</v>
      </c>
      <c r="H52" s="8">
        <v>17760</v>
      </c>
      <c r="I52" s="26">
        <f t="shared" si="8"/>
        <v>12254.4</v>
      </c>
      <c r="J52" s="26">
        <f t="shared" si="9"/>
        <v>12009.312</v>
      </c>
      <c r="K52" s="26">
        <f t="shared" si="10"/>
        <v>11889.21888</v>
      </c>
      <c r="L52" s="26">
        <f t="shared" si="11"/>
        <v>11532.542313600001</v>
      </c>
    </row>
    <row r="53" spans="1:12" ht="20.25" customHeight="1" x14ac:dyDescent="0.35">
      <c r="A53" s="4">
        <v>47</v>
      </c>
      <c r="B53" s="6" t="s">
        <v>104</v>
      </c>
      <c r="C53" s="14" t="s">
        <v>105</v>
      </c>
      <c r="D53" s="2">
        <v>1</v>
      </c>
      <c r="E53" s="2">
        <v>0.75</v>
      </c>
      <c r="F53" s="2">
        <v>25</v>
      </c>
      <c r="G53" s="2">
        <v>25</v>
      </c>
      <c r="H53" s="8">
        <v>19120</v>
      </c>
      <c r="I53" s="26">
        <f t="shared" si="8"/>
        <v>13192.8</v>
      </c>
      <c r="J53" s="26">
        <f t="shared" si="9"/>
        <v>12928.944</v>
      </c>
      <c r="K53" s="26">
        <f t="shared" si="10"/>
        <v>12799.654559999999</v>
      </c>
      <c r="L53" s="26">
        <f t="shared" si="11"/>
        <v>12415.664923199998</v>
      </c>
    </row>
    <row r="54" spans="1:12" ht="20.25" customHeight="1" x14ac:dyDescent="0.35">
      <c r="A54" s="6">
        <v>48</v>
      </c>
      <c r="B54" s="6" t="s">
        <v>106</v>
      </c>
      <c r="C54" s="14" t="s">
        <v>107</v>
      </c>
      <c r="D54" s="2">
        <v>1.1000000000000001</v>
      </c>
      <c r="E54" s="2">
        <v>0.8</v>
      </c>
      <c r="F54" s="2">
        <v>25</v>
      </c>
      <c r="G54" s="2">
        <v>25</v>
      </c>
      <c r="H54" s="8">
        <v>20900</v>
      </c>
      <c r="I54" s="26">
        <f t="shared" si="8"/>
        <v>14420.999999999998</v>
      </c>
      <c r="J54" s="26">
        <f t="shared" si="9"/>
        <v>14132.579999999998</v>
      </c>
      <c r="K54" s="26">
        <f t="shared" si="10"/>
        <v>13991.254199999998</v>
      </c>
      <c r="L54" s="26">
        <f t="shared" si="11"/>
        <v>13571.516573999997</v>
      </c>
    </row>
    <row r="55" spans="1:12" ht="20.25" customHeight="1" x14ac:dyDescent="0.35">
      <c r="A55" s="267" t="s">
        <v>108</v>
      </c>
      <c r="B55" s="268"/>
      <c r="C55" s="268"/>
      <c r="D55" s="268"/>
      <c r="E55" s="268"/>
      <c r="F55" s="268"/>
      <c r="G55" s="269"/>
      <c r="H55" s="348" t="s">
        <v>109</v>
      </c>
      <c r="I55" s="315" t="s">
        <v>334</v>
      </c>
      <c r="J55" s="315"/>
      <c r="K55" s="315"/>
      <c r="L55" s="315"/>
    </row>
    <row r="56" spans="1:12" ht="20.25" customHeight="1" x14ac:dyDescent="0.35">
      <c r="A56" s="207" t="s">
        <v>2</v>
      </c>
      <c r="B56" s="287" t="s">
        <v>3</v>
      </c>
      <c r="C56" s="260" t="s">
        <v>4</v>
      </c>
      <c r="D56" s="209" t="s">
        <v>5</v>
      </c>
      <c r="E56" s="210"/>
      <c r="F56" s="209" t="s">
        <v>6</v>
      </c>
      <c r="G56" s="210"/>
      <c r="H56" s="349"/>
      <c r="I56" s="323">
        <v>0.31</v>
      </c>
      <c r="J56" s="323">
        <v>0.02</v>
      </c>
      <c r="K56" s="323">
        <v>0.01</v>
      </c>
      <c r="L56" s="323">
        <v>0.03</v>
      </c>
    </row>
    <row r="57" spans="1:12" ht="20.25" customHeight="1" x14ac:dyDescent="0.35">
      <c r="A57" s="208"/>
      <c r="B57" s="287"/>
      <c r="C57" s="261"/>
      <c r="D57" s="11" t="s">
        <v>9</v>
      </c>
      <c r="E57" s="11" t="s">
        <v>10</v>
      </c>
      <c r="F57" s="11" t="s">
        <v>11</v>
      </c>
      <c r="G57" s="11" t="s">
        <v>12</v>
      </c>
      <c r="H57" s="350"/>
      <c r="I57" s="324"/>
      <c r="J57" s="324"/>
      <c r="K57" s="324"/>
      <c r="L57" s="324"/>
    </row>
    <row r="58" spans="1:12" ht="20.25" customHeight="1" x14ac:dyDescent="0.35">
      <c r="A58" s="6">
        <v>1</v>
      </c>
      <c r="B58" s="6" t="s">
        <v>110</v>
      </c>
      <c r="C58" s="14" t="s">
        <v>111</v>
      </c>
      <c r="D58" s="303">
        <v>0.5</v>
      </c>
      <c r="E58" s="303">
        <v>0.37</v>
      </c>
      <c r="F58" s="2">
        <v>25</v>
      </c>
      <c r="G58" s="2">
        <v>25</v>
      </c>
      <c r="H58" s="8">
        <v>4680</v>
      </c>
      <c r="I58" s="26">
        <f t="shared" ref="I58:I113" si="12">H58*0.69</f>
        <v>3229.2</v>
      </c>
      <c r="J58" s="26">
        <f t="shared" ref="J58:J113" si="13">I58*0.98</f>
        <v>3164.616</v>
      </c>
      <c r="K58" s="26">
        <f t="shared" ref="K58:K113" si="14">J58*0.99</f>
        <v>3132.9698399999997</v>
      </c>
      <c r="L58" s="26">
        <f t="shared" ref="L58:L113" si="15">K58*0.97</f>
        <v>3038.9807447999997</v>
      </c>
    </row>
    <row r="59" spans="1:12" ht="20.25" customHeight="1" x14ac:dyDescent="0.35">
      <c r="A59" s="6">
        <v>2</v>
      </c>
      <c r="B59" s="6" t="s">
        <v>112</v>
      </c>
      <c r="C59" s="14" t="s">
        <v>113</v>
      </c>
      <c r="D59" s="303"/>
      <c r="E59" s="303"/>
      <c r="F59" s="2">
        <v>40</v>
      </c>
      <c r="G59" s="2">
        <v>40</v>
      </c>
      <c r="H59" s="8">
        <v>6430</v>
      </c>
      <c r="I59" s="26">
        <f t="shared" si="12"/>
        <v>4436.7</v>
      </c>
      <c r="J59" s="26">
        <f t="shared" si="13"/>
        <v>4347.9659999999994</v>
      </c>
      <c r="K59" s="26">
        <f t="shared" si="14"/>
        <v>4304.4863399999995</v>
      </c>
      <c r="L59" s="26">
        <f t="shared" si="15"/>
        <v>4175.3517497999992</v>
      </c>
    </row>
    <row r="60" spans="1:12" ht="20.25" customHeight="1" x14ac:dyDescent="0.35">
      <c r="A60" s="4">
        <v>3</v>
      </c>
      <c r="B60" s="4" t="s">
        <v>114</v>
      </c>
      <c r="C60" s="18" t="s">
        <v>115</v>
      </c>
      <c r="D60" s="2">
        <v>0.75</v>
      </c>
      <c r="E60" s="2">
        <v>0.56000000000000005</v>
      </c>
      <c r="F60" s="2">
        <v>40</v>
      </c>
      <c r="G60" s="2">
        <v>40</v>
      </c>
      <c r="H60" s="5">
        <v>6240</v>
      </c>
      <c r="I60" s="26">
        <f t="shared" si="12"/>
        <v>4305.5999999999995</v>
      </c>
      <c r="J60" s="26">
        <f t="shared" si="13"/>
        <v>4219.4879999999994</v>
      </c>
      <c r="K60" s="26">
        <f t="shared" si="14"/>
        <v>4177.2931199999994</v>
      </c>
      <c r="L60" s="26">
        <f t="shared" si="15"/>
        <v>4051.9743263999994</v>
      </c>
    </row>
    <row r="61" spans="1:12" ht="20.25" customHeight="1" x14ac:dyDescent="0.35">
      <c r="A61" s="6">
        <v>4</v>
      </c>
      <c r="B61" s="6" t="s">
        <v>116</v>
      </c>
      <c r="C61" s="14" t="s">
        <v>117</v>
      </c>
      <c r="D61" s="262">
        <v>1</v>
      </c>
      <c r="E61" s="262">
        <v>0.75</v>
      </c>
      <c r="F61" s="1">
        <v>25</v>
      </c>
      <c r="G61" s="1">
        <v>25</v>
      </c>
      <c r="H61" s="8">
        <v>7572</v>
      </c>
      <c r="I61" s="26">
        <f t="shared" si="12"/>
        <v>5224.6799999999994</v>
      </c>
      <c r="J61" s="26">
        <f t="shared" si="13"/>
        <v>5120.1863999999996</v>
      </c>
      <c r="K61" s="26">
        <f t="shared" si="14"/>
        <v>5068.9845359999999</v>
      </c>
      <c r="L61" s="26">
        <f t="shared" si="15"/>
        <v>4916.9149999199999</v>
      </c>
    </row>
    <row r="62" spans="1:12" ht="20.25" customHeight="1" x14ac:dyDescent="0.35">
      <c r="A62" s="6">
        <v>5</v>
      </c>
      <c r="B62" s="6" t="s">
        <v>118</v>
      </c>
      <c r="C62" s="14" t="s">
        <v>119</v>
      </c>
      <c r="D62" s="266"/>
      <c r="E62" s="266"/>
      <c r="F62" s="1">
        <v>50</v>
      </c>
      <c r="G62" s="1">
        <v>50</v>
      </c>
      <c r="H62" s="8">
        <v>8900</v>
      </c>
      <c r="I62" s="26">
        <f t="shared" si="12"/>
        <v>6140.9999999999991</v>
      </c>
      <c r="J62" s="26">
        <f t="shared" si="13"/>
        <v>6018.1799999999994</v>
      </c>
      <c r="K62" s="26">
        <f t="shared" si="14"/>
        <v>5957.9981999999991</v>
      </c>
      <c r="L62" s="26">
        <f t="shared" si="15"/>
        <v>5779.2582539999994</v>
      </c>
    </row>
    <row r="63" spans="1:12" ht="20.25" customHeight="1" x14ac:dyDescent="0.35">
      <c r="A63" s="4">
        <v>6</v>
      </c>
      <c r="B63" s="6" t="s">
        <v>120</v>
      </c>
      <c r="C63" s="14" t="s">
        <v>121</v>
      </c>
      <c r="D63" s="266"/>
      <c r="E63" s="266"/>
      <c r="F63" s="1">
        <v>50</v>
      </c>
      <c r="G63" s="1">
        <v>50</v>
      </c>
      <c r="H63" s="5">
        <v>9100</v>
      </c>
      <c r="I63" s="26">
        <f t="shared" si="12"/>
        <v>6278.9999999999991</v>
      </c>
      <c r="J63" s="26">
        <f t="shared" si="13"/>
        <v>6153.4199999999992</v>
      </c>
      <c r="K63" s="26">
        <f t="shared" si="14"/>
        <v>6091.8857999999991</v>
      </c>
      <c r="L63" s="26">
        <f t="shared" si="15"/>
        <v>5909.1292259999991</v>
      </c>
    </row>
    <row r="64" spans="1:12" ht="20.25" customHeight="1" x14ac:dyDescent="0.35">
      <c r="A64" s="6">
        <v>7</v>
      </c>
      <c r="B64" s="4" t="s">
        <v>122</v>
      </c>
      <c r="C64" s="18" t="s">
        <v>123</v>
      </c>
      <c r="D64" s="266"/>
      <c r="E64" s="266"/>
      <c r="F64" s="1">
        <v>50</v>
      </c>
      <c r="G64" s="1">
        <v>50</v>
      </c>
      <c r="H64" s="5">
        <v>9000</v>
      </c>
      <c r="I64" s="26">
        <f t="shared" si="12"/>
        <v>6209.9999999999991</v>
      </c>
      <c r="J64" s="26">
        <f t="shared" si="13"/>
        <v>6085.7999999999993</v>
      </c>
      <c r="K64" s="26">
        <f t="shared" si="14"/>
        <v>6024.9419999999991</v>
      </c>
      <c r="L64" s="26">
        <f t="shared" si="15"/>
        <v>5844.1937399999988</v>
      </c>
    </row>
    <row r="65" spans="1:12" ht="20.25" customHeight="1" x14ac:dyDescent="0.35">
      <c r="A65" s="6">
        <v>8</v>
      </c>
      <c r="B65" s="4" t="s">
        <v>124</v>
      </c>
      <c r="C65" s="19" t="s">
        <v>125</v>
      </c>
      <c r="D65" s="266"/>
      <c r="E65" s="266"/>
      <c r="F65" s="1">
        <v>75</v>
      </c>
      <c r="G65" s="1">
        <v>75</v>
      </c>
      <c r="H65" s="8">
        <v>10000</v>
      </c>
      <c r="I65" s="26">
        <f t="shared" si="12"/>
        <v>6899.9999999999991</v>
      </c>
      <c r="J65" s="26">
        <f t="shared" si="13"/>
        <v>6761.9999999999991</v>
      </c>
      <c r="K65" s="26">
        <f t="shared" si="14"/>
        <v>6694.3799999999992</v>
      </c>
      <c r="L65" s="26">
        <f t="shared" si="15"/>
        <v>6493.5485999999992</v>
      </c>
    </row>
    <row r="66" spans="1:12" ht="20.25" customHeight="1" x14ac:dyDescent="0.35">
      <c r="A66" s="4">
        <v>9</v>
      </c>
      <c r="B66" s="4"/>
      <c r="C66" s="18" t="s">
        <v>126</v>
      </c>
      <c r="D66" s="263"/>
      <c r="E66" s="263"/>
      <c r="F66" s="1">
        <v>75</v>
      </c>
      <c r="G66" s="1">
        <v>75</v>
      </c>
      <c r="H66" s="5">
        <v>10200</v>
      </c>
      <c r="I66" s="26">
        <f t="shared" si="12"/>
        <v>7037.9999999999991</v>
      </c>
      <c r="J66" s="26">
        <f t="shared" si="13"/>
        <v>6897.2399999999989</v>
      </c>
      <c r="K66" s="26">
        <f t="shared" si="14"/>
        <v>6828.2675999999992</v>
      </c>
      <c r="L66" s="26">
        <f t="shared" si="15"/>
        <v>6623.4195719999989</v>
      </c>
    </row>
    <row r="67" spans="1:12" ht="20.25" customHeight="1" x14ac:dyDescent="0.35">
      <c r="A67" s="6">
        <v>10</v>
      </c>
      <c r="B67" s="4" t="s">
        <v>127</v>
      </c>
      <c r="C67" s="19" t="s">
        <v>128</v>
      </c>
      <c r="D67" s="262">
        <v>1.5</v>
      </c>
      <c r="E67" s="262">
        <v>1.1000000000000001</v>
      </c>
      <c r="F67" s="1">
        <v>50</v>
      </c>
      <c r="G67" s="1">
        <v>50</v>
      </c>
      <c r="H67" s="5">
        <v>10420</v>
      </c>
      <c r="I67" s="26">
        <f t="shared" si="12"/>
        <v>7189.7999999999993</v>
      </c>
      <c r="J67" s="26">
        <f t="shared" si="13"/>
        <v>7046.003999999999</v>
      </c>
      <c r="K67" s="26">
        <f t="shared" si="14"/>
        <v>6975.5439599999991</v>
      </c>
      <c r="L67" s="26">
        <f t="shared" si="15"/>
        <v>6766.2776411999985</v>
      </c>
    </row>
    <row r="68" spans="1:12" ht="20.25" customHeight="1" x14ac:dyDescent="0.35">
      <c r="A68" s="6">
        <v>11</v>
      </c>
      <c r="B68" s="4" t="s">
        <v>129</v>
      </c>
      <c r="C68" s="18" t="s">
        <v>130</v>
      </c>
      <c r="D68" s="266"/>
      <c r="E68" s="266"/>
      <c r="F68" s="1">
        <v>50</v>
      </c>
      <c r="G68" s="1">
        <v>50</v>
      </c>
      <c r="H68" s="5">
        <v>10600</v>
      </c>
      <c r="I68" s="26">
        <f t="shared" si="12"/>
        <v>7313.9999999999991</v>
      </c>
      <c r="J68" s="26">
        <f t="shared" si="13"/>
        <v>7167.7199999999993</v>
      </c>
      <c r="K68" s="26">
        <f t="shared" si="14"/>
        <v>7096.0427999999993</v>
      </c>
      <c r="L68" s="26">
        <f t="shared" si="15"/>
        <v>6883.1615159999992</v>
      </c>
    </row>
    <row r="69" spans="1:12" ht="20.25" customHeight="1" x14ac:dyDescent="0.35">
      <c r="A69" s="4">
        <v>12</v>
      </c>
      <c r="B69" s="4" t="s">
        <v>131</v>
      </c>
      <c r="C69" s="19" t="s">
        <v>132</v>
      </c>
      <c r="D69" s="266"/>
      <c r="E69" s="266"/>
      <c r="F69" s="1">
        <v>65</v>
      </c>
      <c r="G69" s="1">
        <v>50</v>
      </c>
      <c r="H69" s="5">
        <v>10600</v>
      </c>
      <c r="I69" s="26">
        <f t="shared" si="12"/>
        <v>7313.9999999999991</v>
      </c>
      <c r="J69" s="26">
        <f t="shared" si="13"/>
        <v>7167.7199999999993</v>
      </c>
      <c r="K69" s="26">
        <f t="shared" si="14"/>
        <v>7096.0427999999993</v>
      </c>
      <c r="L69" s="26">
        <f t="shared" si="15"/>
        <v>6883.1615159999992</v>
      </c>
    </row>
    <row r="70" spans="1:12" ht="20.25" customHeight="1" x14ac:dyDescent="0.35">
      <c r="A70" s="6">
        <v>13</v>
      </c>
      <c r="B70" s="4" t="s">
        <v>133</v>
      </c>
      <c r="C70" s="18" t="s">
        <v>134</v>
      </c>
      <c r="D70" s="266"/>
      <c r="E70" s="266"/>
      <c r="F70" s="1">
        <v>65</v>
      </c>
      <c r="G70" s="1">
        <v>50</v>
      </c>
      <c r="H70" s="5">
        <v>10800</v>
      </c>
      <c r="I70" s="26">
        <f t="shared" si="12"/>
        <v>7451.9999999999991</v>
      </c>
      <c r="J70" s="26">
        <f t="shared" si="13"/>
        <v>7302.9599999999991</v>
      </c>
      <c r="K70" s="26">
        <f t="shared" si="14"/>
        <v>7229.9303999999993</v>
      </c>
      <c r="L70" s="26">
        <f t="shared" si="15"/>
        <v>7013.0324879999989</v>
      </c>
    </row>
    <row r="71" spans="1:12" ht="20.25" customHeight="1" x14ac:dyDescent="0.35">
      <c r="A71" s="6">
        <v>14</v>
      </c>
      <c r="B71" s="4" t="s">
        <v>135</v>
      </c>
      <c r="C71" s="19" t="s">
        <v>136</v>
      </c>
      <c r="D71" s="266"/>
      <c r="E71" s="266"/>
      <c r="F71" s="1">
        <v>75</v>
      </c>
      <c r="G71" s="1">
        <v>75</v>
      </c>
      <c r="H71" s="8">
        <v>11000</v>
      </c>
      <c r="I71" s="26">
        <f t="shared" si="12"/>
        <v>7589.9999999999991</v>
      </c>
      <c r="J71" s="26">
        <f t="shared" si="13"/>
        <v>7438.1999999999989</v>
      </c>
      <c r="K71" s="26">
        <f t="shared" si="14"/>
        <v>7363.8179999999993</v>
      </c>
      <c r="L71" s="26">
        <f t="shared" si="15"/>
        <v>7142.9034599999995</v>
      </c>
    </row>
    <row r="72" spans="1:12" ht="20.25" customHeight="1" x14ac:dyDescent="0.35">
      <c r="A72" s="4">
        <v>15</v>
      </c>
      <c r="B72" s="4" t="s">
        <v>137</v>
      </c>
      <c r="C72" s="18" t="s">
        <v>138</v>
      </c>
      <c r="D72" s="266"/>
      <c r="E72" s="266"/>
      <c r="F72" s="1">
        <v>75</v>
      </c>
      <c r="G72" s="1">
        <v>75</v>
      </c>
      <c r="H72" s="5">
        <v>11200</v>
      </c>
      <c r="I72" s="26">
        <f t="shared" si="12"/>
        <v>7727.9999999999991</v>
      </c>
      <c r="J72" s="26">
        <f t="shared" si="13"/>
        <v>7573.4399999999987</v>
      </c>
      <c r="K72" s="26">
        <f t="shared" si="14"/>
        <v>7497.7055999999984</v>
      </c>
      <c r="L72" s="26">
        <f t="shared" si="15"/>
        <v>7272.7744319999983</v>
      </c>
    </row>
    <row r="73" spans="1:12" ht="20.25" customHeight="1" x14ac:dyDescent="0.35">
      <c r="A73" s="6">
        <v>16</v>
      </c>
      <c r="B73" s="4" t="s">
        <v>139</v>
      </c>
      <c r="C73" s="18" t="s">
        <v>140</v>
      </c>
      <c r="D73" s="263"/>
      <c r="E73" s="263"/>
      <c r="F73" s="1">
        <v>75</v>
      </c>
      <c r="G73" s="1">
        <v>75</v>
      </c>
      <c r="H73" s="5">
        <v>11200</v>
      </c>
      <c r="I73" s="26">
        <f t="shared" si="12"/>
        <v>7727.9999999999991</v>
      </c>
      <c r="J73" s="26">
        <f t="shared" si="13"/>
        <v>7573.4399999999987</v>
      </c>
      <c r="K73" s="26">
        <f t="shared" si="14"/>
        <v>7497.7055999999984</v>
      </c>
      <c r="L73" s="26">
        <f t="shared" si="15"/>
        <v>7272.7744319999983</v>
      </c>
    </row>
    <row r="74" spans="1:12" ht="20.25" customHeight="1" x14ac:dyDescent="0.35">
      <c r="A74" s="6">
        <v>17</v>
      </c>
      <c r="B74" s="4" t="s">
        <v>141</v>
      </c>
      <c r="C74" s="19" t="s">
        <v>142</v>
      </c>
      <c r="D74" s="262">
        <v>2</v>
      </c>
      <c r="E74" s="262">
        <v>1.5</v>
      </c>
      <c r="F74" s="1">
        <v>50</v>
      </c>
      <c r="G74" s="1">
        <v>40</v>
      </c>
      <c r="H74" s="8">
        <v>15000</v>
      </c>
      <c r="I74" s="26">
        <f t="shared" si="12"/>
        <v>10350</v>
      </c>
      <c r="J74" s="26">
        <f t="shared" si="13"/>
        <v>10143</v>
      </c>
      <c r="K74" s="26">
        <f t="shared" si="14"/>
        <v>10041.57</v>
      </c>
      <c r="L74" s="26">
        <f t="shared" si="15"/>
        <v>9740.3228999999992</v>
      </c>
    </row>
    <row r="75" spans="1:12" ht="20.25" customHeight="1" x14ac:dyDescent="0.35">
      <c r="A75" s="4">
        <v>18</v>
      </c>
      <c r="B75" s="4" t="s">
        <v>143</v>
      </c>
      <c r="C75" s="18" t="s">
        <v>144</v>
      </c>
      <c r="D75" s="266"/>
      <c r="E75" s="266"/>
      <c r="F75" s="1">
        <v>50</v>
      </c>
      <c r="G75" s="1">
        <v>40</v>
      </c>
      <c r="H75" s="5">
        <v>15200</v>
      </c>
      <c r="I75" s="26">
        <f t="shared" si="12"/>
        <v>10488</v>
      </c>
      <c r="J75" s="26">
        <f t="shared" si="13"/>
        <v>10278.24</v>
      </c>
      <c r="K75" s="26">
        <f t="shared" si="14"/>
        <v>10175.4576</v>
      </c>
      <c r="L75" s="26">
        <f t="shared" si="15"/>
        <v>9870.1938719999998</v>
      </c>
    </row>
    <row r="76" spans="1:12" ht="20.25" customHeight="1" x14ac:dyDescent="0.35">
      <c r="A76" s="6">
        <v>19</v>
      </c>
      <c r="B76" s="6" t="s">
        <v>145</v>
      </c>
      <c r="C76" s="14" t="s">
        <v>146</v>
      </c>
      <c r="D76" s="266"/>
      <c r="E76" s="266"/>
      <c r="F76" s="1">
        <v>50</v>
      </c>
      <c r="G76" s="1">
        <v>50</v>
      </c>
      <c r="H76" s="8">
        <v>13000</v>
      </c>
      <c r="I76" s="26">
        <f t="shared" si="12"/>
        <v>8970</v>
      </c>
      <c r="J76" s="26">
        <f t="shared" si="13"/>
        <v>8790.6</v>
      </c>
      <c r="K76" s="26">
        <f t="shared" si="14"/>
        <v>8702.6939999999995</v>
      </c>
      <c r="L76" s="26">
        <f t="shared" si="15"/>
        <v>8441.6131799999985</v>
      </c>
    </row>
    <row r="77" spans="1:12" ht="20.25" customHeight="1" x14ac:dyDescent="0.35">
      <c r="A77" s="6">
        <v>20</v>
      </c>
      <c r="B77" s="4" t="s">
        <v>147</v>
      </c>
      <c r="C77" s="18" t="s">
        <v>148</v>
      </c>
      <c r="D77" s="266"/>
      <c r="E77" s="266"/>
      <c r="F77" s="1">
        <v>50</v>
      </c>
      <c r="G77" s="1">
        <v>50</v>
      </c>
      <c r="H77" s="5">
        <v>13200</v>
      </c>
      <c r="I77" s="26">
        <f t="shared" si="12"/>
        <v>9108</v>
      </c>
      <c r="J77" s="26">
        <f t="shared" si="13"/>
        <v>8925.84</v>
      </c>
      <c r="K77" s="26">
        <f t="shared" si="14"/>
        <v>8836.5815999999995</v>
      </c>
      <c r="L77" s="26">
        <f t="shared" si="15"/>
        <v>8571.4841519999991</v>
      </c>
    </row>
    <row r="78" spans="1:12" ht="20.25" customHeight="1" x14ac:dyDescent="0.35">
      <c r="A78" s="4">
        <v>21</v>
      </c>
      <c r="B78" s="6" t="s">
        <v>149</v>
      </c>
      <c r="C78" s="14" t="s">
        <v>150</v>
      </c>
      <c r="D78" s="266"/>
      <c r="E78" s="266"/>
      <c r="F78" s="1">
        <v>65</v>
      </c>
      <c r="G78" s="1">
        <v>50</v>
      </c>
      <c r="H78" s="8">
        <v>13300</v>
      </c>
      <c r="I78" s="26">
        <f t="shared" si="12"/>
        <v>9177</v>
      </c>
      <c r="J78" s="26">
        <f t="shared" si="13"/>
        <v>8993.4599999999991</v>
      </c>
      <c r="K78" s="26">
        <f t="shared" si="14"/>
        <v>8903.5253999999986</v>
      </c>
      <c r="L78" s="26">
        <f t="shared" si="15"/>
        <v>8636.4196379999976</v>
      </c>
    </row>
    <row r="79" spans="1:12" ht="20.25" customHeight="1" x14ac:dyDescent="0.35">
      <c r="A79" s="6">
        <v>22</v>
      </c>
      <c r="B79" s="6" t="s">
        <v>151</v>
      </c>
      <c r="C79" s="14" t="s">
        <v>152</v>
      </c>
      <c r="D79" s="266"/>
      <c r="E79" s="266"/>
      <c r="F79" s="1">
        <v>65</v>
      </c>
      <c r="G79" s="1">
        <v>50</v>
      </c>
      <c r="H79" s="5">
        <v>13500</v>
      </c>
      <c r="I79" s="26">
        <f t="shared" si="12"/>
        <v>9315</v>
      </c>
      <c r="J79" s="26">
        <f t="shared" si="13"/>
        <v>9128.7000000000007</v>
      </c>
      <c r="K79" s="26">
        <f t="shared" si="14"/>
        <v>9037.4130000000005</v>
      </c>
      <c r="L79" s="26">
        <f t="shared" si="15"/>
        <v>8766.29061</v>
      </c>
    </row>
    <row r="80" spans="1:12" ht="20.25" customHeight="1" x14ac:dyDescent="0.35">
      <c r="A80" s="6">
        <v>23</v>
      </c>
      <c r="B80" s="4" t="s">
        <v>153</v>
      </c>
      <c r="C80" s="18" t="s">
        <v>154</v>
      </c>
      <c r="D80" s="266"/>
      <c r="E80" s="266"/>
      <c r="F80" s="1">
        <v>65</v>
      </c>
      <c r="G80" s="1">
        <v>50</v>
      </c>
      <c r="H80" s="5">
        <v>13340</v>
      </c>
      <c r="I80" s="26">
        <f t="shared" si="12"/>
        <v>9204.5999999999985</v>
      </c>
      <c r="J80" s="26">
        <f t="shared" si="13"/>
        <v>9020.507999999998</v>
      </c>
      <c r="K80" s="26">
        <f t="shared" si="14"/>
        <v>8930.3029199999983</v>
      </c>
      <c r="L80" s="26">
        <f t="shared" si="15"/>
        <v>8662.3938323999973</v>
      </c>
    </row>
    <row r="81" spans="1:12" ht="20.25" customHeight="1" x14ac:dyDescent="0.35">
      <c r="A81" s="4">
        <v>24</v>
      </c>
      <c r="B81" s="6"/>
      <c r="C81" s="14" t="s">
        <v>155</v>
      </c>
      <c r="D81" s="266"/>
      <c r="E81" s="266"/>
      <c r="F81" s="1">
        <v>65</v>
      </c>
      <c r="G81" s="1">
        <v>50</v>
      </c>
      <c r="H81" s="8">
        <v>13300</v>
      </c>
      <c r="I81" s="26">
        <f t="shared" si="12"/>
        <v>9177</v>
      </c>
      <c r="J81" s="26">
        <f t="shared" si="13"/>
        <v>8993.4599999999991</v>
      </c>
      <c r="K81" s="26">
        <f t="shared" si="14"/>
        <v>8903.5253999999986</v>
      </c>
      <c r="L81" s="26">
        <f t="shared" si="15"/>
        <v>8636.4196379999976</v>
      </c>
    </row>
    <row r="82" spans="1:12" ht="20.25" customHeight="1" x14ac:dyDescent="0.35">
      <c r="A82" s="6">
        <v>25</v>
      </c>
      <c r="B82" s="4" t="s">
        <v>156</v>
      </c>
      <c r="C82" s="18" t="s">
        <v>157</v>
      </c>
      <c r="D82" s="266"/>
      <c r="E82" s="266"/>
      <c r="F82" s="1">
        <v>75</v>
      </c>
      <c r="G82" s="1">
        <v>75</v>
      </c>
      <c r="H82" s="5">
        <v>13600</v>
      </c>
      <c r="I82" s="26">
        <f t="shared" si="12"/>
        <v>9384</v>
      </c>
      <c r="J82" s="26">
        <f t="shared" si="13"/>
        <v>9196.32</v>
      </c>
      <c r="K82" s="26">
        <f t="shared" si="14"/>
        <v>9104.3567999999996</v>
      </c>
      <c r="L82" s="26">
        <f t="shared" si="15"/>
        <v>8831.2260959999985</v>
      </c>
    </row>
    <row r="83" spans="1:12" ht="20.25" customHeight="1" x14ac:dyDescent="0.35">
      <c r="A83" s="6">
        <v>26</v>
      </c>
      <c r="B83" s="6" t="s">
        <v>158</v>
      </c>
      <c r="C83" s="14" t="s">
        <v>159</v>
      </c>
      <c r="D83" s="266"/>
      <c r="E83" s="266"/>
      <c r="F83" s="1">
        <v>75</v>
      </c>
      <c r="G83" s="1">
        <v>75</v>
      </c>
      <c r="H83" s="8">
        <v>13450</v>
      </c>
      <c r="I83" s="26">
        <f t="shared" si="12"/>
        <v>9280.5</v>
      </c>
      <c r="J83" s="26">
        <f t="shared" si="13"/>
        <v>9094.89</v>
      </c>
      <c r="K83" s="26">
        <f t="shared" si="14"/>
        <v>9003.9411</v>
      </c>
      <c r="L83" s="26">
        <f t="shared" si="15"/>
        <v>8733.822866999999</v>
      </c>
    </row>
    <row r="84" spans="1:12" ht="20.25" customHeight="1" x14ac:dyDescent="0.35">
      <c r="A84" s="4">
        <v>27</v>
      </c>
      <c r="B84" s="6" t="s">
        <v>160</v>
      </c>
      <c r="C84" s="14" t="s">
        <v>161</v>
      </c>
      <c r="D84" s="266"/>
      <c r="E84" s="266"/>
      <c r="F84" s="1">
        <v>75</v>
      </c>
      <c r="G84" s="1">
        <v>75</v>
      </c>
      <c r="H84" s="5">
        <v>13800</v>
      </c>
      <c r="I84" s="26">
        <f t="shared" si="12"/>
        <v>9522</v>
      </c>
      <c r="J84" s="26">
        <f t="shared" si="13"/>
        <v>9331.56</v>
      </c>
      <c r="K84" s="26">
        <f t="shared" si="14"/>
        <v>9238.2443999999996</v>
      </c>
      <c r="L84" s="26">
        <f t="shared" si="15"/>
        <v>8961.0970679999991</v>
      </c>
    </row>
    <row r="85" spans="1:12" ht="20.25" customHeight="1" x14ac:dyDescent="0.35">
      <c r="A85" s="6">
        <v>28</v>
      </c>
      <c r="B85" s="6" t="s">
        <v>162</v>
      </c>
      <c r="C85" s="14" t="s">
        <v>163</v>
      </c>
      <c r="D85" s="266"/>
      <c r="E85" s="266"/>
      <c r="F85" s="1">
        <v>75</v>
      </c>
      <c r="G85" s="1">
        <v>75</v>
      </c>
      <c r="H85" s="5">
        <v>14000</v>
      </c>
      <c r="I85" s="26">
        <f t="shared" si="12"/>
        <v>9660</v>
      </c>
      <c r="J85" s="26">
        <f t="shared" si="13"/>
        <v>9466.7999999999993</v>
      </c>
      <c r="K85" s="26">
        <f t="shared" si="14"/>
        <v>9372.1319999999996</v>
      </c>
      <c r="L85" s="26">
        <f t="shared" si="15"/>
        <v>9090.9680399999997</v>
      </c>
    </row>
    <row r="86" spans="1:12" ht="20.25" customHeight="1" x14ac:dyDescent="0.35">
      <c r="A86" s="6">
        <v>29</v>
      </c>
      <c r="B86" s="6" t="s">
        <v>164</v>
      </c>
      <c r="C86" s="14" t="s">
        <v>165</v>
      </c>
      <c r="D86" s="266"/>
      <c r="E86" s="266"/>
      <c r="F86" s="1">
        <v>75</v>
      </c>
      <c r="G86" s="1">
        <v>75</v>
      </c>
      <c r="H86" s="5">
        <v>14500</v>
      </c>
      <c r="I86" s="26">
        <f t="shared" si="12"/>
        <v>10005</v>
      </c>
      <c r="J86" s="26">
        <f t="shared" si="13"/>
        <v>9804.9</v>
      </c>
      <c r="K86" s="26">
        <f t="shared" si="14"/>
        <v>9706.8509999999987</v>
      </c>
      <c r="L86" s="26">
        <f t="shared" si="15"/>
        <v>9415.6454699999977</v>
      </c>
    </row>
    <row r="87" spans="1:12" ht="20.25" customHeight="1" x14ac:dyDescent="0.35">
      <c r="A87" s="4">
        <v>30</v>
      </c>
      <c r="B87" s="4" t="s">
        <v>166</v>
      </c>
      <c r="C87" s="18" t="s">
        <v>167</v>
      </c>
      <c r="D87" s="266"/>
      <c r="E87" s="266"/>
      <c r="F87" s="1">
        <v>75</v>
      </c>
      <c r="G87" s="1">
        <v>75</v>
      </c>
      <c r="H87" s="5">
        <v>13550</v>
      </c>
      <c r="I87" s="26">
        <f t="shared" si="12"/>
        <v>9349.5</v>
      </c>
      <c r="J87" s="26">
        <f t="shared" si="13"/>
        <v>9162.51</v>
      </c>
      <c r="K87" s="26">
        <f t="shared" si="14"/>
        <v>9070.8849000000009</v>
      </c>
      <c r="L87" s="26">
        <f t="shared" si="15"/>
        <v>8798.7583530000011</v>
      </c>
    </row>
    <row r="88" spans="1:12" ht="20.25" customHeight="1" x14ac:dyDescent="0.35">
      <c r="A88" s="6">
        <v>31</v>
      </c>
      <c r="B88" s="6" t="s">
        <v>168</v>
      </c>
      <c r="C88" s="14" t="s">
        <v>169</v>
      </c>
      <c r="D88" s="266"/>
      <c r="E88" s="266"/>
      <c r="F88" s="1">
        <v>75</v>
      </c>
      <c r="G88" s="1">
        <v>65</v>
      </c>
      <c r="H88" s="8">
        <v>13450</v>
      </c>
      <c r="I88" s="26">
        <f t="shared" si="12"/>
        <v>9280.5</v>
      </c>
      <c r="J88" s="26">
        <f t="shared" si="13"/>
        <v>9094.89</v>
      </c>
      <c r="K88" s="26">
        <f t="shared" si="14"/>
        <v>9003.9411</v>
      </c>
      <c r="L88" s="26">
        <f t="shared" si="15"/>
        <v>8733.822866999999</v>
      </c>
    </row>
    <row r="89" spans="1:12" ht="20.25" customHeight="1" x14ac:dyDescent="0.35">
      <c r="A89" s="6">
        <v>32</v>
      </c>
      <c r="B89" s="6" t="s">
        <v>170</v>
      </c>
      <c r="C89" s="14" t="s">
        <v>171</v>
      </c>
      <c r="D89" s="266"/>
      <c r="E89" s="266"/>
      <c r="F89" s="1">
        <v>75</v>
      </c>
      <c r="G89" s="1">
        <v>65</v>
      </c>
      <c r="H89" s="5">
        <v>13740</v>
      </c>
      <c r="I89" s="26">
        <f t="shared" si="12"/>
        <v>9480.5999999999985</v>
      </c>
      <c r="J89" s="26">
        <f t="shared" si="13"/>
        <v>9290.9879999999976</v>
      </c>
      <c r="K89" s="26">
        <f t="shared" si="14"/>
        <v>9198.0781199999983</v>
      </c>
      <c r="L89" s="26">
        <f t="shared" si="15"/>
        <v>8922.1357763999986</v>
      </c>
    </row>
    <row r="90" spans="1:12" ht="20.25" customHeight="1" x14ac:dyDescent="0.35">
      <c r="A90" s="4">
        <v>33</v>
      </c>
      <c r="B90" s="4"/>
      <c r="C90" s="19" t="s">
        <v>172</v>
      </c>
      <c r="D90" s="266"/>
      <c r="E90" s="266"/>
      <c r="F90" s="1">
        <v>100</v>
      </c>
      <c r="G90" s="1">
        <v>100</v>
      </c>
      <c r="H90" s="8">
        <v>15000</v>
      </c>
      <c r="I90" s="26">
        <f t="shared" si="12"/>
        <v>10350</v>
      </c>
      <c r="J90" s="26">
        <f t="shared" si="13"/>
        <v>10143</v>
      </c>
      <c r="K90" s="26">
        <f t="shared" si="14"/>
        <v>10041.57</v>
      </c>
      <c r="L90" s="26">
        <f t="shared" si="15"/>
        <v>9740.3228999999992</v>
      </c>
    </row>
    <row r="91" spans="1:12" ht="20.25" customHeight="1" x14ac:dyDescent="0.35">
      <c r="A91" s="6">
        <v>34</v>
      </c>
      <c r="B91" s="4"/>
      <c r="C91" s="18" t="s">
        <v>173</v>
      </c>
      <c r="D91" s="263"/>
      <c r="E91" s="263"/>
      <c r="F91" s="1">
        <v>100</v>
      </c>
      <c r="G91" s="1">
        <v>100</v>
      </c>
      <c r="H91" s="5">
        <v>15200</v>
      </c>
      <c r="I91" s="26">
        <f t="shared" si="12"/>
        <v>10488</v>
      </c>
      <c r="J91" s="26">
        <f t="shared" si="13"/>
        <v>10278.24</v>
      </c>
      <c r="K91" s="26">
        <f t="shared" si="14"/>
        <v>10175.4576</v>
      </c>
      <c r="L91" s="26">
        <f t="shared" si="15"/>
        <v>9870.1938719999998</v>
      </c>
    </row>
    <row r="92" spans="1:12" ht="20.25" customHeight="1" x14ac:dyDescent="0.35">
      <c r="A92" s="6">
        <v>35</v>
      </c>
      <c r="B92" s="4"/>
      <c r="C92" s="19" t="s">
        <v>174</v>
      </c>
      <c r="D92" s="262">
        <v>3</v>
      </c>
      <c r="E92" s="262">
        <v>2.25</v>
      </c>
      <c r="F92" s="1">
        <v>50</v>
      </c>
      <c r="G92" s="1">
        <v>40</v>
      </c>
      <c r="H92" s="8">
        <v>18000</v>
      </c>
      <c r="I92" s="26">
        <f t="shared" si="12"/>
        <v>12419.999999999998</v>
      </c>
      <c r="J92" s="26">
        <f t="shared" si="13"/>
        <v>12171.599999999999</v>
      </c>
      <c r="K92" s="26">
        <f t="shared" si="14"/>
        <v>12049.883999999998</v>
      </c>
      <c r="L92" s="26">
        <f t="shared" si="15"/>
        <v>11688.387479999998</v>
      </c>
    </row>
    <row r="93" spans="1:12" ht="20.25" customHeight="1" x14ac:dyDescent="0.35">
      <c r="A93" s="4">
        <v>36</v>
      </c>
      <c r="B93" s="4" t="s">
        <v>175</v>
      </c>
      <c r="C93" s="18" t="s">
        <v>176</v>
      </c>
      <c r="D93" s="266"/>
      <c r="E93" s="266"/>
      <c r="F93" s="1">
        <v>50</v>
      </c>
      <c r="G93" s="1">
        <v>40</v>
      </c>
      <c r="H93" s="5">
        <v>18560</v>
      </c>
      <c r="I93" s="26">
        <f t="shared" si="12"/>
        <v>12806.4</v>
      </c>
      <c r="J93" s="26">
        <f t="shared" si="13"/>
        <v>12550.271999999999</v>
      </c>
      <c r="K93" s="26">
        <f t="shared" si="14"/>
        <v>12424.769279999999</v>
      </c>
      <c r="L93" s="26">
        <f t="shared" si="15"/>
        <v>12052.026201599998</v>
      </c>
    </row>
    <row r="94" spans="1:12" ht="20.25" customHeight="1" x14ac:dyDescent="0.35">
      <c r="A94" s="6">
        <v>37</v>
      </c>
      <c r="B94" s="4" t="s">
        <v>177</v>
      </c>
      <c r="C94" s="19" t="s">
        <v>178</v>
      </c>
      <c r="D94" s="266"/>
      <c r="E94" s="266"/>
      <c r="F94" s="1">
        <v>50</v>
      </c>
      <c r="G94" s="1">
        <v>50</v>
      </c>
      <c r="H94" s="8">
        <v>18250</v>
      </c>
      <c r="I94" s="26">
        <f t="shared" si="12"/>
        <v>12592.499999999998</v>
      </c>
      <c r="J94" s="26">
        <f t="shared" si="13"/>
        <v>12340.649999999998</v>
      </c>
      <c r="K94" s="26">
        <f t="shared" si="14"/>
        <v>12217.243499999997</v>
      </c>
      <c r="L94" s="26">
        <f t="shared" si="15"/>
        <v>11850.726194999997</v>
      </c>
    </row>
    <row r="95" spans="1:12" ht="20.25" customHeight="1" x14ac:dyDescent="0.35">
      <c r="A95" s="6">
        <v>38</v>
      </c>
      <c r="B95" s="4" t="s">
        <v>179</v>
      </c>
      <c r="C95" s="18" t="s">
        <v>180</v>
      </c>
      <c r="D95" s="266"/>
      <c r="E95" s="266"/>
      <c r="F95" s="1">
        <v>50</v>
      </c>
      <c r="G95" s="1">
        <v>50</v>
      </c>
      <c r="H95" s="5">
        <v>18670</v>
      </c>
      <c r="I95" s="26">
        <f t="shared" si="12"/>
        <v>12882.3</v>
      </c>
      <c r="J95" s="26">
        <f t="shared" si="13"/>
        <v>12624.653999999999</v>
      </c>
      <c r="K95" s="26">
        <f t="shared" si="14"/>
        <v>12498.407459999999</v>
      </c>
      <c r="L95" s="26">
        <f t="shared" si="15"/>
        <v>12123.455236199998</v>
      </c>
    </row>
    <row r="96" spans="1:12" ht="20.25" customHeight="1" x14ac:dyDescent="0.35">
      <c r="A96" s="4">
        <v>39</v>
      </c>
      <c r="B96" s="6" t="s">
        <v>181</v>
      </c>
      <c r="C96" s="14" t="s">
        <v>182</v>
      </c>
      <c r="D96" s="266"/>
      <c r="E96" s="266"/>
      <c r="F96" s="1">
        <v>65</v>
      </c>
      <c r="G96" s="1">
        <v>50</v>
      </c>
      <c r="H96" s="8">
        <v>18100</v>
      </c>
      <c r="I96" s="26">
        <f t="shared" si="12"/>
        <v>12488.999999999998</v>
      </c>
      <c r="J96" s="26">
        <f t="shared" si="13"/>
        <v>12239.219999999998</v>
      </c>
      <c r="K96" s="26">
        <f t="shared" si="14"/>
        <v>12116.827799999997</v>
      </c>
      <c r="L96" s="26">
        <f t="shared" si="15"/>
        <v>11753.322965999998</v>
      </c>
    </row>
    <row r="97" spans="1:12" ht="20.25" customHeight="1" x14ac:dyDescent="0.35">
      <c r="A97" s="6">
        <v>40</v>
      </c>
      <c r="B97" s="6" t="s">
        <v>183</v>
      </c>
      <c r="C97" s="14" t="s">
        <v>184</v>
      </c>
      <c r="D97" s="266"/>
      <c r="E97" s="266"/>
      <c r="F97" s="1">
        <v>65</v>
      </c>
      <c r="G97" s="1">
        <v>50</v>
      </c>
      <c r="H97" s="5">
        <v>18770</v>
      </c>
      <c r="I97" s="26">
        <f t="shared" si="12"/>
        <v>12951.3</v>
      </c>
      <c r="J97" s="26">
        <f t="shared" si="13"/>
        <v>12692.273999999999</v>
      </c>
      <c r="K97" s="26">
        <f t="shared" si="14"/>
        <v>12565.351259999999</v>
      </c>
      <c r="L97" s="26">
        <f t="shared" si="15"/>
        <v>12188.3907222</v>
      </c>
    </row>
    <row r="98" spans="1:12" ht="20.25" customHeight="1" x14ac:dyDescent="0.35">
      <c r="A98" s="6">
        <v>41</v>
      </c>
      <c r="B98" s="6" t="s">
        <v>185</v>
      </c>
      <c r="C98" s="14" t="s">
        <v>186</v>
      </c>
      <c r="D98" s="266"/>
      <c r="E98" s="266"/>
      <c r="F98" s="1">
        <v>75</v>
      </c>
      <c r="G98" s="1">
        <v>75</v>
      </c>
      <c r="H98" s="8">
        <v>18020</v>
      </c>
      <c r="I98" s="26">
        <f t="shared" si="12"/>
        <v>12433.8</v>
      </c>
      <c r="J98" s="26">
        <f t="shared" si="13"/>
        <v>12185.124</v>
      </c>
      <c r="K98" s="26">
        <f t="shared" si="14"/>
        <v>12063.27276</v>
      </c>
      <c r="L98" s="26">
        <f t="shared" si="15"/>
        <v>11701.3745772</v>
      </c>
    </row>
    <row r="99" spans="1:12" ht="20.25" customHeight="1" x14ac:dyDescent="0.35">
      <c r="A99" s="4">
        <v>42</v>
      </c>
      <c r="B99" s="6" t="s">
        <v>187</v>
      </c>
      <c r="C99" s="14" t="s">
        <v>188</v>
      </c>
      <c r="D99" s="266"/>
      <c r="E99" s="266"/>
      <c r="F99" s="1">
        <v>75</v>
      </c>
      <c r="G99" s="1">
        <v>75</v>
      </c>
      <c r="H99" s="5">
        <v>18680</v>
      </c>
      <c r="I99" s="26">
        <f t="shared" si="12"/>
        <v>12889.199999999999</v>
      </c>
      <c r="J99" s="26">
        <f t="shared" si="13"/>
        <v>12631.415999999999</v>
      </c>
      <c r="K99" s="26">
        <f t="shared" si="14"/>
        <v>12505.101839999999</v>
      </c>
      <c r="L99" s="26">
        <f t="shared" si="15"/>
        <v>12129.948784799999</v>
      </c>
    </row>
    <row r="100" spans="1:12" ht="20.25" customHeight="1" x14ac:dyDescent="0.35">
      <c r="A100" s="6">
        <v>43</v>
      </c>
      <c r="B100" s="6" t="s">
        <v>189</v>
      </c>
      <c r="C100" s="14" t="s">
        <v>190</v>
      </c>
      <c r="D100" s="266"/>
      <c r="E100" s="266"/>
      <c r="F100" s="1">
        <v>100</v>
      </c>
      <c r="G100" s="1">
        <v>100</v>
      </c>
      <c r="H100" s="8">
        <v>19100</v>
      </c>
      <c r="I100" s="26">
        <f t="shared" si="12"/>
        <v>13178.999999999998</v>
      </c>
      <c r="J100" s="26">
        <f t="shared" si="13"/>
        <v>12915.419999999998</v>
      </c>
      <c r="K100" s="26">
        <f t="shared" si="14"/>
        <v>12786.265799999997</v>
      </c>
      <c r="L100" s="26">
        <f t="shared" si="15"/>
        <v>12402.677825999997</v>
      </c>
    </row>
    <row r="101" spans="1:12" ht="20.25" customHeight="1" x14ac:dyDescent="0.35">
      <c r="A101" s="6">
        <v>44</v>
      </c>
      <c r="B101" s="6" t="s">
        <v>191</v>
      </c>
      <c r="C101" s="14" t="s">
        <v>192</v>
      </c>
      <c r="D101" s="266"/>
      <c r="E101" s="266"/>
      <c r="F101" s="1">
        <v>100</v>
      </c>
      <c r="G101" s="1">
        <v>100</v>
      </c>
      <c r="H101" s="5">
        <v>19500</v>
      </c>
      <c r="I101" s="26">
        <f t="shared" si="12"/>
        <v>13454.999999999998</v>
      </c>
      <c r="J101" s="26">
        <f t="shared" si="13"/>
        <v>13185.899999999998</v>
      </c>
      <c r="K101" s="26">
        <f t="shared" si="14"/>
        <v>13054.040999999997</v>
      </c>
      <c r="L101" s="26">
        <f t="shared" si="15"/>
        <v>12662.419769999997</v>
      </c>
    </row>
    <row r="102" spans="1:12" ht="20.25" customHeight="1" x14ac:dyDescent="0.35">
      <c r="A102" s="4">
        <v>45</v>
      </c>
      <c r="B102" s="6" t="s">
        <v>193</v>
      </c>
      <c r="C102" s="14" t="s">
        <v>194</v>
      </c>
      <c r="D102" s="266"/>
      <c r="E102" s="266"/>
      <c r="F102" s="1">
        <v>100</v>
      </c>
      <c r="G102" s="1">
        <v>100</v>
      </c>
      <c r="H102" s="5">
        <v>14800</v>
      </c>
      <c r="I102" s="26">
        <f t="shared" si="12"/>
        <v>10212</v>
      </c>
      <c r="J102" s="26">
        <f t="shared" si="13"/>
        <v>10007.76</v>
      </c>
      <c r="K102" s="26">
        <f t="shared" si="14"/>
        <v>9907.6823999999997</v>
      </c>
      <c r="L102" s="26">
        <f t="shared" si="15"/>
        <v>9610.4519279999986</v>
      </c>
    </row>
    <row r="103" spans="1:12" ht="20.25" customHeight="1" x14ac:dyDescent="0.35">
      <c r="A103" s="6">
        <v>46</v>
      </c>
      <c r="B103" s="4" t="s">
        <v>195</v>
      </c>
      <c r="C103" s="18" t="s">
        <v>196</v>
      </c>
      <c r="D103" s="263"/>
      <c r="E103" s="263"/>
      <c r="F103" s="1">
        <v>100</v>
      </c>
      <c r="G103" s="1">
        <v>100</v>
      </c>
      <c r="H103" s="5">
        <v>15000</v>
      </c>
      <c r="I103" s="26">
        <f t="shared" si="12"/>
        <v>10350</v>
      </c>
      <c r="J103" s="26">
        <f t="shared" si="13"/>
        <v>10143</v>
      </c>
      <c r="K103" s="26">
        <f t="shared" si="14"/>
        <v>10041.57</v>
      </c>
      <c r="L103" s="26">
        <f t="shared" si="15"/>
        <v>9740.3228999999992</v>
      </c>
    </row>
    <row r="104" spans="1:12" ht="20.25" customHeight="1" x14ac:dyDescent="0.35">
      <c r="A104" s="6">
        <v>47</v>
      </c>
      <c r="B104" s="6" t="s">
        <v>197</v>
      </c>
      <c r="C104" s="14" t="s">
        <v>198</v>
      </c>
      <c r="D104" s="262">
        <v>5</v>
      </c>
      <c r="E104" s="262">
        <v>3.75</v>
      </c>
      <c r="F104" s="1">
        <v>80</v>
      </c>
      <c r="G104" s="1">
        <v>65</v>
      </c>
      <c r="H104" s="5">
        <v>24600</v>
      </c>
      <c r="I104" s="26">
        <f t="shared" si="12"/>
        <v>16974</v>
      </c>
      <c r="J104" s="26">
        <f t="shared" si="13"/>
        <v>16634.52</v>
      </c>
      <c r="K104" s="26">
        <f t="shared" si="14"/>
        <v>16468.174800000001</v>
      </c>
      <c r="L104" s="26">
        <f t="shared" si="15"/>
        <v>15974.129556</v>
      </c>
    </row>
    <row r="105" spans="1:12" ht="20.25" customHeight="1" x14ac:dyDescent="0.35">
      <c r="A105" s="4">
        <v>48</v>
      </c>
      <c r="B105" s="4"/>
      <c r="C105" s="20" t="s">
        <v>199</v>
      </c>
      <c r="D105" s="266"/>
      <c r="E105" s="266"/>
      <c r="F105" s="1">
        <v>80</v>
      </c>
      <c r="G105" s="1">
        <v>65</v>
      </c>
      <c r="H105" s="5">
        <v>26000</v>
      </c>
      <c r="I105" s="26">
        <f t="shared" si="12"/>
        <v>17940</v>
      </c>
      <c r="J105" s="26">
        <f t="shared" si="13"/>
        <v>17581.2</v>
      </c>
      <c r="K105" s="26">
        <f t="shared" si="14"/>
        <v>17405.387999999999</v>
      </c>
      <c r="L105" s="26">
        <f t="shared" si="15"/>
        <v>16883.226359999997</v>
      </c>
    </row>
    <row r="106" spans="1:12" ht="20.25" customHeight="1" x14ac:dyDescent="0.35">
      <c r="A106" s="6">
        <v>49</v>
      </c>
      <c r="B106" s="6" t="s">
        <v>200</v>
      </c>
      <c r="C106" s="20" t="s">
        <v>201</v>
      </c>
      <c r="D106" s="263"/>
      <c r="E106" s="263"/>
      <c r="F106" s="1">
        <v>80</v>
      </c>
      <c r="G106" s="1">
        <v>65</v>
      </c>
      <c r="H106" s="5">
        <v>23600</v>
      </c>
      <c r="I106" s="26">
        <f t="shared" si="12"/>
        <v>16283.999999999998</v>
      </c>
      <c r="J106" s="26">
        <f t="shared" si="13"/>
        <v>15958.319999999998</v>
      </c>
      <c r="K106" s="26">
        <f t="shared" si="14"/>
        <v>15798.736799999997</v>
      </c>
      <c r="L106" s="26">
        <f t="shared" si="15"/>
        <v>15324.774695999997</v>
      </c>
    </row>
    <row r="107" spans="1:12" ht="20.25" customHeight="1" x14ac:dyDescent="0.35">
      <c r="A107" s="6">
        <v>50</v>
      </c>
      <c r="B107" s="4" t="s">
        <v>202</v>
      </c>
      <c r="C107" s="18" t="s">
        <v>203</v>
      </c>
      <c r="D107" s="7">
        <v>0.75</v>
      </c>
      <c r="E107" s="7">
        <v>0.56000000000000005</v>
      </c>
      <c r="F107" s="2">
        <v>25</v>
      </c>
      <c r="G107" s="2">
        <v>25</v>
      </c>
      <c r="H107" s="5">
        <v>5170</v>
      </c>
      <c r="I107" s="26">
        <f t="shared" si="12"/>
        <v>3567.2999999999997</v>
      </c>
      <c r="J107" s="26">
        <f t="shared" si="13"/>
        <v>3495.9539999999997</v>
      </c>
      <c r="K107" s="26">
        <f t="shared" si="14"/>
        <v>3460.9944599999999</v>
      </c>
      <c r="L107" s="26">
        <f t="shared" si="15"/>
        <v>3357.1646261999999</v>
      </c>
    </row>
    <row r="108" spans="1:12" ht="20.25" customHeight="1" x14ac:dyDescent="0.35">
      <c r="A108" s="4">
        <v>51</v>
      </c>
      <c r="B108" s="4" t="s">
        <v>204</v>
      </c>
      <c r="C108" s="18" t="s">
        <v>205</v>
      </c>
      <c r="D108" s="262">
        <v>1</v>
      </c>
      <c r="E108" s="262">
        <v>0.75</v>
      </c>
      <c r="F108" s="1">
        <v>40</v>
      </c>
      <c r="G108" s="1">
        <v>40</v>
      </c>
      <c r="H108" s="5">
        <v>9000</v>
      </c>
      <c r="I108" s="26">
        <f t="shared" si="12"/>
        <v>6209.9999999999991</v>
      </c>
      <c r="J108" s="26">
        <f t="shared" si="13"/>
        <v>6085.7999999999993</v>
      </c>
      <c r="K108" s="26">
        <f t="shared" si="14"/>
        <v>6024.9419999999991</v>
      </c>
      <c r="L108" s="26">
        <f t="shared" si="15"/>
        <v>5844.1937399999988</v>
      </c>
    </row>
    <row r="109" spans="1:12" ht="20.25" customHeight="1" x14ac:dyDescent="0.35">
      <c r="A109" s="6">
        <v>52</v>
      </c>
      <c r="B109" s="4"/>
      <c r="C109" s="18" t="s">
        <v>206</v>
      </c>
      <c r="D109" s="263"/>
      <c r="E109" s="263"/>
      <c r="F109" s="1">
        <v>40</v>
      </c>
      <c r="G109" s="1">
        <v>40</v>
      </c>
      <c r="H109" s="5">
        <v>9000</v>
      </c>
      <c r="I109" s="26">
        <f t="shared" si="12"/>
        <v>6209.9999999999991</v>
      </c>
      <c r="J109" s="26">
        <f t="shared" si="13"/>
        <v>6085.7999999999993</v>
      </c>
      <c r="K109" s="26">
        <f t="shared" si="14"/>
        <v>6024.9419999999991</v>
      </c>
      <c r="L109" s="26">
        <f t="shared" si="15"/>
        <v>5844.1937399999988</v>
      </c>
    </row>
    <row r="110" spans="1:12" ht="20.25" customHeight="1" x14ac:dyDescent="0.35">
      <c r="A110" s="6">
        <v>53</v>
      </c>
      <c r="B110" s="4"/>
      <c r="C110" s="20" t="s">
        <v>207</v>
      </c>
      <c r="D110" s="262">
        <v>2</v>
      </c>
      <c r="E110" s="262">
        <v>1.5</v>
      </c>
      <c r="F110" s="1">
        <v>75</v>
      </c>
      <c r="G110" s="1">
        <v>75</v>
      </c>
      <c r="H110" s="5">
        <v>12500</v>
      </c>
      <c r="I110" s="26">
        <f t="shared" si="12"/>
        <v>8625</v>
      </c>
      <c r="J110" s="26">
        <f t="shared" si="13"/>
        <v>8452.5</v>
      </c>
      <c r="K110" s="26">
        <f t="shared" si="14"/>
        <v>8367.9750000000004</v>
      </c>
      <c r="L110" s="26">
        <f t="shared" si="15"/>
        <v>8116.9357500000006</v>
      </c>
    </row>
    <row r="111" spans="1:12" ht="20.25" customHeight="1" x14ac:dyDescent="0.35">
      <c r="A111" s="4">
        <v>54</v>
      </c>
      <c r="B111" s="4" t="s">
        <v>208</v>
      </c>
      <c r="C111" s="20" t="s">
        <v>209</v>
      </c>
      <c r="D111" s="266"/>
      <c r="E111" s="266"/>
      <c r="F111" s="1">
        <v>75</v>
      </c>
      <c r="G111" s="1">
        <v>75</v>
      </c>
      <c r="H111" s="5">
        <v>12500</v>
      </c>
      <c r="I111" s="26">
        <f t="shared" si="12"/>
        <v>8625</v>
      </c>
      <c r="J111" s="26">
        <f t="shared" si="13"/>
        <v>8452.5</v>
      </c>
      <c r="K111" s="26">
        <f t="shared" si="14"/>
        <v>8367.9750000000004</v>
      </c>
      <c r="L111" s="26">
        <f t="shared" si="15"/>
        <v>8116.9357500000006</v>
      </c>
    </row>
    <row r="112" spans="1:12" ht="20.25" customHeight="1" x14ac:dyDescent="0.35">
      <c r="A112" s="6">
        <v>55</v>
      </c>
      <c r="B112" s="4" t="s">
        <v>210</v>
      </c>
      <c r="C112" s="20" t="s">
        <v>211</v>
      </c>
      <c r="D112" s="266"/>
      <c r="E112" s="266"/>
      <c r="F112" s="1">
        <v>65</v>
      </c>
      <c r="G112" s="1">
        <v>50</v>
      </c>
      <c r="H112" s="5">
        <v>12200</v>
      </c>
      <c r="I112" s="26">
        <f t="shared" si="12"/>
        <v>8418</v>
      </c>
      <c r="J112" s="26">
        <f t="shared" si="13"/>
        <v>8249.64</v>
      </c>
      <c r="K112" s="26">
        <f t="shared" si="14"/>
        <v>8167.1435999999994</v>
      </c>
      <c r="L112" s="26">
        <f t="shared" si="15"/>
        <v>7922.1292919999996</v>
      </c>
    </row>
    <row r="113" spans="1:12" ht="20.25" customHeight="1" x14ac:dyDescent="0.35">
      <c r="A113" s="6">
        <v>56</v>
      </c>
      <c r="B113" s="4" t="s">
        <v>212</v>
      </c>
      <c r="C113" s="20" t="s">
        <v>213</v>
      </c>
      <c r="D113" s="263"/>
      <c r="E113" s="263"/>
      <c r="F113" s="1">
        <v>50</v>
      </c>
      <c r="G113" s="1">
        <v>50</v>
      </c>
      <c r="H113" s="5">
        <v>12200</v>
      </c>
      <c r="I113" s="26">
        <f t="shared" si="12"/>
        <v>8418</v>
      </c>
      <c r="J113" s="26">
        <f t="shared" si="13"/>
        <v>8249.64</v>
      </c>
      <c r="K113" s="26">
        <f t="shared" si="14"/>
        <v>8167.1435999999994</v>
      </c>
      <c r="L113" s="26">
        <f t="shared" si="15"/>
        <v>7922.1292919999996</v>
      </c>
    </row>
    <row r="114" spans="1:12" ht="20.25" customHeight="1" x14ac:dyDescent="0.35">
      <c r="A114" s="300" t="s">
        <v>214</v>
      </c>
      <c r="B114" s="300"/>
      <c r="C114" s="300"/>
      <c r="D114" s="300"/>
      <c r="E114" s="300"/>
      <c r="F114" s="300"/>
      <c r="G114" s="300"/>
      <c r="H114" s="345" t="s">
        <v>109</v>
      </c>
      <c r="I114" s="315" t="s">
        <v>334</v>
      </c>
      <c r="J114" s="315"/>
      <c r="K114" s="315"/>
      <c r="L114" s="315"/>
    </row>
    <row r="115" spans="1:12" ht="20.25" customHeight="1" x14ac:dyDescent="0.35">
      <c r="A115" s="207" t="s">
        <v>2</v>
      </c>
      <c r="B115" s="287" t="s">
        <v>3</v>
      </c>
      <c r="C115" s="298" t="s">
        <v>4</v>
      </c>
      <c r="D115" s="287" t="s">
        <v>5</v>
      </c>
      <c r="E115" s="287"/>
      <c r="F115" s="287" t="s">
        <v>6</v>
      </c>
      <c r="G115" s="287"/>
      <c r="H115" s="346"/>
      <c r="I115" s="323">
        <v>0.3</v>
      </c>
      <c r="J115" s="323">
        <v>0.04</v>
      </c>
      <c r="K115" s="323">
        <v>0.01</v>
      </c>
      <c r="L115" s="323">
        <v>0.03</v>
      </c>
    </row>
    <row r="116" spans="1:12" ht="20.25" customHeight="1" x14ac:dyDescent="0.35">
      <c r="A116" s="208"/>
      <c r="B116" s="287"/>
      <c r="C116" s="298"/>
      <c r="D116" s="11" t="s">
        <v>9</v>
      </c>
      <c r="E116" s="11" t="s">
        <v>10</v>
      </c>
      <c r="F116" s="11" t="s">
        <v>11</v>
      </c>
      <c r="G116" s="11" t="s">
        <v>12</v>
      </c>
      <c r="H116" s="347"/>
      <c r="I116" s="324"/>
      <c r="J116" s="324"/>
      <c r="K116" s="324"/>
      <c r="L116" s="324"/>
    </row>
    <row r="117" spans="1:12" ht="20.25" customHeight="1" x14ac:dyDescent="0.35">
      <c r="A117" s="4">
        <v>1</v>
      </c>
      <c r="B117" s="4" t="s">
        <v>215</v>
      </c>
      <c r="C117" s="12" t="s">
        <v>216</v>
      </c>
      <c r="D117" s="2">
        <v>0.5</v>
      </c>
      <c r="E117" s="2">
        <v>0.37</v>
      </c>
      <c r="F117" s="2">
        <v>25</v>
      </c>
      <c r="G117" s="2">
        <v>25</v>
      </c>
      <c r="H117" s="13">
        <v>5370</v>
      </c>
      <c r="I117" s="295">
        <f>H117*0.63</f>
        <v>3383.1</v>
      </c>
      <c r="J117" s="325"/>
      <c r="K117" s="325"/>
      <c r="L117" s="296"/>
    </row>
    <row r="118" spans="1:12" ht="20.25" customHeight="1" x14ac:dyDescent="0.35">
      <c r="A118" s="4">
        <v>2</v>
      </c>
      <c r="B118" s="4" t="s">
        <v>217</v>
      </c>
      <c r="C118" s="12" t="s">
        <v>218</v>
      </c>
      <c r="D118" s="2">
        <v>1</v>
      </c>
      <c r="E118" s="2">
        <v>0.75</v>
      </c>
      <c r="F118" s="2">
        <v>25</v>
      </c>
      <c r="G118" s="2">
        <v>25</v>
      </c>
      <c r="H118" s="13">
        <v>7070</v>
      </c>
      <c r="I118" s="336">
        <v>4793</v>
      </c>
      <c r="J118" s="337"/>
      <c r="K118" s="337"/>
      <c r="L118" s="344"/>
    </row>
    <row r="119" spans="1:12" ht="20.25" customHeight="1" x14ac:dyDescent="0.35">
      <c r="A119" s="4">
        <v>3</v>
      </c>
      <c r="B119" s="21" t="s">
        <v>219</v>
      </c>
      <c r="C119" s="22" t="s">
        <v>220</v>
      </c>
      <c r="D119" s="23">
        <v>2</v>
      </c>
      <c r="E119" s="4">
        <v>1.5</v>
      </c>
      <c r="F119" s="4">
        <v>50</v>
      </c>
      <c r="G119" s="4">
        <v>50</v>
      </c>
      <c r="H119" s="4">
        <v>12200</v>
      </c>
      <c r="I119" s="26">
        <f t="shared" ref="I119:I128" si="16">H119*0.69</f>
        <v>8418</v>
      </c>
      <c r="J119" s="26">
        <f t="shared" ref="J119:J128" si="17">I119*0.98</f>
        <v>8249.64</v>
      </c>
      <c r="K119" s="26">
        <f t="shared" ref="K119:K128" si="18">J119*0.99</f>
        <v>8167.1435999999994</v>
      </c>
      <c r="L119" s="26">
        <f t="shared" ref="L119:L128" si="19">K119*0.97</f>
        <v>7922.1292919999996</v>
      </c>
    </row>
    <row r="120" spans="1:12" ht="20.25" customHeight="1" x14ac:dyDescent="0.35">
      <c r="A120" s="4">
        <v>4</v>
      </c>
      <c r="B120" s="21" t="s">
        <v>221</v>
      </c>
      <c r="C120" s="22" t="s">
        <v>222</v>
      </c>
      <c r="D120" s="23">
        <v>2</v>
      </c>
      <c r="E120" s="4">
        <v>1.5</v>
      </c>
      <c r="F120" s="4">
        <v>50</v>
      </c>
      <c r="G120" s="4">
        <v>50</v>
      </c>
      <c r="H120" s="4">
        <v>12200</v>
      </c>
      <c r="I120" s="26">
        <f t="shared" si="16"/>
        <v>8418</v>
      </c>
      <c r="J120" s="26">
        <f t="shared" si="17"/>
        <v>8249.64</v>
      </c>
      <c r="K120" s="26">
        <f t="shared" si="18"/>
        <v>8167.1435999999994</v>
      </c>
      <c r="L120" s="26">
        <f t="shared" si="19"/>
        <v>7922.1292919999996</v>
      </c>
    </row>
    <row r="121" spans="1:12" ht="20.25" customHeight="1" x14ac:dyDescent="0.35">
      <c r="A121" s="4">
        <v>5</v>
      </c>
      <c r="B121" s="21" t="s">
        <v>223</v>
      </c>
      <c r="C121" s="22" t="s">
        <v>224</v>
      </c>
      <c r="D121" s="23">
        <v>2</v>
      </c>
      <c r="E121" s="4">
        <v>1.5</v>
      </c>
      <c r="F121" s="4">
        <v>65</v>
      </c>
      <c r="G121" s="4">
        <v>50</v>
      </c>
      <c r="H121" s="4">
        <v>12300</v>
      </c>
      <c r="I121" s="26">
        <f t="shared" si="16"/>
        <v>8487</v>
      </c>
      <c r="J121" s="26">
        <f t="shared" si="17"/>
        <v>8317.26</v>
      </c>
      <c r="K121" s="26">
        <f t="shared" si="18"/>
        <v>8234.0874000000003</v>
      </c>
      <c r="L121" s="26">
        <f t="shared" si="19"/>
        <v>7987.0647779999999</v>
      </c>
    </row>
    <row r="122" spans="1:12" ht="20.25" customHeight="1" x14ac:dyDescent="0.35">
      <c r="A122" s="4">
        <v>6</v>
      </c>
      <c r="B122" s="21" t="s">
        <v>225</v>
      </c>
      <c r="C122" s="22" t="s">
        <v>226</v>
      </c>
      <c r="D122" s="23">
        <v>2</v>
      </c>
      <c r="E122" s="4">
        <v>1.5</v>
      </c>
      <c r="F122" s="4">
        <v>65</v>
      </c>
      <c r="G122" s="4">
        <v>50</v>
      </c>
      <c r="H122" s="4">
        <v>12300</v>
      </c>
      <c r="I122" s="26">
        <f t="shared" si="16"/>
        <v>8487</v>
      </c>
      <c r="J122" s="26">
        <f t="shared" si="17"/>
        <v>8317.26</v>
      </c>
      <c r="K122" s="26">
        <f t="shared" si="18"/>
        <v>8234.0874000000003</v>
      </c>
      <c r="L122" s="26">
        <f t="shared" si="19"/>
        <v>7987.0647779999999</v>
      </c>
    </row>
    <row r="123" spans="1:12" ht="20.25" customHeight="1" x14ac:dyDescent="0.35">
      <c r="A123" s="4">
        <v>7</v>
      </c>
      <c r="B123" s="21" t="s">
        <v>227</v>
      </c>
      <c r="C123" s="22" t="s">
        <v>228</v>
      </c>
      <c r="D123" s="21">
        <v>3</v>
      </c>
      <c r="E123" s="4">
        <v>2.25</v>
      </c>
      <c r="F123" s="4">
        <v>65</v>
      </c>
      <c r="G123" s="4">
        <v>50</v>
      </c>
      <c r="H123" s="4">
        <v>12900</v>
      </c>
      <c r="I123" s="26">
        <f t="shared" si="16"/>
        <v>8901</v>
      </c>
      <c r="J123" s="26">
        <f t="shared" si="17"/>
        <v>8722.98</v>
      </c>
      <c r="K123" s="26">
        <f t="shared" si="18"/>
        <v>8635.7501999999986</v>
      </c>
      <c r="L123" s="26">
        <f t="shared" si="19"/>
        <v>8376.6776939999982</v>
      </c>
    </row>
    <row r="124" spans="1:12" ht="20.25" customHeight="1" x14ac:dyDescent="0.35">
      <c r="A124" s="4">
        <v>8</v>
      </c>
      <c r="B124" s="21" t="s">
        <v>229</v>
      </c>
      <c r="C124" s="24" t="s">
        <v>230</v>
      </c>
      <c r="D124" s="21">
        <v>3</v>
      </c>
      <c r="E124" s="4">
        <v>2.25</v>
      </c>
      <c r="F124" s="4">
        <v>65</v>
      </c>
      <c r="G124" s="4">
        <v>50</v>
      </c>
      <c r="H124" s="4">
        <v>13000</v>
      </c>
      <c r="I124" s="26">
        <f t="shared" si="16"/>
        <v>8970</v>
      </c>
      <c r="J124" s="26">
        <f t="shared" si="17"/>
        <v>8790.6</v>
      </c>
      <c r="K124" s="26">
        <f t="shared" si="18"/>
        <v>8702.6939999999995</v>
      </c>
      <c r="L124" s="26">
        <f t="shared" si="19"/>
        <v>8441.6131799999985</v>
      </c>
    </row>
    <row r="125" spans="1:12" ht="20.25" customHeight="1" x14ac:dyDescent="0.35">
      <c r="A125" s="4">
        <v>9</v>
      </c>
      <c r="B125" s="21" t="s">
        <v>231</v>
      </c>
      <c r="C125" s="24" t="s">
        <v>232</v>
      </c>
      <c r="D125" s="21">
        <v>3</v>
      </c>
      <c r="E125" s="4">
        <v>2.25</v>
      </c>
      <c r="F125" s="4">
        <v>65</v>
      </c>
      <c r="G125" s="4">
        <v>50</v>
      </c>
      <c r="H125" s="4">
        <v>12900</v>
      </c>
      <c r="I125" s="26">
        <f t="shared" si="16"/>
        <v>8901</v>
      </c>
      <c r="J125" s="26">
        <f t="shared" si="17"/>
        <v>8722.98</v>
      </c>
      <c r="K125" s="26">
        <f t="shared" si="18"/>
        <v>8635.7501999999986</v>
      </c>
      <c r="L125" s="26">
        <f t="shared" si="19"/>
        <v>8376.6776939999982</v>
      </c>
    </row>
    <row r="126" spans="1:12" ht="20.25" customHeight="1" x14ac:dyDescent="0.35">
      <c r="A126" s="4">
        <v>10</v>
      </c>
      <c r="B126" s="21" t="s">
        <v>233</v>
      </c>
      <c r="C126" s="24" t="s">
        <v>234</v>
      </c>
      <c r="D126" s="21">
        <v>3</v>
      </c>
      <c r="E126" s="4">
        <v>2.25</v>
      </c>
      <c r="F126" s="4">
        <v>65</v>
      </c>
      <c r="G126" s="4">
        <v>50</v>
      </c>
      <c r="H126" s="4">
        <v>19300</v>
      </c>
      <c r="I126" s="26">
        <f t="shared" si="16"/>
        <v>13316.999999999998</v>
      </c>
      <c r="J126" s="26">
        <f t="shared" si="17"/>
        <v>13050.659999999998</v>
      </c>
      <c r="K126" s="26">
        <f t="shared" si="18"/>
        <v>12920.153399999997</v>
      </c>
      <c r="L126" s="26">
        <f t="shared" si="19"/>
        <v>12532.548797999998</v>
      </c>
    </row>
    <row r="127" spans="1:12" ht="20.25" customHeight="1" x14ac:dyDescent="0.35">
      <c r="A127" s="4">
        <v>11</v>
      </c>
      <c r="B127" s="21" t="s">
        <v>235</v>
      </c>
      <c r="C127" s="24" t="s">
        <v>236</v>
      </c>
      <c r="D127" s="21">
        <v>5</v>
      </c>
      <c r="E127" s="1">
        <v>3.75</v>
      </c>
      <c r="F127" s="4">
        <v>65</v>
      </c>
      <c r="G127" s="4">
        <v>50</v>
      </c>
      <c r="H127" s="4">
        <v>18700</v>
      </c>
      <c r="I127" s="26">
        <f t="shared" si="16"/>
        <v>12902.999999999998</v>
      </c>
      <c r="J127" s="26">
        <f t="shared" si="17"/>
        <v>12644.939999999999</v>
      </c>
      <c r="K127" s="26">
        <f t="shared" si="18"/>
        <v>12518.490599999999</v>
      </c>
      <c r="L127" s="26">
        <f t="shared" si="19"/>
        <v>12142.935882</v>
      </c>
    </row>
    <row r="128" spans="1:12" ht="20.25" customHeight="1" x14ac:dyDescent="0.35">
      <c r="A128" s="4">
        <v>12</v>
      </c>
      <c r="B128" s="21" t="s">
        <v>237</v>
      </c>
      <c r="C128" s="24" t="s">
        <v>238</v>
      </c>
      <c r="D128" s="21">
        <v>5</v>
      </c>
      <c r="E128" s="1">
        <v>3.75</v>
      </c>
      <c r="F128" s="4">
        <v>65</v>
      </c>
      <c r="G128" s="4">
        <v>50</v>
      </c>
      <c r="H128" s="4">
        <v>22900</v>
      </c>
      <c r="I128" s="26">
        <f t="shared" si="16"/>
        <v>15800.999999999998</v>
      </c>
      <c r="J128" s="26">
        <f t="shared" si="17"/>
        <v>15484.979999999998</v>
      </c>
      <c r="K128" s="26">
        <f t="shared" si="18"/>
        <v>15330.130199999998</v>
      </c>
      <c r="L128" s="26">
        <f t="shared" si="19"/>
        <v>14870.226293999998</v>
      </c>
    </row>
    <row r="129" spans="1:12" ht="20.25" customHeight="1" x14ac:dyDescent="0.35">
      <c r="A129" s="300" t="s">
        <v>239</v>
      </c>
      <c r="B129" s="300"/>
      <c r="C129" s="300"/>
      <c r="D129" s="300"/>
      <c r="E129" s="300"/>
      <c r="F129" s="300"/>
      <c r="G129" s="300"/>
      <c r="H129" s="207" t="s">
        <v>109</v>
      </c>
      <c r="I129" s="315" t="s">
        <v>334</v>
      </c>
      <c r="J129" s="315"/>
      <c r="K129" s="315"/>
      <c r="L129" s="315"/>
    </row>
    <row r="130" spans="1:12" ht="20.25" customHeight="1" x14ac:dyDescent="0.35">
      <c r="A130" s="287" t="s">
        <v>2</v>
      </c>
      <c r="B130" s="287" t="s">
        <v>3</v>
      </c>
      <c r="C130" s="298" t="s">
        <v>4</v>
      </c>
      <c r="D130" s="287" t="s">
        <v>5</v>
      </c>
      <c r="E130" s="287"/>
      <c r="F130" s="272" t="s">
        <v>6</v>
      </c>
      <c r="G130" s="273"/>
      <c r="H130" s="259"/>
      <c r="I130" s="323">
        <v>0.3</v>
      </c>
      <c r="J130" s="323">
        <v>0.04</v>
      </c>
      <c r="K130" s="323">
        <v>0.01</v>
      </c>
      <c r="L130" s="323">
        <v>0.03</v>
      </c>
    </row>
    <row r="131" spans="1:12" ht="20.25" customHeight="1" x14ac:dyDescent="0.35">
      <c r="A131" s="287"/>
      <c r="B131" s="287"/>
      <c r="C131" s="298"/>
      <c r="D131" s="11" t="s">
        <v>9</v>
      </c>
      <c r="E131" s="11" t="s">
        <v>10</v>
      </c>
      <c r="F131" s="274"/>
      <c r="G131" s="275"/>
      <c r="H131" s="208"/>
      <c r="I131" s="324"/>
      <c r="J131" s="324"/>
      <c r="K131" s="324"/>
      <c r="L131" s="324"/>
    </row>
    <row r="132" spans="1:12" ht="20.25" customHeight="1" x14ac:dyDescent="0.35">
      <c r="A132" s="4">
        <v>1</v>
      </c>
      <c r="B132" s="4" t="s">
        <v>240</v>
      </c>
      <c r="C132" s="25" t="s">
        <v>241</v>
      </c>
      <c r="D132" s="4">
        <v>0.5</v>
      </c>
      <c r="E132" s="4"/>
      <c r="F132" s="292">
        <v>32</v>
      </c>
      <c r="G132" s="292"/>
      <c r="H132" s="4">
        <v>8240</v>
      </c>
      <c r="I132" s="26">
        <f t="shared" ref="I132:I154" si="20">H132*0.7</f>
        <v>5768</v>
      </c>
      <c r="J132" s="26">
        <f t="shared" ref="J132:J154" si="21">I132*0.96</f>
        <v>5537.28</v>
      </c>
      <c r="K132" s="26">
        <f t="shared" ref="K132:K154" si="22">J132*0.99</f>
        <v>5481.9071999999996</v>
      </c>
      <c r="L132" s="26">
        <f t="shared" ref="L132:L154" si="23">+K132*0.97</f>
        <v>5317.4499839999999</v>
      </c>
    </row>
    <row r="133" spans="1:12" ht="20.25" customHeight="1" x14ac:dyDescent="0.35">
      <c r="A133" s="4">
        <v>2</v>
      </c>
      <c r="B133" s="4" t="s">
        <v>242</v>
      </c>
      <c r="C133" s="25" t="s">
        <v>243</v>
      </c>
      <c r="D133" s="4">
        <v>0.5</v>
      </c>
      <c r="E133" s="4"/>
      <c r="F133" s="292">
        <v>32</v>
      </c>
      <c r="G133" s="292"/>
      <c r="H133" s="4">
        <v>8450</v>
      </c>
      <c r="I133" s="26">
        <f t="shared" si="20"/>
        <v>5915</v>
      </c>
      <c r="J133" s="26">
        <f t="shared" si="21"/>
        <v>5678.4</v>
      </c>
      <c r="K133" s="26">
        <f t="shared" si="22"/>
        <v>5621.616</v>
      </c>
      <c r="L133" s="26">
        <f t="shared" si="23"/>
        <v>5452.9675200000001</v>
      </c>
    </row>
    <row r="134" spans="1:12" ht="20.25" customHeight="1" x14ac:dyDescent="0.35">
      <c r="A134" s="4">
        <v>3</v>
      </c>
      <c r="B134" s="4" t="s">
        <v>244</v>
      </c>
      <c r="C134" s="25" t="s">
        <v>245</v>
      </c>
      <c r="D134" s="4">
        <v>0.75</v>
      </c>
      <c r="E134" s="4"/>
      <c r="F134" s="292">
        <v>32</v>
      </c>
      <c r="G134" s="292"/>
      <c r="H134" s="4">
        <v>8550</v>
      </c>
      <c r="I134" s="26">
        <f t="shared" si="20"/>
        <v>5985</v>
      </c>
      <c r="J134" s="26">
        <f t="shared" si="21"/>
        <v>5745.5999999999995</v>
      </c>
      <c r="K134" s="26">
        <f t="shared" si="22"/>
        <v>5688.1439999999993</v>
      </c>
      <c r="L134" s="26">
        <f t="shared" si="23"/>
        <v>5517.499679999999</v>
      </c>
    </row>
    <row r="135" spans="1:12" ht="20.25" customHeight="1" x14ac:dyDescent="0.35">
      <c r="A135" s="4">
        <v>4</v>
      </c>
      <c r="B135" s="4" t="s">
        <v>246</v>
      </c>
      <c r="C135" s="25" t="s">
        <v>247</v>
      </c>
      <c r="D135" s="4">
        <v>0.75</v>
      </c>
      <c r="E135" s="4"/>
      <c r="F135" s="292">
        <v>32</v>
      </c>
      <c r="G135" s="292"/>
      <c r="H135" s="4">
        <v>8750</v>
      </c>
      <c r="I135" s="26">
        <f t="shared" si="20"/>
        <v>6125</v>
      </c>
      <c r="J135" s="26">
        <f t="shared" si="21"/>
        <v>5880</v>
      </c>
      <c r="K135" s="26">
        <f t="shared" si="22"/>
        <v>5821.2</v>
      </c>
      <c r="L135" s="26">
        <f t="shared" si="23"/>
        <v>5646.5639999999994</v>
      </c>
    </row>
    <row r="136" spans="1:12" ht="20.25" customHeight="1" x14ac:dyDescent="0.35">
      <c r="A136" s="4">
        <v>5</v>
      </c>
      <c r="B136" s="4" t="s">
        <v>248</v>
      </c>
      <c r="C136" s="25" t="s">
        <v>249</v>
      </c>
      <c r="D136" s="4">
        <v>1</v>
      </c>
      <c r="E136" s="4"/>
      <c r="F136" s="292">
        <v>32</v>
      </c>
      <c r="G136" s="292"/>
      <c r="H136" s="26">
        <v>8800</v>
      </c>
      <c r="I136" s="26">
        <f t="shared" si="20"/>
        <v>6160</v>
      </c>
      <c r="J136" s="26">
        <f t="shared" si="21"/>
        <v>5913.5999999999995</v>
      </c>
      <c r="K136" s="26">
        <f t="shared" si="22"/>
        <v>5854.463999999999</v>
      </c>
      <c r="L136" s="26">
        <f t="shared" si="23"/>
        <v>5678.8300799999988</v>
      </c>
    </row>
    <row r="137" spans="1:12" ht="20.25" customHeight="1" x14ac:dyDescent="0.35">
      <c r="A137" s="4">
        <v>6</v>
      </c>
      <c r="B137" s="4" t="s">
        <v>250</v>
      </c>
      <c r="C137" s="25" t="s">
        <v>251</v>
      </c>
      <c r="D137" s="4">
        <v>1</v>
      </c>
      <c r="E137" s="4"/>
      <c r="F137" s="292">
        <v>32</v>
      </c>
      <c r="G137" s="292"/>
      <c r="H137" s="26">
        <v>9000</v>
      </c>
      <c r="I137" s="26">
        <f t="shared" si="20"/>
        <v>6300</v>
      </c>
      <c r="J137" s="26">
        <f t="shared" si="21"/>
        <v>6048</v>
      </c>
      <c r="K137" s="26">
        <f t="shared" si="22"/>
        <v>5987.5199999999995</v>
      </c>
      <c r="L137" s="26">
        <f t="shared" si="23"/>
        <v>5807.8943999999992</v>
      </c>
    </row>
    <row r="138" spans="1:12" ht="20.25" customHeight="1" x14ac:dyDescent="0.35">
      <c r="A138" s="4">
        <v>7</v>
      </c>
      <c r="B138" s="4" t="s">
        <v>252</v>
      </c>
      <c r="C138" s="25" t="s">
        <v>253</v>
      </c>
      <c r="D138" s="4">
        <v>1</v>
      </c>
      <c r="E138" s="4"/>
      <c r="F138" s="292">
        <v>32</v>
      </c>
      <c r="G138" s="292"/>
      <c r="H138" s="4">
        <v>9480</v>
      </c>
      <c r="I138" s="26">
        <f t="shared" si="20"/>
        <v>6636</v>
      </c>
      <c r="J138" s="26">
        <f t="shared" si="21"/>
        <v>6370.5599999999995</v>
      </c>
      <c r="K138" s="26">
        <f t="shared" si="22"/>
        <v>6306.8543999999993</v>
      </c>
      <c r="L138" s="26">
        <f t="shared" si="23"/>
        <v>6117.6487679999991</v>
      </c>
    </row>
    <row r="139" spans="1:12" ht="20.25" customHeight="1" x14ac:dyDescent="0.35">
      <c r="A139" s="4">
        <v>8</v>
      </c>
      <c r="B139" s="4" t="s">
        <v>254</v>
      </c>
      <c r="C139" s="25" t="s">
        <v>255</v>
      </c>
      <c r="D139" s="4">
        <v>1</v>
      </c>
      <c r="E139" s="4"/>
      <c r="F139" s="292">
        <v>32</v>
      </c>
      <c r="G139" s="292"/>
      <c r="H139" s="4">
        <v>9790</v>
      </c>
      <c r="I139" s="26">
        <f t="shared" si="20"/>
        <v>6853</v>
      </c>
      <c r="J139" s="26">
        <f t="shared" si="21"/>
        <v>6578.88</v>
      </c>
      <c r="K139" s="26">
        <f t="shared" si="22"/>
        <v>6513.0911999999998</v>
      </c>
      <c r="L139" s="26">
        <f t="shared" si="23"/>
        <v>6317.6984640000001</v>
      </c>
    </row>
    <row r="140" spans="1:12" ht="20.25" customHeight="1" x14ac:dyDescent="0.35">
      <c r="A140" s="4">
        <v>9</v>
      </c>
      <c r="B140" s="4" t="s">
        <v>256</v>
      </c>
      <c r="C140" s="25" t="s">
        <v>257</v>
      </c>
      <c r="D140" s="4">
        <v>1.5</v>
      </c>
      <c r="E140" s="4"/>
      <c r="F140" s="292">
        <v>32</v>
      </c>
      <c r="G140" s="292"/>
      <c r="H140" s="4">
        <v>11330</v>
      </c>
      <c r="I140" s="26">
        <f t="shared" si="20"/>
        <v>7930.9999999999991</v>
      </c>
      <c r="J140" s="26">
        <f t="shared" si="21"/>
        <v>7613.7599999999984</v>
      </c>
      <c r="K140" s="26">
        <f t="shared" si="22"/>
        <v>7537.6223999999984</v>
      </c>
      <c r="L140" s="26">
        <f t="shared" si="23"/>
        <v>7311.4937279999986</v>
      </c>
    </row>
    <row r="141" spans="1:12" ht="20.25" customHeight="1" x14ac:dyDescent="0.35">
      <c r="A141" s="4">
        <v>10</v>
      </c>
      <c r="B141" s="4" t="s">
        <v>258</v>
      </c>
      <c r="C141" s="25" t="s">
        <v>259</v>
      </c>
      <c r="D141" s="4">
        <v>1.5</v>
      </c>
      <c r="E141" s="4"/>
      <c r="F141" s="292">
        <v>32</v>
      </c>
      <c r="G141" s="292"/>
      <c r="H141" s="4">
        <v>11640</v>
      </c>
      <c r="I141" s="26">
        <f t="shared" si="20"/>
        <v>8147.9999999999991</v>
      </c>
      <c r="J141" s="26">
        <f t="shared" si="21"/>
        <v>7822.079999999999</v>
      </c>
      <c r="K141" s="26">
        <f t="shared" si="22"/>
        <v>7743.859199999999</v>
      </c>
      <c r="L141" s="26">
        <f t="shared" si="23"/>
        <v>7511.5434239999986</v>
      </c>
    </row>
    <row r="142" spans="1:12" ht="20.25" customHeight="1" x14ac:dyDescent="0.35">
      <c r="A142" s="4">
        <v>11</v>
      </c>
      <c r="B142" s="4" t="s">
        <v>260</v>
      </c>
      <c r="C142" s="25" t="s">
        <v>261</v>
      </c>
      <c r="D142" s="4">
        <v>1.5</v>
      </c>
      <c r="E142" s="4"/>
      <c r="F142" s="292">
        <v>32</v>
      </c>
      <c r="G142" s="292"/>
      <c r="H142" s="4">
        <v>11800</v>
      </c>
      <c r="I142" s="26">
        <f t="shared" si="20"/>
        <v>8260</v>
      </c>
      <c r="J142" s="26">
        <f t="shared" si="21"/>
        <v>7929.5999999999995</v>
      </c>
      <c r="K142" s="26">
        <f t="shared" si="22"/>
        <v>7850.3039999999992</v>
      </c>
      <c r="L142" s="26">
        <f t="shared" si="23"/>
        <v>7614.7948799999986</v>
      </c>
    </row>
    <row r="143" spans="1:12" ht="20.25" customHeight="1" x14ac:dyDescent="0.35">
      <c r="A143" s="4">
        <v>12</v>
      </c>
      <c r="B143" s="4" t="s">
        <v>262</v>
      </c>
      <c r="C143" s="25" t="s">
        <v>263</v>
      </c>
      <c r="D143" s="4">
        <v>1.5</v>
      </c>
      <c r="E143" s="4"/>
      <c r="F143" s="292">
        <v>32</v>
      </c>
      <c r="G143" s="292"/>
      <c r="H143" s="4">
        <v>12670</v>
      </c>
      <c r="I143" s="26">
        <f t="shared" si="20"/>
        <v>8869</v>
      </c>
      <c r="J143" s="26">
        <f t="shared" si="21"/>
        <v>8514.24</v>
      </c>
      <c r="K143" s="26">
        <f t="shared" si="22"/>
        <v>8429.0975999999991</v>
      </c>
      <c r="L143" s="26">
        <f t="shared" si="23"/>
        <v>8176.2246719999994</v>
      </c>
    </row>
    <row r="144" spans="1:12" ht="20.25" customHeight="1" x14ac:dyDescent="0.35">
      <c r="A144" s="4">
        <v>13</v>
      </c>
      <c r="B144" s="4" t="s">
        <v>264</v>
      </c>
      <c r="C144" s="25" t="s">
        <v>265</v>
      </c>
      <c r="D144" s="4">
        <v>2</v>
      </c>
      <c r="E144" s="4"/>
      <c r="F144" s="292">
        <v>40</v>
      </c>
      <c r="G144" s="292"/>
      <c r="H144" s="4">
        <v>14730</v>
      </c>
      <c r="I144" s="26">
        <f t="shared" si="20"/>
        <v>10311</v>
      </c>
      <c r="J144" s="26">
        <f t="shared" si="21"/>
        <v>9898.56</v>
      </c>
      <c r="K144" s="26">
        <f t="shared" si="22"/>
        <v>9799.5743999999995</v>
      </c>
      <c r="L144" s="26">
        <f t="shared" si="23"/>
        <v>9505.587168</v>
      </c>
    </row>
    <row r="145" spans="1:12" ht="20.25" customHeight="1" x14ac:dyDescent="0.35">
      <c r="A145" s="4">
        <v>14</v>
      </c>
      <c r="B145" s="4" t="s">
        <v>266</v>
      </c>
      <c r="C145" s="25" t="s">
        <v>267</v>
      </c>
      <c r="D145" s="4">
        <v>2</v>
      </c>
      <c r="E145" s="4"/>
      <c r="F145" s="292">
        <v>32</v>
      </c>
      <c r="G145" s="292"/>
      <c r="H145" s="4">
        <v>15250</v>
      </c>
      <c r="I145" s="26">
        <f t="shared" si="20"/>
        <v>10675</v>
      </c>
      <c r="J145" s="26">
        <f t="shared" si="21"/>
        <v>10248</v>
      </c>
      <c r="K145" s="26">
        <f t="shared" si="22"/>
        <v>10145.52</v>
      </c>
      <c r="L145" s="26">
        <f t="shared" si="23"/>
        <v>9841.1543999999994</v>
      </c>
    </row>
    <row r="146" spans="1:12" ht="20.25" customHeight="1" x14ac:dyDescent="0.35">
      <c r="A146" s="4">
        <v>15</v>
      </c>
      <c r="B146" s="4" t="s">
        <v>268</v>
      </c>
      <c r="C146" s="25" t="s">
        <v>269</v>
      </c>
      <c r="D146" s="4">
        <v>2</v>
      </c>
      <c r="E146" s="4"/>
      <c r="F146" s="292">
        <v>32</v>
      </c>
      <c r="G146" s="292"/>
      <c r="H146" s="4">
        <v>15860</v>
      </c>
      <c r="I146" s="26">
        <f t="shared" si="20"/>
        <v>11102</v>
      </c>
      <c r="J146" s="26">
        <f t="shared" si="21"/>
        <v>10657.92</v>
      </c>
      <c r="K146" s="26">
        <f t="shared" si="22"/>
        <v>10551.3408</v>
      </c>
      <c r="L146" s="26">
        <f t="shared" si="23"/>
        <v>10234.800576</v>
      </c>
    </row>
    <row r="147" spans="1:12" ht="20.25" customHeight="1" x14ac:dyDescent="0.35">
      <c r="A147" s="4">
        <v>16</v>
      </c>
      <c r="B147" s="4" t="s">
        <v>270</v>
      </c>
      <c r="C147" s="25" t="s">
        <v>271</v>
      </c>
      <c r="D147" s="4">
        <v>2</v>
      </c>
      <c r="E147" s="4"/>
      <c r="F147" s="292">
        <v>32</v>
      </c>
      <c r="G147" s="292"/>
      <c r="H147" s="4">
        <v>15970</v>
      </c>
      <c r="I147" s="26">
        <f t="shared" si="20"/>
        <v>11179</v>
      </c>
      <c r="J147" s="26">
        <f t="shared" si="21"/>
        <v>10731.84</v>
      </c>
      <c r="K147" s="26">
        <f t="shared" si="22"/>
        <v>10624.5216</v>
      </c>
      <c r="L147" s="26">
        <f t="shared" si="23"/>
        <v>10305.785952</v>
      </c>
    </row>
    <row r="148" spans="1:12" ht="20.25" customHeight="1" x14ac:dyDescent="0.35">
      <c r="A148" s="4">
        <v>17</v>
      </c>
      <c r="B148" s="4" t="s">
        <v>272</v>
      </c>
      <c r="C148" s="25" t="s">
        <v>273</v>
      </c>
      <c r="D148" s="4">
        <v>2</v>
      </c>
      <c r="E148" s="4"/>
      <c r="F148" s="292">
        <v>32</v>
      </c>
      <c r="G148" s="292"/>
      <c r="H148" s="4">
        <v>16480</v>
      </c>
      <c r="I148" s="26">
        <f t="shared" si="20"/>
        <v>11536</v>
      </c>
      <c r="J148" s="26">
        <f t="shared" si="21"/>
        <v>11074.56</v>
      </c>
      <c r="K148" s="26">
        <f t="shared" si="22"/>
        <v>10963.814399999999</v>
      </c>
      <c r="L148" s="26">
        <f t="shared" si="23"/>
        <v>10634.899968</v>
      </c>
    </row>
    <row r="149" spans="1:12" ht="20.25" customHeight="1" x14ac:dyDescent="0.35">
      <c r="A149" s="4">
        <v>18</v>
      </c>
      <c r="B149" s="4" t="s">
        <v>274</v>
      </c>
      <c r="C149" s="25" t="s">
        <v>275</v>
      </c>
      <c r="D149" s="4">
        <v>2</v>
      </c>
      <c r="E149" s="4"/>
      <c r="F149" s="292">
        <v>65</v>
      </c>
      <c r="G149" s="292"/>
      <c r="H149" s="4">
        <v>14940</v>
      </c>
      <c r="I149" s="26">
        <f t="shared" si="20"/>
        <v>10458</v>
      </c>
      <c r="J149" s="26">
        <f t="shared" si="21"/>
        <v>10039.68</v>
      </c>
      <c r="K149" s="26">
        <f t="shared" si="22"/>
        <v>9939.2831999999999</v>
      </c>
      <c r="L149" s="26">
        <f t="shared" si="23"/>
        <v>9641.1047039999994</v>
      </c>
    </row>
    <row r="150" spans="1:12" ht="20.25" customHeight="1" x14ac:dyDescent="0.35">
      <c r="A150" s="4">
        <v>19</v>
      </c>
      <c r="B150" s="4" t="s">
        <v>276</v>
      </c>
      <c r="C150" s="25" t="s">
        <v>277</v>
      </c>
      <c r="D150" s="4">
        <v>3</v>
      </c>
      <c r="E150" s="4"/>
      <c r="F150" s="292">
        <v>32</v>
      </c>
      <c r="G150" s="292"/>
      <c r="H150" s="4">
        <v>23500</v>
      </c>
      <c r="I150" s="26">
        <f t="shared" si="20"/>
        <v>16450</v>
      </c>
      <c r="J150" s="26">
        <f t="shared" si="21"/>
        <v>15792</v>
      </c>
      <c r="K150" s="26">
        <f t="shared" si="22"/>
        <v>15634.08</v>
      </c>
      <c r="L150" s="26">
        <f t="shared" si="23"/>
        <v>15165.0576</v>
      </c>
    </row>
    <row r="151" spans="1:12" ht="20.25" customHeight="1" x14ac:dyDescent="0.35">
      <c r="A151" s="4">
        <v>20</v>
      </c>
      <c r="B151" s="4" t="s">
        <v>278</v>
      </c>
      <c r="C151" s="25" t="s">
        <v>279</v>
      </c>
      <c r="D151" s="4">
        <v>3</v>
      </c>
      <c r="E151" s="4"/>
      <c r="F151" s="292">
        <v>32</v>
      </c>
      <c r="G151" s="292"/>
      <c r="H151" s="4">
        <v>24000</v>
      </c>
      <c r="I151" s="26">
        <f t="shared" si="20"/>
        <v>16800</v>
      </c>
      <c r="J151" s="26">
        <f t="shared" si="21"/>
        <v>16128</v>
      </c>
      <c r="K151" s="26">
        <f t="shared" si="22"/>
        <v>15966.72</v>
      </c>
      <c r="L151" s="26">
        <f t="shared" si="23"/>
        <v>15487.7184</v>
      </c>
    </row>
    <row r="152" spans="1:12" ht="20.25" customHeight="1" x14ac:dyDescent="0.35">
      <c r="A152" s="4">
        <v>21</v>
      </c>
      <c r="B152" s="4" t="s">
        <v>280</v>
      </c>
      <c r="C152" s="25" t="s">
        <v>281</v>
      </c>
      <c r="D152" s="4">
        <v>3</v>
      </c>
      <c r="E152" s="4"/>
      <c r="F152" s="292">
        <v>32</v>
      </c>
      <c r="G152" s="292"/>
      <c r="H152" s="4">
        <v>24500</v>
      </c>
      <c r="I152" s="26">
        <f t="shared" si="20"/>
        <v>17150</v>
      </c>
      <c r="J152" s="26">
        <f t="shared" si="21"/>
        <v>16464</v>
      </c>
      <c r="K152" s="26">
        <f t="shared" si="22"/>
        <v>16299.36</v>
      </c>
      <c r="L152" s="26">
        <f t="shared" si="23"/>
        <v>15810.379199999999</v>
      </c>
    </row>
    <row r="153" spans="1:12" ht="20.25" customHeight="1" x14ac:dyDescent="0.35">
      <c r="A153" s="4">
        <v>22</v>
      </c>
      <c r="B153" s="4" t="s">
        <v>282</v>
      </c>
      <c r="C153" s="25" t="s">
        <v>283</v>
      </c>
      <c r="D153" s="4">
        <v>3</v>
      </c>
      <c r="E153" s="4"/>
      <c r="F153" s="292">
        <v>65</v>
      </c>
      <c r="G153" s="292"/>
      <c r="H153" s="4">
        <v>23690</v>
      </c>
      <c r="I153" s="26">
        <f t="shared" si="20"/>
        <v>16583</v>
      </c>
      <c r="J153" s="26">
        <f t="shared" si="21"/>
        <v>15919.68</v>
      </c>
      <c r="K153" s="26">
        <f t="shared" si="22"/>
        <v>15760.483200000001</v>
      </c>
      <c r="L153" s="26">
        <f t="shared" si="23"/>
        <v>15287.668704</v>
      </c>
    </row>
    <row r="154" spans="1:12" ht="20.25" customHeight="1" x14ac:dyDescent="0.35">
      <c r="A154" s="4">
        <v>23</v>
      </c>
      <c r="B154" s="4" t="s">
        <v>284</v>
      </c>
      <c r="C154" s="25" t="s">
        <v>283</v>
      </c>
      <c r="D154" s="4">
        <v>3</v>
      </c>
      <c r="E154" s="4"/>
      <c r="F154" s="292">
        <v>65</v>
      </c>
      <c r="G154" s="292"/>
      <c r="H154" s="4">
        <v>15450</v>
      </c>
      <c r="I154" s="26">
        <f t="shared" si="20"/>
        <v>10815</v>
      </c>
      <c r="J154" s="26">
        <f t="shared" si="21"/>
        <v>10382.4</v>
      </c>
      <c r="K154" s="26">
        <f t="shared" si="22"/>
        <v>10278.575999999999</v>
      </c>
      <c r="L154" s="26">
        <f t="shared" si="23"/>
        <v>9970.2187199999989</v>
      </c>
    </row>
    <row r="155" spans="1:12" ht="20.25" customHeight="1" x14ac:dyDescent="0.35">
      <c r="A155" s="300" t="s">
        <v>285</v>
      </c>
      <c r="B155" s="300"/>
      <c r="C155" s="300"/>
      <c r="D155" s="300"/>
      <c r="E155" s="300"/>
      <c r="F155" s="300"/>
      <c r="G155" s="300"/>
      <c r="H155" s="207" t="s">
        <v>109</v>
      </c>
      <c r="I155" s="315" t="s">
        <v>334</v>
      </c>
      <c r="J155" s="315"/>
      <c r="K155" s="315"/>
      <c r="L155" s="315"/>
    </row>
    <row r="156" spans="1:12" ht="20.25" customHeight="1" x14ac:dyDescent="0.35">
      <c r="A156" s="287" t="s">
        <v>2</v>
      </c>
      <c r="B156" s="287" t="s">
        <v>3</v>
      </c>
      <c r="C156" s="298" t="s">
        <v>4</v>
      </c>
      <c r="D156" s="287" t="s">
        <v>5</v>
      </c>
      <c r="E156" s="287"/>
      <c r="F156" s="287" t="s">
        <v>6</v>
      </c>
      <c r="G156" s="287"/>
      <c r="H156" s="259"/>
      <c r="I156" s="323">
        <v>0.3</v>
      </c>
      <c r="J156" s="323">
        <v>0.04</v>
      </c>
      <c r="K156" s="323">
        <v>0.01</v>
      </c>
      <c r="L156" s="323">
        <v>0.03</v>
      </c>
    </row>
    <row r="157" spans="1:12" ht="20.25" customHeight="1" x14ac:dyDescent="0.35">
      <c r="A157" s="287"/>
      <c r="B157" s="287"/>
      <c r="C157" s="298"/>
      <c r="D157" s="11" t="s">
        <v>9</v>
      </c>
      <c r="E157" s="11" t="s">
        <v>10</v>
      </c>
      <c r="F157" s="11" t="s">
        <v>11</v>
      </c>
      <c r="G157" s="11" t="s">
        <v>12</v>
      </c>
      <c r="H157" s="208"/>
      <c r="I157" s="324"/>
      <c r="J157" s="324"/>
      <c r="K157" s="324"/>
      <c r="L157" s="324"/>
    </row>
    <row r="158" spans="1:12" ht="20.25" customHeight="1" x14ac:dyDescent="0.35">
      <c r="A158" s="4">
        <v>1</v>
      </c>
      <c r="B158" s="4" t="s">
        <v>286</v>
      </c>
      <c r="C158" s="25" t="s">
        <v>287</v>
      </c>
      <c r="D158" s="4">
        <v>0.5</v>
      </c>
      <c r="E158" s="4"/>
      <c r="F158" s="292">
        <v>32</v>
      </c>
      <c r="G158" s="292"/>
      <c r="H158" s="4">
        <v>6800</v>
      </c>
      <c r="I158" s="26">
        <f t="shared" ref="I158:I172" si="24">H158*0.7</f>
        <v>4760</v>
      </c>
      <c r="J158" s="26">
        <f t="shared" ref="J158:J172" si="25">I158*0.96</f>
        <v>4569.5999999999995</v>
      </c>
      <c r="K158" s="26">
        <f t="shared" ref="K158:K172" si="26">J158*0.99</f>
        <v>4523.9039999999995</v>
      </c>
      <c r="L158" s="26">
        <f t="shared" ref="L158:L172" si="27">+K158*0.97</f>
        <v>4388.1868799999993</v>
      </c>
    </row>
    <row r="159" spans="1:12" ht="20.25" customHeight="1" x14ac:dyDescent="0.35">
      <c r="A159" s="4">
        <v>2</v>
      </c>
      <c r="B159" s="4" t="s">
        <v>288</v>
      </c>
      <c r="C159" s="25" t="s">
        <v>289</v>
      </c>
      <c r="D159" s="4">
        <v>0.5</v>
      </c>
      <c r="E159" s="4"/>
      <c r="F159" s="292">
        <v>32</v>
      </c>
      <c r="G159" s="292"/>
      <c r="H159" s="4">
        <v>7600</v>
      </c>
      <c r="I159" s="26">
        <f t="shared" si="24"/>
        <v>5320</v>
      </c>
      <c r="J159" s="26">
        <f t="shared" si="25"/>
        <v>5107.2</v>
      </c>
      <c r="K159" s="26">
        <f t="shared" si="26"/>
        <v>5056.1279999999997</v>
      </c>
      <c r="L159" s="26">
        <f t="shared" si="27"/>
        <v>4904.44416</v>
      </c>
    </row>
    <row r="160" spans="1:12" ht="20.25" customHeight="1" x14ac:dyDescent="0.35">
      <c r="A160" s="4">
        <v>3</v>
      </c>
      <c r="B160" s="4" t="s">
        <v>290</v>
      </c>
      <c r="C160" s="25" t="s">
        <v>291</v>
      </c>
      <c r="D160" s="4">
        <v>0.75</v>
      </c>
      <c r="E160" s="4"/>
      <c r="F160" s="292">
        <v>32</v>
      </c>
      <c r="G160" s="292"/>
      <c r="H160" s="4">
        <v>7800</v>
      </c>
      <c r="I160" s="26">
        <f t="shared" si="24"/>
        <v>5460</v>
      </c>
      <c r="J160" s="26">
        <f t="shared" si="25"/>
        <v>5241.5999999999995</v>
      </c>
      <c r="K160" s="26">
        <f t="shared" si="26"/>
        <v>5189.1839999999993</v>
      </c>
      <c r="L160" s="26">
        <f t="shared" si="27"/>
        <v>5033.5084799999995</v>
      </c>
    </row>
    <row r="161" spans="1:12" ht="20.25" customHeight="1" x14ac:dyDescent="0.35">
      <c r="A161" s="4">
        <v>4</v>
      </c>
      <c r="B161" s="4" t="s">
        <v>292</v>
      </c>
      <c r="C161" s="25" t="s">
        <v>293</v>
      </c>
      <c r="D161" s="4">
        <v>0.75</v>
      </c>
      <c r="E161" s="4"/>
      <c r="F161" s="292">
        <v>32</v>
      </c>
      <c r="G161" s="292"/>
      <c r="H161" s="4">
        <v>8000</v>
      </c>
      <c r="I161" s="26">
        <f t="shared" si="24"/>
        <v>5600</v>
      </c>
      <c r="J161" s="26">
        <f t="shared" si="25"/>
        <v>5376</v>
      </c>
      <c r="K161" s="26">
        <f t="shared" si="26"/>
        <v>5322.24</v>
      </c>
      <c r="L161" s="26">
        <f t="shared" si="27"/>
        <v>5162.5727999999999</v>
      </c>
    </row>
    <row r="162" spans="1:12" ht="20.25" customHeight="1" x14ac:dyDescent="0.35">
      <c r="A162" s="4">
        <v>5</v>
      </c>
      <c r="B162" s="4" t="s">
        <v>294</v>
      </c>
      <c r="C162" s="25" t="s">
        <v>295</v>
      </c>
      <c r="D162" s="4">
        <v>1</v>
      </c>
      <c r="E162" s="4"/>
      <c r="F162" s="292">
        <v>32</v>
      </c>
      <c r="G162" s="292"/>
      <c r="H162" s="4">
        <v>8200</v>
      </c>
      <c r="I162" s="26">
        <f t="shared" si="24"/>
        <v>5740</v>
      </c>
      <c r="J162" s="26">
        <f t="shared" si="25"/>
        <v>5510.4</v>
      </c>
      <c r="K162" s="26">
        <f t="shared" si="26"/>
        <v>5455.2959999999994</v>
      </c>
      <c r="L162" s="26">
        <f t="shared" si="27"/>
        <v>5291.6371199999994</v>
      </c>
    </row>
    <row r="163" spans="1:12" ht="20.25" customHeight="1" x14ac:dyDescent="0.35">
      <c r="A163" s="4">
        <v>6</v>
      </c>
      <c r="B163" s="4" t="s">
        <v>296</v>
      </c>
      <c r="C163" s="25" t="s">
        <v>297</v>
      </c>
      <c r="D163" s="4">
        <v>1</v>
      </c>
      <c r="E163" s="4"/>
      <c r="F163" s="292">
        <v>32</v>
      </c>
      <c r="G163" s="292"/>
      <c r="H163" s="4">
        <v>8400</v>
      </c>
      <c r="I163" s="26">
        <f t="shared" si="24"/>
        <v>5880</v>
      </c>
      <c r="J163" s="26">
        <f t="shared" si="25"/>
        <v>5644.8</v>
      </c>
      <c r="K163" s="26">
        <f t="shared" si="26"/>
        <v>5588.3519999999999</v>
      </c>
      <c r="L163" s="26">
        <f t="shared" si="27"/>
        <v>5420.7014399999998</v>
      </c>
    </row>
    <row r="164" spans="1:12" ht="20.25" customHeight="1" x14ac:dyDescent="0.35">
      <c r="A164" s="4">
        <v>7</v>
      </c>
      <c r="B164" s="4" t="s">
        <v>298</v>
      </c>
      <c r="C164" s="25" t="s">
        <v>299</v>
      </c>
      <c r="D164" s="4">
        <v>1</v>
      </c>
      <c r="E164" s="4"/>
      <c r="F164" s="292">
        <v>32</v>
      </c>
      <c r="G164" s="292"/>
      <c r="H164" s="4">
        <v>8600</v>
      </c>
      <c r="I164" s="26">
        <f t="shared" si="24"/>
        <v>6020</v>
      </c>
      <c r="J164" s="26">
        <f t="shared" si="25"/>
        <v>5779.2</v>
      </c>
      <c r="K164" s="26">
        <f t="shared" si="26"/>
        <v>5721.4079999999994</v>
      </c>
      <c r="L164" s="26">
        <f t="shared" si="27"/>
        <v>5549.7657599999993</v>
      </c>
    </row>
    <row r="165" spans="1:12" ht="20.25" customHeight="1" x14ac:dyDescent="0.35">
      <c r="A165" s="4">
        <v>8</v>
      </c>
      <c r="B165" s="4" t="s">
        <v>300</v>
      </c>
      <c r="C165" s="25" t="s">
        <v>301</v>
      </c>
      <c r="D165" s="4">
        <v>1.5</v>
      </c>
      <c r="E165" s="4"/>
      <c r="F165" s="292">
        <v>32</v>
      </c>
      <c r="G165" s="292"/>
      <c r="H165" s="4">
        <v>9000</v>
      </c>
      <c r="I165" s="26">
        <f t="shared" si="24"/>
        <v>6300</v>
      </c>
      <c r="J165" s="26">
        <f t="shared" si="25"/>
        <v>6048</v>
      </c>
      <c r="K165" s="26">
        <f t="shared" si="26"/>
        <v>5987.5199999999995</v>
      </c>
      <c r="L165" s="26">
        <f t="shared" si="27"/>
        <v>5807.8943999999992</v>
      </c>
    </row>
    <row r="166" spans="1:12" ht="20.25" customHeight="1" x14ac:dyDescent="0.35">
      <c r="A166" s="4">
        <v>9</v>
      </c>
      <c r="B166" s="4" t="s">
        <v>302</v>
      </c>
      <c r="C166" s="25" t="s">
        <v>303</v>
      </c>
      <c r="D166" s="4">
        <v>1.5</v>
      </c>
      <c r="E166" s="4"/>
      <c r="F166" s="292">
        <v>32</v>
      </c>
      <c r="G166" s="292"/>
      <c r="H166" s="4">
        <v>10600</v>
      </c>
      <c r="I166" s="26">
        <f t="shared" si="24"/>
        <v>7419.9999999999991</v>
      </c>
      <c r="J166" s="26">
        <f t="shared" si="25"/>
        <v>7123.1999999999989</v>
      </c>
      <c r="K166" s="26">
        <f t="shared" si="26"/>
        <v>7051.9679999999989</v>
      </c>
      <c r="L166" s="26">
        <f t="shared" si="27"/>
        <v>6840.4089599999988</v>
      </c>
    </row>
    <row r="167" spans="1:12" ht="20.25" customHeight="1" x14ac:dyDescent="0.35">
      <c r="A167" s="4">
        <v>10</v>
      </c>
      <c r="B167" s="4" t="s">
        <v>304</v>
      </c>
      <c r="C167" s="25" t="s">
        <v>305</v>
      </c>
      <c r="D167" s="4">
        <v>1.5</v>
      </c>
      <c r="E167" s="4"/>
      <c r="F167" s="292">
        <v>32</v>
      </c>
      <c r="G167" s="292"/>
      <c r="H167" s="4">
        <v>11000</v>
      </c>
      <c r="I167" s="26">
        <f t="shared" si="24"/>
        <v>7699.9999999999991</v>
      </c>
      <c r="J167" s="26">
        <f t="shared" si="25"/>
        <v>7391.9999999999991</v>
      </c>
      <c r="K167" s="26">
        <f t="shared" si="26"/>
        <v>7318.079999999999</v>
      </c>
      <c r="L167" s="26">
        <f t="shared" si="27"/>
        <v>7098.5375999999987</v>
      </c>
    </row>
    <row r="168" spans="1:12" ht="20.25" customHeight="1" x14ac:dyDescent="0.35">
      <c r="A168" s="4">
        <v>11</v>
      </c>
      <c r="B168" s="4" t="s">
        <v>306</v>
      </c>
      <c r="C168" s="25" t="s">
        <v>307</v>
      </c>
      <c r="D168" s="4">
        <v>2</v>
      </c>
      <c r="E168" s="4"/>
      <c r="F168" s="292">
        <v>32</v>
      </c>
      <c r="G168" s="292"/>
      <c r="H168" s="4">
        <v>13000</v>
      </c>
      <c r="I168" s="26">
        <f t="shared" si="24"/>
        <v>9100</v>
      </c>
      <c r="J168" s="26">
        <f t="shared" si="25"/>
        <v>8736</v>
      </c>
      <c r="K168" s="26">
        <f t="shared" si="26"/>
        <v>8648.64</v>
      </c>
      <c r="L168" s="26">
        <f t="shared" si="27"/>
        <v>8389.1808000000001</v>
      </c>
    </row>
    <row r="169" spans="1:12" ht="20.25" customHeight="1" x14ac:dyDescent="0.35">
      <c r="A169" s="4">
        <v>12</v>
      </c>
      <c r="B169" s="4" t="s">
        <v>308</v>
      </c>
      <c r="C169" s="25" t="s">
        <v>309</v>
      </c>
      <c r="D169" s="4">
        <v>2</v>
      </c>
      <c r="E169" s="4"/>
      <c r="F169" s="292">
        <v>32</v>
      </c>
      <c r="G169" s="292"/>
      <c r="H169" s="4">
        <v>15500</v>
      </c>
      <c r="I169" s="26">
        <f t="shared" si="24"/>
        <v>10850</v>
      </c>
      <c r="J169" s="26">
        <f t="shared" si="25"/>
        <v>10416</v>
      </c>
      <c r="K169" s="26">
        <f t="shared" si="26"/>
        <v>10311.84</v>
      </c>
      <c r="L169" s="26">
        <f t="shared" si="27"/>
        <v>10002.4848</v>
      </c>
    </row>
    <row r="170" spans="1:12" ht="20.25" customHeight="1" x14ac:dyDescent="0.35">
      <c r="A170" s="4">
        <v>13</v>
      </c>
      <c r="B170" s="4" t="s">
        <v>310</v>
      </c>
      <c r="C170" s="25" t="s">
        <v>311</v>
      </c>
      <c r="D170" s="4">
        <v>3</v>
      </c>
      <c r="E170" s="4"/>
      <c r="F170" s="292">
        <v>32</v>
      </c>
      <c r="G170" s="292"/>
      <c r="H170" s="4">
        <v>19000</v>
      </c>
      <c r="I170" s="26">
        <f t="shared" si="24"/>
        <v>13300</v>
      </c>
      <c r="J170" s="26">
        <f t="shared" si="25"/>
        <v>12768</v>
      </c>
      <c r="K170" s="26">
        <f t="shared" si="26"/>
        <v>12640.32</v>
      </c>
      <c r="L170" s="26">
        <f t="shared" si="27"/>
        <v>12261.1104</v>
      </c>
    </row>
    <row r="171" spans="1:12" ht="20.25" customHeight="1" x14ac:dyDescent="0.35">
      <c r="A171" s="4">
        <v>14</v>
      </c>
      <c r="B171" s="4" t="s">
        <v>312</v>
      </c>
      <c r="C171" s="25" t="s">
        <v>313</v>
      </c>
      <c r="D171" s="4">
        <v>3</v>
      </c>
      <c r="E171" s="4"/>
      <c r="F171" s="292">
        <v>32</v>
      </c>
      <c r="G171" s="292"/>
      <c r="H171" s="4">
        <v>20000</v>
      </c>
      <c r="I171" s="26">
        <f t="shared" si="24"/>
        <v>14000</v>
      </c>
      <c r="J171" s="26">
        <f t="shared" si="25"/>
        <v>13440</v>
      </c>
      <c r="K171" s="26">
        <f t="shared" si="26"/>
        <v>13305.6</v>
      </c>
      <c r="L171" s="26">
        <f t="shared" si="27"/>
        <v>12906.432000000001</v>
      </c>
    </row>
    <row r="172" spans="1:12" ht="20.25" customHeight="1" x14ac:dyDescent="0.35">
      <c r="A172" s="4">
        <v>15</v>
      </c>
      <c r="B172" s="4" t="s">
        <v>314</v>
      </c>
      <c r="C172" s="25" t="s">
        <v>315</v>
      </c>
      <c r="D172" s="4">
        <v>3</v>
      </c>
      <c r="E172" s="4"/>
      <c r="F172" s="292">
        <v>32</v>
      </c>
      <c r="G172" s="292"/>
      <c r="H172" s="4">
        <v>20500</v>
      </c>
      <c r="I172" s="26">
        <f t="shared" si="24"/>
        <v>14349.999999999998</v>
      </c>
      <c r="J172" s="26">
        <f t="shared" si="25"/>
        <v>13775.999999999998</v>
      </c>
      <c r="K172" s="26">
        <f t="shared" si="26"/>
        <v>13638.239999999998</v>
      </c>
      <c r="L172" s="26">
        <f t="shared" si="27"/>
        <v>13229.092799999999</v>
      </c>
    </row>
  </sheetData>
  <mergeCells count="121">
    <mergeCell ref="I7:L7"/>
    <mergeCell ref="I8:L8"/>
    <mergeCell ref="I9:L9"/>
    <mergeCell ref="I10:L10"/>
    <mergeCell ref="I26:L26"/>
    <mergeCell ref="I27:L27"/>
    <mergeCell ref="A1:L3"/>
    <mergeCell ref="A4:L4"/>
    <mergeCell ref="A5:A6"/>
    <mergeCell ref="B5:B6"/>
    <mergeCell ref="C5:C6"/>
    <mergeCell ref="D5:E5"/>
    <mergeCell ref="F5:G5"/>
    <mergeCell ref="H5:H6"/>
    <mergeCell ref="I5:L5"/>
    <mergeCell ref="I56:I57"/>
    <mergeCell ref="J56:J57"/>
    <mergeCell ref="K56:K57"/>
    <mergeCell ref="L56:L57"/>
    <mergeCell ref="D58:D59"/>
    <mergeCell ref="E58:E59"/>
    <mergeCell ref="I32:L32"/>
    <mergeCell ref="I47:L47"/>
    <mergeCell ref="A55:G55"/>
    <mergeCell ref="H55:H57"/>
    <mergeCell ref="I55:L55"/>
    <mergeCell ref="A56:A57"/>
    <mergeCell ref="B56:B57"/>
    <mergeCell ref="C56:C57"/>
    <mergeCell ref="D56:E56"/>
    <mergeCell ref="F56:G56"/>
    <mergeCell ref="D92:D103"/>
    <mergeCell ref="E92:E103"/>
    <mergeCell ref="D104:D106"/>
    <mergeCell ref="E104:E106"/>
    <mergeCell ref="D108:D109"/>
    <mergeCell ref="E108:E109"/>
    <mergeCell ref="D61:D66"/>
    <mergeCell ref="E61:E66"/>
    <mergeCell ref="D67:D73"/>
    <mergeCell ref="E67:E73"/>
    <mergeCell ref="D74:D91"/>
    <mergeCell ref="E74:E91"/>
    <mergeCell ref="I115:I116"/>
    <mergeCell ref="J115:J116"/>
    <mergeCell ref="K115:K116"/>
    <mergeCell ref="L115:L116"/>
    <mergeCell ref="I117:L117"/>
    <mergeCell ref="I118:L118"/>
    <mergeCell ref="D110:D113"/>
    <mergeCell ref="E110:E113"/>
    <mergeCell ref="A114:G114"/>
    <mergeCell ref="H114:H116"/>
    <mergeCell ref="I114:L114"/>
    <mergeCell ref="A115:A116"/>
    <mergeCell ref="B115:B116"/>
    <mergeCell ref="C115:C116"/>
    <mergeCell ref="D115:E115"/>
    <mergeCell ref="F115:G115"/>
    <mergeCell ref="A129:G129"/>
    <mergeCell ref="H129:H131"/>
    <mergeCell ref="I129:L129"/>
    <mergeCell ref="A130:A131"/>
    <mergeCell ref="B130:B131"/>
    <mergeCell ref="C130:C131"/>
    <mergeCell ref="D130:E130"/>
    <mergeCell ref="F130:G131"/>
    <mergeCell ref="I130:I131"/>
    <mergeCell ref="J130:J131"/>
    <mergeCell ref="F136:G136"/>
    <mergeCell ref="F137:G137"/>
    <mergeCell ref="F138:G138"/>
    <mergeCell ref="F139:G139"/>
    <mergeCell ref="F140:G140"/>
    <mergeCell ref="F141:G141"/>
    <mergeCell ref="K130:K131"/>
    <mergeCell ref="L130:L131"/>
    <mergeCell ref="F132:G132"/>
    <mergeCell ref="F133:G133"/>
    <mergeCell ref="F134:G134"/>
    <mergeCell ref="F135:G135"/>
    <mergeCell ref="F148:G148"/>
    <mergeCell ref="F149:G149"/>
    <mergeCell ref="F150:G150"/>
    <mergeCell ref="F151:G151"/>
    <mergeCell ref="F152:G152"/>
    <mergeCell ref="F153:G153"/>
    <mergeCell ref="F142:G142"/>
    <mergeCell ref="F143:G143"/>
    <mergeCell ref="F144:G144"/>
    <mergeCell ref="F145:G145"/>
    <mergeCell ref="F146:G146"/>
    <mergeCell ref="F147:G147"/>
    <mergeCell ref="J156:J157"/>
    <mergeCell ref="K156:K157"/>
    <mergeCell ref="L156:L157"/>
    <mergeCell ref="F158:G158"/>
    <mergeCell ref="F159:G159"/>
    <mergeCell ref="F160:G160"/>
    <mergeCell ref="F154:G154"/>
    <mergeCell ref="A155:G155"/>
    <mergeCell ref="H155:H157"/>
    <mergeCell ref="I155:L155"/>
    <mergeCell ref="A156:A157"/>
    <mergeCell ref="B156:B157"/>
    <mergeCell ref="C156:C157"/>
    <mergeCell ref="D156:E156"/>
    <mergeCell ref="F156:G156"/>
    <mergeCell ref="I156:I157"/>
    <mergeCell ref="F167:G167"/>
    <mergeCell ref="F168:G168"/>
    <mergeCell ref="F169:G169"/>
    <mergeCell ref="F170:G170"/>
    <mergeCell ref="F171:G171"/>
    <mergeCell ref="F172:G172"/>
    <mergeCell ref="F161:G161"/>
    <mergeCell ref="F162:G162"/>
    <mergeCell ref="F163:G163"/>
    <mergeCell ref="F164:G164"/>
    <mergeCell ref="F165:G165"/>
    <mergeCell ref="F166:G166"/>
  </mergeCells>
  <conditionalFormatting sqref="B1:B172">
    <cfRule type="duplicateValues" dxfId="5" priority="1"/>
    <cfRule type="duplicateValues" dxfId="4" priority="2"/>
  </conditionalFormatting>
  <pageMargins left="0.7" right="0.7" top="0.75" bottom="0.75" header="0.3" footer="0.3"/>
  <legacy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J172"/>
  <sheetViews>
    <sheetView topLeftCell="A112" workbookViewId="0">
      <selection activeCell="I118" sqref="I118:J118"/>
    </sheetView>
  </sheetViews>
  <sheetFormatPr defaultRowHeight="16.5" customHeight="1" x14ac:dyDescent="0.35"/>
  <cols>
    <col min="2" max="2" width="15.1796875" customWidth="1"/>
    <col min="3" max="3" width="16.81640625" customWidth="1"/>
  </cols>
  <sheetData>
    <row r="1" spans="1:10" ht="16.5" customHeight="1" x14ac:dyDescent="0.35">
      <c r="A1" s="203" t="s">
        <v>0</v>
      </c>
      <c r="B1" s="204"/>
      <c r="C1" s="204"/>
      <c r="D1" s="204"/>
      <c r="E1" s="204"/>
      <c r="F1" s="204"/>
      <c r="G1" s="204"/>
      <c r="H1" s="204"/>
      <c r="I1" s="204"/>
      <c r="J1" s="204"/>
    </row>
    <row r="2" spans="1:10" ht="16.5" customHeight="1" x14ac:dyDescent="0.35">
      <c r="A2" s="203"/>
      <c r="B2" s="204"/>
      <c r="C2" s="204"/>
      <c r="D2" s="204"/>
      <c r="E2" s="204"/>
      <c r="F2" s="204"/>
      <c r="G2" s="204"/>
      <c r="H2" s="204"/>
      <c r="I2" s="204"/>
      <c r="J2" s="204"/>
    </row>
    <row r="3" spans="1:10" ht="16.5" customHeight="1" x14ac:dyDescent="0.35">
      <c r="A3" s="203"/>
      <c r="B3" s="204"/>
      <c r="C3" s="204"/>
      <c r="D3" s="204"/>
      <c r="E3" s="204"/>
      <c r="F3" s="204"/>
      <c r="G3" s="204"/>
      <c r="H3" s="204"/>
      <c r="I3" s="204"/>
      <c r="J3" s="204"/>
    </row>
    <row r="4" spans="1:10" ht="24.75" customHeight="1" x14ac:dyDescent="0.35">
      <c r="A4" s="313" t="s">
        <v>547</v>
      </c>
      <c r="B4" s="314"/>
      <c r="C4" s="314"/>
      <c r="D4" s="314"/>
      <c r="E4" s="314"/>
      <c r="F4" s="314"/>
      <c r="G4" s="314"/>
      <c r="H4" s="314"/>
      <c r="I4" s="314"/>
      <c r="J4" s="314"/>
    </row>
    <row r="5" spans="1:10" ht="16.5" customHeight="1" x14ac:dyDescent="0.35">
      <c r="A5" s="287" t="s">
        <v>2</v>
      </c>
      <c r="B5" s="287" t="s">
        <v>3</v>
      </c>
      <c r="C5" s="287" t="s">
        <v>4</v>
      </c>
      <c r="D5" s="287" t="s">
        <v>5</v>
      </c>
      <c r="E5" s="287"/>
      <c r="F5" s="287" t="s">
        <v>6</v>
      </c>
      <c r="G5" s="287"/>
      <c r="H5" s="287" t="s">
        <v>7</v>
      </c>
      <c r="I5" s="315" t="s">
        <v>334</v>
      </c>
      <c r="J5" s="315"/>
    </row>
    <row r="6" spans="1:10" ht="16.5" customHeight="1" x14ac:dyDescent="0.35">
      <c r="A6" s="287"/>
      <c r="B6" s="287"/>
      <c r="C6" s="287"/>
      <c r="D6" s="11" t="s">
        <v>9</v>
      </c>
      <c r="E6" s="11" t="s">
        <v>10</v>
      </c>
      <c r="F6" s="11" t="s">
        <v>11</v>
      </c>
      <c r="G6" s="11" t="s">
        <v>12</v>
      </c>
      <c r="H6" s="287"/>
      <c r="I6" s="41">
        <v>0.34</v>
      </c>
      <c r="J6" s="41">
        <v>0.03</v>
      </c>
    </row>
    <row r="7" spans="1:10" ht="16.5" customHeight="1" x14ac:dyDescent="0.35">
      <c r="A7" s="6">
        <v>1</v>
      </c>
      <c r="B7" s="4" t="s">
        <v>13</v>
      </c>
      <c r="C7" s="12" t="s">
        <v>14</v>
      </c>
      <c r="D7" s="2">
        <v>0.5</v>
      </c>
      <c r="E7" s="2">
        <v>0.37</v>
      </c>
      <c r="F7" s="2">
        <v>25</v>
      </c>
      <c r="G7" s="2">
        <v>25</v>
      </c>
      <c r="H7" s="13">
        <v>2640</v>
      </c>
      <c r="I7" s="297">
        <f>H7*0.63</f>
        <v>1663.2</v>
      </c>
      <c r="J7" s="297"/>
    </row>
    <row r="8" spans="1:10" ht="16.5" customHeight="1" x14ac:dyDescent="0.35">
      <c r="A8" s="6">
        <v>2</v>
      </c>
      <c r="B8" s="4" t="s">
        <v>15</v>
      </c>
      <c r="C8" s="12" t="s">
        <v>16</v>
      </c>
      <c r="D8" s="2">
        <v>1</v>
      </c>
      <c r="E8" s="2">
        <v>0.75</v>
      </c>
      <c r="F8" s="2">
        <v>25</v>
      </c>
      <c r="G8" s="2">
        <v>25</v>
      </c>
      <c r="H8" s="13">
        <v>3420</v>
      </c>
      <c r="I8" s="297">
        <f>H8*0.63</f>
        <v>2154.6</v>
      </c>
      <c r="J8" s="297"/>
    </row>
    <row r="9" spans="1:10" ht="16.5" customHeight="1" x14ac:dyDescent="0.35">
      <c r="A9" s="4">
        <v>3</v>
      </c>
      <c r="B9" s="4" t="s">
        <v>17</v>
      </c>
      <c r="C9" s="12" t="s">
        <v>18</v>
      </c>
      <c r="D9" s="2">
        <v>0.5</v>
      </c>
      <c r="E9" s="2">
        <v>0.37</v>
      </c>
      <c r="F9" s="2">
        <v>25</v>
      </c>
      <c r="G9" s="2">
        <v>25</v>
      </c>
      <c r="H9" s="13">
        <v>2840</v>
      </c>
      <c r="I9" s="297">
        <f>H9*0.63</f>
        <v>1789.2</v>
      </c>
      <c r="J9" s="297"/>
    </row>
    <row r="10" spans="1:10" ht="16.5" customHeight="1" x14ac:dyDescent="0.35">
      <c r="A10" s="6">
        <v>4</v>
      </c>
      <c r="B10" s="4" t="s">
        <v>19</v>
      </c>
      <c r="C10" s="12" t="s">
        <v>20</v>
      </c>
      <c r="D10" s="2">
        <v>1</v>
      </c>
      <c r="E10" s="2">
        <v>0.75</v>
      </c>
      <c r="F10" s="2">
        <v>25</v>
      </c>
      <c r="G10" s="2">
        <v>25</v>
      </c>
      <c r="H10" s="13">
        <v>3660</v>
      </c>
      <c r="I10" s="297">
        <f>H10*0.63</f>
        <v>2305.8000000000002</v>
      </c>
      <c r="J10" s="297"/>
    </row>
    <row r="11" spans="1:10" ht="16.5" customHeight="1" x14ac:dyDescent="0.35">
      <c r="A11" s="6">
        <v>5</v>
      </c>
      <c r="B11" s="6" t="s">
        <v>21</v>
      </c>
      <c r="C11" s="14" t="s">
        <v>22</v>
      </c>
      <c r="D11" s="2">
        <v>0.5</v>
      </c>
      <c r="E11" s="2">
        <v>0.37</v>
      </c>
      <c r="F11" s="2">
        <v>25</v>
      </c>
      <c r="G11" s="2">
        <v>25</v>
      </c>
      <c r="H11" s="8">
        <v>3160</v>
      </c>
      <c r="I11" s="26">
        <f>H11*0.66</f>
        <v>2085.6</v>
      </c>
      <c r="J11" s="26">
        <f>I11*0.97</f>
        <v>2023.0319999999999</v>
      </c>
    </row>
    <row r="12" spans="1:10" ht="16.5" customHeight="1" x14ac:dyDescent="0.35">
      <c r="A12" s="6">
        <v>6</v>
      </c>
      <c r="B12" s="6" t="s">
        <v>23</v>
      </c>
      <c r="C12" s="14" t="s">
        <v>24</v>
      </c>
      <c r="D12" s="2">
        <v>1</v>
      </c>
      <c r="E12" s="2">
        <v>0.75</v>
      </c>
      <c r="F12" s="2">
        <v>25</v>
      </c>
      <c r="G12" s="2">
        <v>25</v>
      </c>
      <c r="H12" s="8">
        <v>4120</v>
      </c>
      <c r="I12" s="26">
        <f t="shared" ref="I12:I25" si="0">H12*0.66</f>
        <v>2719.2000000000003</v>
      </c>
      <c r="J12" s="26">
        <f t="shared" ref="J12:J25" si="1">I12*0.97</f>
        <v>2637.6240000000003</v>
      </c>
    </row>
    <row r="13" spans="1:10" ht="16.5" customHeight="1" x14ac:dyDescent="0.35">
      <c r="A13" s="4">
        <v>7</v>
      </c>
      <c r="B13" s="4" t="s">
        <v>25</v>
      </c>
      <c r="C13" s="12" t="s">
        <v>26</v>
      </c>
      <c r="D13" s="2">
        <v>1.5</v>
      </c>
      <c r="E13" s="2">
        <v>1</v>
      </c>
      <c r="F13" s="2">
        <v>25</v>
      </c>
      <c r="G13" s="2">
        <v>25</v>
      </c>
      <c r="H13" s="8">
        <v>5750</v>
      </c>
      <c r="I13" s="26">
        <f t="shared" si="0"/>
        <v>3795</v>
      </c>
      <c r="J13" s="26">
        <f t="shared" si="1"/>
        <v>3681.15</v>
      </c>
    </row>
    <row r="14" spans="1:10" ht="16.5" customHeight="1" x14ac:dyDescent="0.35">
      <c r="A14" s="6">
        <v>8</v>
      </c>
      <c r="B14" s="6" t="s">
        <v>27</v>
      </c>
      <c r="C14" s="14" t="s">
        <v>28</v>
      </c>
      <c r="D14" s="2">
        <v>0.5</v>
      </c>
      <c r="E14" s="2">
        <v>0.37</v>
      </c>
      <c r="F14" s="2">
        <v>25</v>
      </c>
      <c r="G14" s="2">
        <v>25</v>
      </c>
      <c r="H14" s="8">
        <v>3520</v>
      </c>
      <c r="I14" s="26">
        <f t="shared" si="0"/>
        <v>2323.2000000000003</v>
      </c>
      <c r="J14" s="26">
        <f t="shared" si="1"/>
        <v>2253.5040000000004</v>
      </c>
    </row>
    <row r="15" spans="1:10" ht="16.5" customHeight="1" x14ac:dyDescent="0.35">
      <c r="A15" s="6">
        <v>9</v>
      </c>
      <c r="B15" s="4" t="s">
        <v>29</v>
      </c>
      <c r="C15" s="15" t="s">
        <v>30</v>
      </c>
      <c r="D15" s="2">
        <v>1</v>
      </c>
      <c r="E15" s="2">
        <v>0.75</v>
      </c>
      <c r="F15" s="2">
        <v>25</v>
      </c>
      <c r="G15" s="2">
        <v>25</v>
      </c>
      <c r="H15" s="8">
        <v>3660</v>
      </c>
      <c r="I15" s="26">
        <f t="shared" si="0"/>
        <v>2415.6</v>
      </c>
      <c r="J15" s="26">
        <f t="shared" si="1"/>
        <v>2343.1320000000001</v>
      </c>
    </row>
    <row r="16" spans="1:10" ht="16.5" customHeight="1" x14ac:dyDescent="0.35">
      <c r="A16" s="6">
        <v>10</v>
      </c>
      <c r="B16" s="4" t="s">
        <v>31</v>
      </c>
      <c r="C16" s="12" t="s">
        <v>32</v>
      </c>
      <c r="D16" s="2">
        <v>1</v>
      </c>
      <c r="E16" s="2">
        <v>0.75</v>
      </c>
      <c r="F16" s="2">
        <v>25</v>
      </c>
      <c r="G16" s="2">
        <v>25</v>
      </c>
      <c r="H16" s="8">
        <v>4220</v>
      </c>
      <c r="I16" s="26">
        <f t="shared" si="0"/>
        <v>2785.2000000000003</v>
      </c>
      <c r="J16" s="26">
        <f t="shared" si="1"/>
        <v>2701.6440000000002</v>
      </c>
    </row>
    <row r="17" spans="1:10" ht="16.5" customHeight="1" x14ac:dyDescent="0.35">
      <c r="A17" s="4">
        <v>11</v>
      </c>
      <c r="B17" s="6" t="s">
        <v>33</v>
      </c>
      <c r="C17" s="14" t="s">
        <v>34</v>
      </c>
      <c r="D17" s="2">
        <v>0.75</v>
      </c>
      <c r="E17" s="2">
        <v>0.56000000000000005</v>
      </c>
      <c r="F17" s="2">
        <v>25</v>
      </c>
      <c r="G17" s="2">
        <v>25</v>
      </c>
      <c r="H17" s="8">
        <v>4080</v>
      </c>
      <c r="I17" s="26">
        <f t="shared" si="0"/>
        <v>2692.8</v>
      </c>
      <c r="J17" s="26">
        <f t="shared" si="1"/>
        <v>2612.0160000000001</v>
      </c>
    </row>
    <row r="18" spans="1:10" ht="16.5" customHeight="1" x14ac:dyDescent="0.35">
      <c r="A18" s="6">
        <v>12</v>
      </c>
      <c r="B18" s="4" t="s">
        <v>35</v>
      </c>
      <c r="C18" s="16" t="s">
        <v>36</v>
      </c>
      <c r="D18" s="2">
        <v>1</v>
      </c>
      <c r="E18" s="2">
        <v>0.75</v>
      </c>
      <c r="F18" s="2">
        <v>25</v>
      </c>
      <c r="G18" s="2">
        <v>25</v>
      </c>
      <c r="H18" s="8">
        <v>4730</v>
      </c>
      <c r="I18" s="26">
        <f t="shared" si="0"/>
        <v>3121.8</v>
      </c>
      <c r="J18" s="26">
        <f t="shared" si="1"/>
        <v>3028.1460000000002</v>
      </c>
    </row>
    <row r="19" spans="1:10" ht="16.5" customHeight="1" x14ac:dyDescent="0.35">
      <c r="A19" s="6">
        <v>13</v>
      </c>
      <c r="B19" s="4" t="s">
        <v>37</v>
      </c>
      <c r="C19" s="16" t="s">
        <v>38</v>
      </c>
      <c r="D19" s="2">
        <v>1</v>
      </c>
      <c r="E19" s="2">
        <v>0.75</v>
      </c>
      <c r="F19" s="2">
        <v>25</v>
      </c>
      <c r="G19" s="2">
        <v>25</v>
      </c>
      <c r="H19" s="8">
        <v>4730</v>
      </c>
      <c r="I19" s="26">
        <f t="shared" si="0"/>
        <v>3121.8</v>
      </c>
      <c r="J19" s="26">
        <f t="shared" si="1"/>
        <v>3028.1460000000002</v>
      </c>
    </row>
    <row r="20" spans="1:10" ht="16.5" customHeight="1" x14ac:dyDescent="0.35">
      <c r="A20" s="6">
        <v>14</v>
      </c>
      <c r="B20" s="6" t="s">
        <v>39</v>
      </c>
      <c r="C20" s="14" t="s">
        <v>40</v>
      </c>
      <c r="D20" s="2">
        <v>1</v>
      </c>
      <c r="E20" s="2">
        <v>0.75</v>
      </c>
      <c r="F20" s="2">
        <v>25</v>
      </c>
      <c r="G20" s="2">
        <v>25</v>
      </c>
      <c r="H20" s="8">
        <v>5170</v>
      </c>
      <c r="I20" s="26">
        <f t="shared" si="0"/>
        <v>3412.2000000000003</v>
      </c>
      <c r="J20" s="26">
        <f t="shared" si="1"/>
        <v>3309.8340000000003</v>
      </c>
    </row>
    <row r="21" spans="1:10" ht="16.5" customHeight="1" x14ac:dyDescent="0.35">
      <c r="A21" s="4">
        <v>15</v>
      </c>
      <c r="B21" s="6" t="s">
        <v>41</v>
      </c>
      <c r="C21" s="14" t="s">
        <v>42</v>
      </c>
      <c r="D21" s="2">
        <v>1</v>
      </c>
      <c r="E21" s="2">
        <v>0.75</v>
      </c>
      <c r="F21" s="2">
        <v>25</v>
      </c>
      <c r="G21" s="2">
        <v>25</v>
      </c>
      <c r="H21" s="8">
        <v>4670</v>
      </c>
      <c r="I21" s="26">
        <f t="shared" si="0"/>
        <v>3082.2000000000003</v>
      </c>
      <c r="J21" s="26">
        <f t="shared" si="1"/>
        <v>2989.7340000000004</v>
      </c>
    </row>
    <row r="22" spans="1:10" ht="16.5" customHeight="1" x14ac:dyDescent="0.35">
      <c r="A22" s="6">
        <v>16</v>
      </c>
      <c r="B22" s="4" t="s">
        <v>43</v>
      </c>
      <c r="C22" s="12" t="s">
        <v>44</v>
      </c>
      <c r="D22" s="2">
        <v>1.2</v>
      </c>
      <c r="E22" s="2">
        <v>0.9</v>
      </c>
      <c r="F22" s="2">
        <v>25</v>
      </c>
      <c r="G22" s="2">
        <v>25</v>
      </c>
      <c r="H22" s="8">
        <v>6650</v>
      </c>
      <c r="I22" s="26">
        <f t="shared" si="0"/>
        <v>4389</v>
      </c>
      <c r="J22" s="26">
        <f t="shared" si="1"/>
        <v>4257.33</v>
      </c>
    </row>
    <row r="23" spans="1:10" ht="16.5" customHeight="1" x14ac:dyDescent="0.35">
      <c r="A23" s="6">
        <v>17</v>
      </c>
      <c r="B23" s="6" t="s">
        <v>45</v>
      </c>
      <c r="C23" s="14" t="s">
        <v>46</v>
      </c>
      <c r="D23" s="2">
        <v>1.5</v>
      </c>
      <c r="E23" s="2">
        <v>1.1000000000000001</v>
      </c>
      <c r="F23" s="2">
        <v>25</v>
      </c>
      <c r="G23" s="2">
        <v>25</v>
      </c>
      <c r="H23" s="8">
        <v>8150</v>
      </c>
      <c r="I23" s="26">
        <f t="shared" si="0"/>
        <v>5379</v>
      </c>
      <c r="J23" s="26">
        <f t="shared" si="1"/>
        <v>5217.63</v>
      </c>
    </row>
    <row r="24" spans="1:10" ht="16.5" customHeight="1" x14ac:dyDescent="0.35">
      <c r="A24" s="6">
        <v>18</v>
      </c>
      <c r="B24" s="6" t="s">
        <v>47</v>
      </c>
      <c r="C24" s="14" t="s">
        <v>48</v>
      </c>
      <c r="D24" s="2">
        <v>2</v>
      </c>
      <c r="E24" s="2">
        <v>1.5</v>
      </c>
      <c r="F24" s="2">
        <v>25</v>
      </c>
      <c r="G24" s="2">
        <v>25</v>
      </c>
      <c r="H24" s="8">
        <v>9190</v>
      </c>
      <c r="I24" s="26">
        <f t="shared" si="0"/>
        <v>6065.4000000000005</v>
      </c>
      <c r="J24" s="26">
        <f t="shared" si="1"/>
        <v>5883.4380000000001</v>
      </c>
    </row>
    <row r="25" spans="1:10" ht="16.5" customHeight="1" x14ac:dyDescent="0.35">
      <c r="A25" s="4">
        <v>19</v>
      </c>
      <c r="B25" s="6" t="s">
        <v>49</v>
      </c>
      <c r="C25" s="14" t="s">
        <v>50</v>
      </c>
      <c r="D25" s="2">
        <v>0.5</v>
      </c>
      <c r="E25" s="2">
        <v>0.37</v>
      </c>
      <c r="F25" s="2">
        <v>25</v>
      </c>
      <c r="G25" s="2">
        <v>25</v>
      </c>
      <c r="H25" s="8">
        <v>3310</v>
      </c>
      <c r="I25" s="26">
        <f t="shared" si="0"/>
        <v>2184.6</v>
      </c>
      <c r="J25" s="26">
        <f t="shared" si="1"/>
        <v>2119.0619999999999</v>
      </c>
    </row>
    <row r="26" spans="1:10" ht="16.5" customHeight="1" x14ac:dyDescent="0.35">
      <c r="A26" s="6">
        <v>20</v>
      </c>
      <c r="B26" s="4" t="s">
        <v>51</v>
      </c>
      <c r="C26" s="12" t="s">
        <v>52</v>
      </c>
      <c r="D26" s="2">
        <v>0.5</v>
      </c>
      <c r="E26" s="2">
        <v>0.37</v>
      </c>
      <c r="F26" s="2">
        <v>25</v>
      </c>
      <c r="G26" s="2">
        <v>25</v>
      </c>
      <c r="H26" s="10">
        <v>4380</v>
      </c>
      <c r="I26" s="295">
        <f>H26*0.63</f>
        <v>2759.4</v>
      </c>
      <c r="J26" s="325"/>
    </row>
    <row r="27" spans="1:10" ht="16.5" customHeight="1" x14ac:dyDescent="0.35">
      <c r="A27" s="6">
        <v>21</v>
      </c>
      <c r="B27" s="4" t="s">
        <v>53</v>
      </c>
      <c r="C27" s="12" t="s">
        <v>54</v>
      </c>
      <c r="D27" s="2">
        <v>1</v>
      </c>
      <c r="E27" s="2">
        <v>0.75</v>
      </c>
      <c r="F27" s="2">
        <v>25</v>
      </c>
      <c r="G27" s="2">
        <v>25</v>
      </c>
      <c r="H27" s="10">
        <v>5300</v>
      </c>
      <c r="I27" s="295">
        <f>H27*0.63</f>
        <v>3339</v>
      </c>
      <c r="J27" s="325"/>
    </row>
    <row r="28" spans="1:10" ht="16.5" customHeight="1" x14ac:dyDescent="0.35">
      <c r="A28" s="6">
        <v>22</v>
      </c>
      <c r="B28" s="6" t="s">
        <v>55</v>
      </c>
      <c r="C28" s="14" t="s">
        <v>56</v>
      </c>
      <c r="D28" s="2">
        <v>1.1000000000000001</v>
      </c>
      <c r="E28" s="2">
        <v>0.8</v>
      </c>
      <c r="F28" s="2">
        <v>25</v>
      </c>
      <c r="G28" s="2">
        <v>25</v>
      </c>
      <c r="H28" s="8">
        <v>5040</v>
      </c>
      <c r="I28" s="26">
        <f t="shared" ref="I28" si="2">H28*0.66</f>
        <v>3326.4</v>
      </c>
      <c r="J28" s="26">
        <f t="shared" ref="J28" si="3">I28*0.97</f>
        <v>3226.6080000000002</v>
      </c>
    </row>
    <row r="29" spans="1:10" ht="16.5" customHeight="1" x14ac:dyDescent="0.35">
      <c r="A29" s="4">
        <v>23</v>
      </c>
      <c r="B29" s="6" t="s">
        <v>57</v>
      </c>
      <c r="C29" s="14" t="s">
        <v>58</v>
      </c>
      <c r="D29" s="2">
        <v>1.1000000000000001</v>
      </c>
      <c r="E29" s="2">
        <v>0.8</v>
      </c>
      <c r="F29" s="2">
        <v>25</v>
      </c>
      <c r="G29" s="2">
        <v>25</v>
      </c>
      <c r="H29" s="8">
        <v>5150</v>
      </c>
      <c r="I29" s="26">
        <f t="shared" ref="I29:I30" si="4">H29*0.7</f>
        <v>3604.9999999999995</v>
      </c>
      <c r="J29" s="26">
        <f t="shared" ref="J29:J30" si="5">I29*0.96</f>
        <v>3460.7999999999993</v>
      </c>
    </row>
    <row r="30" spans="1:10" ht="16.5" customHeight="1" x14ac:dyDescent="0.35">
      <c r="A30" s="6">
        <v>24</v>
      </c>
      <c r="B30" s="4" t="s">
        <v>59</v>
      </c>
      <c r="C30" s="16" t="s">
        <v>60</v>
      </c>
      <c r="D30" s="2">
        <v>1.25</v>
      </c>
      <c r="E30" s="2">
        <v>0.94</v>
      </c>
      <c r="F30" s="2">
        <v>25</v>
      </c>
      <c r="G30" s="2">
        <v>25</v>
      </c>
      <c r="H30" s="8">
        <v>6630</v>
      </c>
      <c r="I30" s="26">
        <f t="shared" si="4"/>
        <v>4641</v>
      </c>
      <c r="J30" s="26">
        <f t="shared" si="5"/>
        <v>4455.3599999999997</v>
      </c>
    </row>
    <row r="31" spans="1:10" ht="16.5" customHeight="1" x14ac:dyDescent="0.35">
      <c r="A31" s="6">
        <v>25</v>
      </c>
      <c r="B31" s="6" t="s">
        <v>61</v>
      </c>
      <c r="C31" s="14" t="s">
        <v>62</v>
      </c>
      <c r="D31" s="17">
        <v>0.5</v>
      </c>
      <c r="E31" s="17">
        <v>0.37</v>
      </c>
      <c r="F31" s="17">
        <v>25</v>
      </c>
      <c r="G31" s="17">
        <v>25</v>
      </c>
      <c r="H31" s="9">
        <v>4950</v>
      </c>
      <c r="I31" s="102">
        <f>H31*0.63</f>
        <v>3118.5</v>
      </c>
      <c r="J31" s="108"/>
    </row>
    <row r="32" spans="1:10" ht="16.5" customHeight="1" x14ac:dyDescent="0.35">
      <c r="A32" s="6">
        <v>26</v>
      </c>
      <c r="B32" s="6" t="s">
        <v>63</v>
      </c>
      <c r="C32" s="14" t="s">
        <v>64</v>
      </c>
      <c r="D32" s="17">
        <v>0.5</v>
      </c>
      <c r="E32" s="17">
        <v>0.37</v>
      </c>
      <c r="F32" s="17">
        <v>25</v>
      </c>
      <c r="G32" s="17">
        <v>25</v>
      </c>
      <c r="H32" s="9">
        <v>5000</v>
      </c>
      <c r="I32" s="295">
        <f>H32*0.63</f>
        <v>3150</v>
      </c>
      <c r="J32" s="325"/>
    </row>
    <row r="33" spans="1:10" ht="16.5" customHeight="1" x14ac:dyDescent="0.35">
      <c r="A33" s="4">
        <v>27</v>
      </c>
      <c r="B33" s="6" t="s">
        <v>65</v>
      </c>
      <c r="C33" s="14" t="s">
        <v>66</v>
      </c>
      <c r="D33" s="2">
        <v>1</v>
      </c>
      <c r="E33" s="2">
        <v>0.75</v>
      </c>
      <c r="F33" s="2">
        <v>25</v>
      </c>
      <c r="G33" s="2">
        <v>25</v>
      </c>
      <c r="H33" s="8">
        <v>5560</v>
      </c>
      <c r="I33" s="26">
        <f t="shared" ref="I33:I54" si="6">H33*0.66</f>
        <v>3669.6000000000004</v>
      </c>
      <c r="J33" s="26">
        <f t="shared" ref="J33:J54" si="7">I33*0.97</f>
        <v>3559.5120000000002</v>
      </c>
    </row>
    <row r="34" spans="1:10" ht="16.5" customHeight="1" x14ac:dyDescent="0.35">
      <c r="A34" s="6">
        <v>28</v>
      </c>
      <c r="B34" s="6" t="s">
        <v>67</v>
      </c>
      <c r="C34" s="14" t="s">
        <v>68</v>
      </c>
      <c r="D34" s="2">
        <v>1</v>
      </c>
      <c r="E34" s="2">
        <v>0.75</v>
      </c>
      <c r="F34" s="2">
        <v>25</v>
      </c>
      <c r="G34" s="2">
        <v>25</v>
      </c>
      <c r="H34" s="8">
        <v>5650</v>
      </c>
      <c r="I34" s="26">
        <f t="shared" si="6"/>
        <v>3729</v>
      </c>
      <c r="J34" s="26">
        <f t="shared" si="7"/>
        <v>3617.13</v>
      </c>
    </row>
    <row r="35" spans="1:10" ht="16.5" customHeight="1" x14ac:dyDescent="0.35">
      <c r="A35" s="6">
        <v>29</v>
      </c>
      <c r="B35" s="6" t="s">
        <v>69</v>
      </c>
      <c r="C35" s="14" t="s">
        <v>70</v>
      </c>
      <c r="D35" s="2">
        <v>1.5</v>
      </c>
      <c r="E35" s="2">
        <v>1.1000000000000001</v>
      </c>
      <c r="F35" s="2">
        <v>25</v>
      </c>
      <c r="G35" s="2">
        <v>25</v>
      </c>
      <c r="H35" s="8">
        <v>7840</v>
      </c>
      <c r="I35" s="26">
        <f t="shared" si="6"/>
        <v>5174.4000000000005</v>
      </c>
      <c r="J35" s="26">
        <f t="shared" si="7"/>
        <v>5019.1680000000006</v>
      </c>
    </row>
    <row r="36" spans="1:10" ht="16.5" customHeight="1" x14ac:dyDescent="0.35">
      <c r="A36" s="6">
        <v>30</v>
      </c>
      <c r="B36" s="6" t="s">
        <v>71</v>
      </c>
      <c r="C36" s="14" t="s">
        <v>72</v>
      </c>
      <c r="D36" s="2">
        <v>1.5</v>
      </c>
      <c r="E36" s="2">
        <v>1.1000000000000001</v>
      </c>
      <c r="F36" s="2">
        <v>25</v>
      </c>
      <c r="G36" s="2">
        <v>25</v>
      </c>
      <c r="H36" s="8">
        <v>8170</v>
      </c>
      <c r="I36" s="26">
        <f t="shared" si="6"/>
        <v>5392.2</v>
      </c>
      <c r="J36" s="26">
        <f t="shared" si="7"/>
        <v>5230.4339999999993</v>
      </c>
    </row>
    <row r="37" spans="1:10" ht="16.5" customHeight="1" x14ac:dyDescent="0.35">
      <c r="A37" s="4">
        <v>31</v>
      </c>
      <c r="B37" s="4" t="s">
        <v>73</v>
      </c>
      <c r="C37" s="12" t="s">
        <v>74</v>
      </c>
      <c r="D37" s="2">
        <v>0.5</v>
      </c>
      <c r="E37" s="2">
        <v>0.37</v>
      </c>
      <c r="F37" s="2">
        <v>25</v>
      </c>
      <c r="G37" s="2">
        <v>25</v>
      </c>
      <c r="H37" s="8">
        <v>6450</v>
      </c>
      <c r="I37" s="26">
        <f t="shared" si="6"/>
        <v>4257</v>
      </c>
      <c r="J37" s="26">
        <f t="shared" si="7"/>
        <v>4129.29</v>
      </c>
    </row>
    <row r="38" spans="1:10" ht="16.5" customHeight="1" x14ac:dyDescent="0.35">
      <c r="A38" s="6">
        <v>32</v>
      </c>
      <c r="B38" s="6" t="s">
        <v>75</v>
      </c>
      <c r="C38" s="14" t="s">
        <v>76</v>
      </c>
      <c r="D38" s="3">
        <v>0.9</v>
      </c>
      <c r="E38" s="3">
        <v>0.7</v>
      </c>
      <c r="F38" s="3">
        <v>25</v>
      </c>
      <c r="G38" s="3">
        <v>25</v>
      </c>
      <c r="H38" s="8">
        <v>6640</v>
      </c>
      <c r="I38" s="26">
        <f t="shared" si="6"/>
        <v>4382.4000000000005</v>
      </c>
      <c r="J38" s="26">
        <f t="shared" si="7"/>
        <v>4250.9280000000008</v>
      </c>
    </row>
    <row r="39" spans="1:10" ht="16.5" customHeight="1" x14ac:dyDescent="0.35">
      <c r="A39" s="6">
        <v>33</v>
      </c>
      <c r="B39" s="6" t="s">
        <v>77</v>
      </c>
      <c r="C39" s="14" t="s">
        <v>78</v>
      </c>
      <c r="D39" s="3">
        <v>1</v>
      </c>
      <c r="E39" s="3">
        <v>0.75</v>
      </c>
      <c r="F39" s="3">
        <v>25</v>
      </c>
      <c r="G39" s="3">
        <v>25</v>
      </c>
      <c r="H39" s="8">
        <v>7100</v>
      </c>
      <c r="I39" s="26">
        <f t="shared" si="6"/>
        <v>4686</v>
      </c>
      <c r="J39" s="26">
        <f t="shared" si="7"/>
        <v>4545.42</v>
      </c>
    </row>
    <row r="40" spans="1:10" ht="16.5" customHeight="1" x14ac:dyDescent="0.35">
      <c r="A40" s="6">
        <v>34</v>
      </c>
      <c r="B40" s="4" t="s">
        <v>79</v>
      </c>
      <c r="C40" s="15" t="s">
        <v>80</v>
      </c>
      <c r="D40" s="3">
        <v>0.5</v>
      </c>
      <c r="E40" s="3">
        <v>0.37</v>
      </c>
      <c r="F40" s="3">
        <v>25</v>
      </c>
      <c r="G40" s="3">
        <v>25</v>
      </c>
      <c r="H40" s="8">
        <v>5500</v>
      </c>
      <c r="I40" s="26">
        <f t="shared" si="6"/>
        <v>3630</v>
      </c>
      <c r="J40" s="26">
        <f t="shared" si="7"/>
        <v>3521.1</v>
      </c>
    </row>
    <row r="41" spans="1:10" ht="16.5" customHeight="1" x14ac:dyDescent="0.35">
      <c r="A41" s="4">
        <v>35</v>
      </c>
      <c r="B41" s="4"/>
      <c r="C41" s="15" t="s">
        <v>81</v>
      </c>
      <c r="D41" s="3">
        <v>1</v>
      </c>
      <c r="E41" s="3">
        <v>0.75</v>
      </c>
      <c r="F41" s="3">
        <v>25</v>
      </c>
      <c r="G41" s="3">
        <v>25</v>
      </c>
      <c r="H41" s="8">
        <v>6200</v>
      </c>
      <c r="I41" s="26">
        <f t="shared" si="6"/>
        <v>4092</v>
      </c>
      <c r="J41" s="26">
        <f t="shared" si="7"/>
        <v>3969.24</v>
      </c>
    </row>
    <row r="42" spans="1:10" ht="16.5" customHeight="1" x14ac:dyDescent="0.35">
      <c r="A42" s="6">
        <v>36</v>
      </c>
      <c r="B42" s="4" t="s">
        <v>82</v>
      </c>
      <c r="C42" s="12" t="s">
        <v>83</v>
      </c>
      <c r="D42" s="1">
        <v>0.5</v>
      </c>
      <c r="E42" s="1">
        <v>0.37</v>
      </c>
      <c r="F42" s="1">
        <v>25</v>
      </c>
      <c r="G42" s="1">
        <v>25</v>
      </c>
      <c r="H42" s="8">
        <v>7140</v>
      </c>
      <c r="I42" s="26">
        <f t="shared" si="6"/>
        <v>4712.4000000000005</v>
      </c>
      <c r="J42" s="26">
        <f t="shared" si="7"/>
        <v>4571.0280000000002</v>
      </c>
    </row>
    <row r="43" spans="1:10" ht="16.5" customHeight="1" x14ac:dyDescent="0.35">
      <c r="A43" s="6">
        <v>37</v>
      </c>
      <c r="B43" s="6" t="s">
        <v>84</v>
      </c>
      <c r="C43" s="14" t="s">
        <v>85</v>
      </c>
      <c r="D43" s="1">
        <v>1.1000000000000001</v>
      </c>
      <c r="E43" s="1">
        <v>0.8</v>
      </c>
      <c r="F43" s="1">
        <v>25</v>
      </c>
      <c r="G43" s="1">
        <v>25</v>
      </c>
      <c r="H43" s="8">
        <v>7700</v>
      </c>
      <c r="I43" s="26">
        <f t="shared" si="6"/>
        <v>5082</v>
      </c>
      <c r="J43" s="26">
        <f t="shared" si="7"/>
        <v>4929.54</v>
      </c>
    </row>
    <row r="44" spans="1:10" ht="16.5" customHeight="1" x14ac:dyDescent="0.35">
      <c r="A44" s="6">
        <v>38</v>
      </c>
      <c r="B44" s="6" t="s">
        <v>86</v>
      </c>
      <c r="C44" s="14" t="s">
        <v>87</v>
      </c>
      <c r="D44" s="1">
        <v>1.5</v>
      </c>
      <c r="E44" s="1">
        <v>1.1000000000000001</v>
      </c>
      <c r="F44" s="1">
        <v>25</v>
      </c>
      <c r="G44" s="1">
        <v>25</v>
      </c>
      <c r="H44" s="8">
        <v>8690</v>
      </c>
      <c r="I44" s="26">
        <f t="shared" si="6"/>
        <v>5735.4000000000005</v>
      </c>
      <c r="J44" s="26">
        <f t="shared" si="7"/>
        <v>5563.3380000000006</v>
      </c>
    </row>
    <row r="45" spans="1:10" ht="16.5" customHeight="1" x14ac:dyDescent="0.35">
      <c r="A45" s="4">
        <v>39</v>
      </c>
      <c r="B45" s="4" t="s">
        <v>88</v>
      </c>
      <c r="C45" s="12" t="s">
        <v>89</v>
      </c>
      <c r="D45" s="2">
        <v>0.5</v>
      </c>
      <c r="E45" s="2">
        <v>0.37</v>
      </c>
      <c r="F45" s="2">
        <v>25</v>
      </c>
      <c r="G45" s="2">
        <v>12</v>
      </c>
      <c r="H45" s="8">
        <v>4860</v>
      </c>
      <c r="I45" s="26">
        <f t="shared" si="6"/>
        <v>3207.6000000000004</v>
      </c>
      <c r="J45" s="26">
        <f t="shared" si="7"/>
        <v>3111.3720000000003</v>
      </c>
    </row>
    <row r="46" spans="1:10" ht="16.5" customHeight="1" x14ac:dyDescent="0.35">
      <c r="A46" s="6">
        <v>40</v>
      </c>
      <c r="B46" s="4" t="s">
        <v>90</v>
      </c>
      <c r="C46" s="12" t="s">
        <v>91</v>
      </c>
      <c r="D46" s="2">
        <v>1</v>
      </c>
      <c r="E46" s="2">
        <v>0.75</v>
      </c>
      <c r="F46" s="2">
        <v>25</v>
      </c>
      <c r="G46" s="2">
        <v>25</v>
      </c>
      <c r="H46" s="8">
        <v>5600</v>
      </c>
      <c r="I46" s="26">
        <f t="shared" si="6"/>
        <v>3696</v>
      </c>
      <c r="J46" s="26">
        <f t="shared" si="7"/>
        <v>3585.12</v>
      </c>
    </row>
    <row r="47" spans="1:10" ht="16.5" customHeight="1" x14ac:dyDescent="0.35">
      <c r="A47" s="6">
        <v>41</v>
      </c>
      <c r="B47" s="6" t="s">
        <v>92</v>
      </c>
      <c r="C47" s="14" t="s">
        <v>93</v>
      </c>
      <c r="D47" s="17">
        <v>1</v>
      </c>
      <c r="E47" s="17">
        <v>0.75</v>
      </c>
      <c r="F47" s="17">
        <v>25</v>
      </c>
      <c r="G47" s="17">
        <v>25</v>
      </c>
      <c r="H47" s="9">
        <v>8420</v>
      </c>
      <c r="I47" s="295">
        <f>H47*0.63</f>
        <v>5304.6</v>
      </c>
      <c r="J47" s="325"/>
    </row>
    <row r="48" spans="1:10" ht="16.5" customHeight="1" x14ac:dyDescent="0.35">
      <c r="A48" s="6">
        <v>42</v>
      </c>
      <c r="B48" s="6" t="s">
        <v>94</v>
      </c>
      <c r="C48" s="14" t="s">
        <v>95</v>
      </c>
      <c r="D48" s="2">
        <v>1.1000000000000001</v>
      </c>
      <c r="E48" s="2">
        <v>0.8</v>
      </c>
      <c r="F48" s="2">
        <v>25</v>
      </c>
      <c r="G48" s="2">
        <v>25</v>
      </c>
      <c r="H48" s="8">
        <v>12020</v>
      </c>
      <c r="I48" s="26">
        <f t="shared" si="6"/>
        <v>7933.2000000000007</v>
      </c>
      <c r="J48" s="26">
        <f t="shared" si="7"/>
        <v>7695.2040000000006</v>
      </c>
    </row>
    <row r="49" spans="1:10" ht="16.5" customHeight="1" x14ac:dyDescent="0.35">
      <c r="A49" s="4">
        <v>43</v>
      </c>
      <c r="B49" s="4" t="s">
        <v>96</v>
      </c>
      <c r="C49" s="12" t="s">
        <v>97</v>
      </c>
      <c r="D49" s="2">
        <v>0.5</v>
      </c>
      <c r="E49" s="2">
        <v>0.37</v>
      </c>
      <c r="F49" s="2">
        <v>25</v>
      </c>
      <c r="G49" s="2">
        <v>25</v>
      </c>
      <c r="H49" s="8">
        <v>7530</v>
      </c>
      <c r="I49" s="26">
        <f t="shared" si="6"/>
        <v>4969.8</v>
      </c>
      <c r="J49" s="26">
        <f t="shared" si="7"/>
        <v>4820.7060000000001</v>
      </c>
    </row>
    <row r="50" spans="1:10" ht="16.5" customHeight="1" x14ac:dyDescent="0.35">
      <c r="A50" s="6">
        <v>44</v>
      </c>
      <c r="B50" s="4" t="s">
        <v>98</v>
      </c>
      <c r="C50" s="12" t="s">
        <v>99</v>
      </c>
      <c r="D50" s="2">
        <v>1</v>
      </c>
      <c r="E50" s="2">
        <v>0.75</v>
      </c>
      <c r="F50" s="2">
        <v>25</v>
      </c>
      <c r="G50" s="2">
        <v>25</v>
      </c>
      <c r="H50" s="8">
        <v>9150</v>
      </c>
      <c r="I50" s="26">
        <f t="shared" si="6"/>
        <v>6039</v>
      </c>
      <c r="J50" s="26">
        <f t="shared" si="7"/>
        <v>5857.83</v>
      </c>
    </row>
    <row r="51" spans="1:10" ht="16.5" customHeight="1" x14ac:dyDescent="0.35">
      <c r="A51" s="6">
        <v>45</v>
      </c>
      <c r="B51" s="4" t="s">
        <v>100</v>
      </c>
      <c r="C51" s="12" t="s">
        <v>101</v>
      </c>
      <c r="D51" s="2">
        <v>1</v>
      </c>
      <c r="E51" s="2">
        <v>0.75</v>
      </c>
      <c r="F51" s="2">
        <v>25</v>
      </c>
      <c r="G51" s="2">
        <v>25</v>
      </c>
      <c r="H51" s="5">
        <v>16800</v>
      </c>
      <c r="I51" s="26">
        <f t="shared" si="6"/>
        <v>11088</v>
      </c>
      <c r="J51" s="26">
        <f t="shared" si="7"/>
        <v>10755.36</v>
      </c>
    </row>
    <row r="52" spans="1:10" ht="16.5" customHeight="1" x14ac:dyDescent="0.35">
      <c r="A52" s="6">
        <v>46</v>
      </c>
      <c r="B52" s="6" t="s">
        <v>102</v>
      </c>
      <c r="C52" s="14" t="s">
        <v>103</v>
      </c>
      <c r="D52" s="2">
        <v>0.5</v>
      </c>
      <c r="E52" s="2">
        <v>0.37</v>
      </c>
      <c r="F52" s="2">
        <v>25</v>
      </c>
      <c r="G52" s="2">
        <v>25</v>
      </c>
      <c r="H52" s="8">
        <v>17760</v>
      </c>
      <c r="I52" s="26">
        <f t="shared" si="6"/>
        <v>11721.6</v>
      </c>
      <c r="J52" s="26">
        <f t="shared" si="7"/>
        <v>11369.951999999999</v>
      </c>
    </row>
    <row r="53" spans="1:10" ht="16.5" customHeight="1" x14ac:dyDescent="0.35">
      <c r="A53" s="4">
        <v>47</v>
      </c>
      <c r="B53" s="6" t="s">
        <v>104</v>
      </c>
      <c r="C53" s="14" t="s">
        <v>105</v>
      </c>
      <c r="D53" s="2">
        <v>1</v>
      </c>
      <c r="E53" s="2">
        <v>0.75</v>
      </c>
      <c r="F53" s="2">
        <v>25</v>
      </c>
      <c r="G53" s="2">
        <v>25</v>
      </c>
      <c r="H53" s="8">
        <v>19120</v>
      </c>
      <c r="I53" s="26">
        <f t="shared" si="6"/>
        <v>12619.2</v>
      </c>
      <c r="J53" s="26">
        <f t="shared" si="7"/>
        <v>12240.624</v>
      </c>
    </row>
    <row r="54" spans="1:10" ht="16.5" customHeight="1" x14ac:dyDescent="0.35">
      <c r="A54" s="6">
        <v>48</v>
      </c>
      <c r="B54" s="6" t="s">
        <v>106</v>
      </c>
      <c r="C54" s="14" t="s">
        <v>107</v>
      </c>
      <c r="D54" s="2">
        <v>1.1000000000000001</v>
      </c>
      <c r="E54" s="2">
        <v>0.8</v>
      </c>
      <c r="F54" s="2">
        <v>25</v>
      </c>
      <c r="G54" s="2">
        <v>25</v>
      </c>
      <c r="H54" s="8">
        <v>20900</v>
      </c>
      <c r="I54" s="26">
        <f t="shared" si="6"/>
        <v>13794</v>
      </c>
      <c r="J54" s="26">
        <f t="shared" si="7"/>
        <v>13380.18</v>
      </c>
    </row>
    <row r="55" spans="1:10" ht="16.5" customHeight="1" x14ac:dyDescent="0.35">
      <c r="A55" s="267" t="s">
        <v>108</v>
      </c>
      <c r="B55" s="268"/>
      <c r="C55" s="268"/>
      <c r="D55" s="268"/>
      <c r="E55" s="268"/>
      <c r="F55" s="268"/>
      <c r="G55" s="269"/>
      <c r="H55" s="207" t="s">
        <v>109</v>
      </c>
      <c r="I55" s="315" t="s">
        <v>334</v>
      </c>
      <c r="J55" s="315"/>
    </row>
    <row r="56" spans="1:10" ht="16.5" customHeight="1" x14ac:dyDescent="0.35">
      <c r="A56" s="207" t="s">
        <v>2</v>
      </c>
      <c r="B56" s="287" t="s">
        <v>3</v>
      </c>
      <c r="C56" s="260" t="s">
        <v>4</v>
      </c>
      <c r="D56" s="209" t="s">
        <v>5</v>
      </c>
      <c r="E56" s="210"/>
      <c r="F56" s="209" t="s">
        <v>6</v>
      </c>
      <c r="G56" s="210"/>
      <c r="H56" s="259"/>
      <c r="I56" s="323">
        <v>0.34</v>
      </c>
      <c r="J56" s="323">
        <v>0.03</v>
      </c>
    </row>
    <row r="57" spans="1:10" ht="16.5" customHeight="1" x14ac:dyDescent="0.35">
      <c r="A57" s="208"/>
      <c r="B57" s="287"/>
      <c r="C57" s="261"/>
      <c r="D57" s="11" t="s">
        <v>9</v>
      </c>
      <c r="E57" s="11" t="s">
        <v>10</v>
      </c>
      <c r="F57" s="11" t="s">
        <v>11</v>
      </c>
      <c r="G57" s="11" t="s">
        <v>12</v>
      </c>
      <c r="H57" s="208"/>
      <c r="I57" s="324"/>
      <c r="J57" s="324"/>
    </row>
    <row r="58" spans="1:10" ht="16.5" customHeight="1" x14ac:dyDescent="0.35">
      <c r="A58" s="6">
        <v>1</v>
      </c>
      <c r="B58" s="6" t="s">
        <v>110</v>
      </c>
      <c r="C58" s="14" t="s">
        <v>111</v>
      </c>
      <c r="D58" s="303">
        <v>0.5</v>
      </c>
      <c r="E58" s="303">
        <v>0.37</v>
      </c>
      <c r="F58" s="2">
        <v>25</v>
      </c>
      <c r="G58" s="2">
        <v>25</v>
      </c>
      <c r="H58" s="8">
        <v>4680</v>
      </c>
      <c r="I58" s="26">
        <f t="shared" ref="I58:I113" si="8">H58*0.66</f>
        <v>3088.8</v>
      </c>
      <c r="J58" s="26">
        <f t="shared" ref="J58:J112" si="9">I58*0.97</f>
        <v>2996.136</v>
      </c>
    </row>
    <row r="59" spans="1:10" ht="16.5" customHeight="1" x14ac:dyDescent="0.35">
      <c r="A59" s="6">
        <v>2</v>
      </c>
      <c r="B59" s="6" t="s">
        <v>112</v>
      </c>
      <c r="C59" s="14" t="s">
        <v>113</v>
      </c>
      <c r="D59" s="303"/>
      <c r="E59" s="303"/>
      <c r="F59" s="2">
        <v>40</v>
      </c>
      <c r="G59" s="2">
        <v>40</v>
      </c>
      <c r="H59" s="8">
        <v>6430</v>
      </c>
      <c r="I59" s="26">
        <f t="shared" si="8"/>
        <v>4243.8</v>
      </c>
      <c r="J59" s="26">
        <f t="shared" si="9"/>
        <v>4116.4859999999999</v>
      </c>
    </row>
    <row r="60" spans="1:10" ht="16.5" customHeight="1" x14ac:dyDescent="0.35">
      <c r="A60" s="4">
        <v>3</v>
      </c>
      <c r="B60" s="4" t="s">
        <v>114</v>
      </c>
      <c r="C60" s="18" t="s">
        <v>115</v>
      </c>
      <c r="D60" s="2">
        <v>0.75</v>
      </c>
      <c r="E60" s="2">
        <v>0.56000000000000005</v>
      </c>
      <c r="F60" s="2">
        <v>40</v>
      </c>
      <c r="G60" s="2">
        <v>40</v>
      </c>
      <c r="H60" s="5">
        <v>6240</v>
      </c>
      <c r="I60" s="26">
        <f t="shared" si="8"/>
        <v>4118.4000000000005</v>
      </c>
      <c r="J60" s="26">
        <f t="shared" si="9"/>
        <v>3994.8480000000004</v>
      </c>
    </row>
    <row r="61" spans="1:10" ht="16.5" customHeight="1" x14ac:dyDescent="0.35">
      <c r="A61" s="6">
        <v>4</v>
      </c>
      <c r="B61" s="6" t="s">
        <v>116</v>
      </c>
      <c r="C61" s="14" t="s">
        <v>117</v>
      </c>
      <c r="D61" s="262">
        <v>1</v>
      </c>
      <c r="E61" s="262">
        <v>0.75</v>
      </c>
      <c r="F61" s="1">
        <v>25</v>
      </c>
      <c r="G61" s="1">
        <v>25</v>
      </c>
      <c r="H61" s="8">
        <v>7572</v>
      </c>
      <c r="I61" s="26">
        <f t="shared" si="8"/>
        <v>4997.5200000000004</v>
      </c>
      <c r="J61" s="26">
        <f t="shared" si="9"/>
        <v>4847.5944</v>
      </c>
    </row>
    <row r="62" spans="1:10" ht="16.5" customHeight="1" x14ac:dyDescent="0.35">
      <c r="A62" s="6">
        <v>5</v>
      </c>
      <c r="B62" s="6" t="s">
        <v>118</v>
      </c>
      <c r="C62" s="14" t="s">
        <v>119</v>
      </c>
      <c r="D62" s="266"/>
      <c r="E62" s="266"/>
      <c r="F62" s="1">
        <v>50</v>
      </c>
      <c r="G62" s="1">
        <v>50</v>
      </c>
      <c r="H62" s="8">
        <v>8900</v>
      </c>
      <c r="I62" s="26">
        <f t="shared" si="8"/>
        <v>5874</v>
      </c>
      <c r="J62" s="26">
        <f t="shared" si="9"/>
        <v>5697.78</v>
      </c>
    </row>
    <row r="63" spans="1:10" ht="16.5" customHeight="1" x14ac:dyDescent="0.35">
      <c r="A63" s="4">
        <v>6</v>
      </c>
      <c r="B63" s="6" t="s">
        <v>120</v>
      </c>
      <c r="C63" s="14" t="s">
        <v>121</v>
      </c>
      <c r="D63" s="266"/>
      <c r="E63" s="266"/>
      <c r="F63" s="1">
        <v>50</v>
      </c>
      <c r="G63" s="1">
        <v>50</v>
      </c>
      <c r="H63" s="5">
        <v>9100</v>
      </c>
      <c r="I63" s="26">
        <f t="shared" si="8"/>
        <v>6006</v>
      </c>
      <c r="J63" s="26">
        <f t="shared" si="9"/>
        <v>5825.82</v>
      </c>
    </row>
    <row r="64" spans="1:10" ht="16.5" customHeight="1" x14ac:dyDescent="0.35">
      <c r="A64" s="6">
        <v>7</v>
      </c>
      <c r="B64" s="4" t="s">
        <v>122</v>
      </c>
      <c r="C64" s="18" t="s">
        <v>123</v>
      </c>
      <c r="D64" s="266"/>
      <c r="E64" s="266"/>
      <c r="F64" s="1">
        <v>50</v>
      </c>
      <c r="G64" s="1">
        <v>50</v>
      </c>
      <c r="H64" s="5">
        <v>9000</v>
      </c>
      <c r="I64" s="26">
        <f t="shared" si="8"/>
        <v>5940</v>
      </c>
      <c r="J64" s="26">
        <f t="shared" si="9"/>
        <v>5761.8</v>
      </c>
    </row>
    <row r="65" spans="1:10" ht="16.5" customHeight="1" x14ac:dyDescent="0.35">
      <c r="A65" s="6">
        <v>8</v>
      </c>
      <c r="B65" s="4" t="s">
        <v>124</v>
      </c>
      <c r="C65" s="19" t="s">
        <v>125</v>
      </c>
      <c r="D65" s="266"/>
      <c r="E65" s="266"/>
      <c r="F65" s="1">
        <v>75</v>
      </c>
      <c r="G65" s="1">
        <v>75</v>
      </c>
      <c r="H65" s="8">
        <v>10000</v>
      </c>
      <c r="I65" s="26">
        <f t="shared" si="8"/>
        <v>6600</v>
      </c>
      <c r="J65" s="26">
        <f t="shared" si="9"/>
        <v>6402</v>
      </c>
    </row>
    <row r="66" spans="1:10" ht="16.5" customHeight="1" x14ac:dyDescent="0.35">
      <c r="A66" s="4">
        <v>9</v>
      </c>
      <c r="B66" s="4"/>
      <c r="C66" s="18" t="s">
        <v>126</v>
      </c>
      <c r="D66" s="263"/>
      <c r="E66" s="263"/>
      <c r="F66" s="1">
        <v>75</v>
      </c>
      <c r="G66" s="1">
        <v>75</v>
      </c>
      <c r="H66" s="5">
        <v>10200</v>
      </c>
      <c r="I66" s="26">
        <f t="shared" si="8"/>
        <v>6732</v>
      </c>
      <c r="J66" s="26">
        <f t="shared" si="9"/>
        <v>6530.04</v>
      </c>
    </row>
    <row r="67" spans="1:10" ht="16.5" customHeight="1" x14ac:dyDescent="0.35">
      <c r="A67" s="6">
        <v>10</v>
      </c>
      <c r="B67" s="4" t="s">
        <v>127</v>
      </c>
      <c r="C67" s="19" t="s">
        <v>128</v>
      </c>
      <c r="D67" s="262">
        <v>1.5</v>
      </c>
      <c r="E67" s="262">
        <v>1.1000000000000001</v>
      </c>
      <c r="F67" s="1">
        <v>50</v>
      </c>
      <c r="G67" s="1">
        <v>50</v>
      </c>
      <c r="H67" s="5">
        <v>10420</v>
      </c>
      <c r="I67" s="26">
        <f t="shared" si="8"/>
        <v>6877.2000000000007</v>
      </c>
      <c r="J67" s="26">
        <f t="shared" si="9"/>
        <v>6670.8840000000009</v>
      </c>
    </row>
    <row r="68" spans="1:10" ht="16.5" customHeight="1" x14ac:dyDescent="0.35">
      <c r="A68" s="6">
        <v>11</v>
      </c>
      <c r="B68" s="4" t="s">
        <v>129</v>
      </c>
      <c r="C68" s="18" t="s">
        <v>130</v>
      </c>
      <c r="D68" s="266"/>
      <c r="E68" s="266"/>
      <c r="F68" s="1">
        <v>50</v>
      </c>
      <c r="G68" s="1">
        <v>50</v>
      </c>
      <c r="H68" s="5">
        <v>10600</v>
      </c>
      <c r="I68" s="26">
        <f t="shared" si="8"/>
        <v>6996</v>
      </c>
      <c r="J68" s="26">
        <f t="shared" si="9"/>
        <v>6786.12</v>
      </c>
    </row>
    <row r="69" spans="1:10" ht="16.5" customHeight="1" x14ac:dyDescent="0.35">
      <c r="A69" s="4">
        <v>12</v>
      </c>
      <c r="B69" s="4" t="s">
        <v>131</v>
      </c>
      <c r="C69" s="19" t="s">
        <v>132</v>
      </c>
      <c r="D69" s="266"/>
      <c r="E69" s="266"/>
      <c r="F69" s="1">
        <v>65</v>
      </c>
      <c r="G69" s="1">
        <v>50</v>
      </c>
      <c r="H69" s="5">
        <v>10600</v>
      </c>
      <c r="I69" s="26">
        <f t="shared" si="8"/>
        <v>6996</v>
      </c>
      <c r="J69" s="26">
        <f t="shared" si="9"/>
        <v>6786.12</v>
      </c>
    </row>
    <row r="70" spans="1:10" ht="16.5" customHeight="1" x14ac:dyDescent="0.35">
      <c r="A70" s="6">
        <v>13</v>
      </c>
      <c r="B70" s="4" t="s">
        <v>133</v>
      </c>
      <c r="C70" s="18" t="s">
        <v>134</v>
      </c>
      <c r="D70" s="266"/>
      <c r="E70" s="266"/>
      <c r="F70" s="1">
        <v>65</v>
      </c>
      <c r="G70" s="1">
        <v>50</v>
      </c>
      <c r="H70" s="5">
        <v>10800</v>
      </c>
      <c r="I70" s="26">
        <f t="shared" si="8"/>
        <v>7128</v>
      </c>
      <c r="J70" s="26">
        <f t="shared" si="9"/>
        <v>6914.16</v>
      </c>
    </row>
    <row r="71" spans="1:10" ht="16.5" customHeight="1" x14ac:dyDescent="0.35">
      <c r="A71" s="6">
        <v>14</v>
      </c>
      <c r="B71" s="4" t="s">
        <v>135</v>
      </c>
      <c r="C71" s="19" t="s">
        <v>136</v>
      </c>
      <c r="D71" s="266"/>
      <c r="E71" s="266"/>
      <c r="F71" s="1">
        <v>75</v>
      </c>
      <c r="G71" s="1">
        <v>75</v>
      </c>
      <c r="H71" s="8">
        <v>11000</v>
      </c>
      <c r="I71" s="26">
        <f t="shared" si="8"/>
        <v>7260</v>
      </c>
      <c r="J71" s="26">
        <f t="shared" si="9"/>
        <v>7042.2</v>
      </c>
    </row>
    <row r="72" spans="1:10" ht="16.5" customHeight="1" x14ac:dyDescent="0.35">
      <c r="A72" s="4">
        <v>15</v>
      </c>
      <c r="B72" s="4" t="s">
        <v>137</v>
      </c>
      <c r="C72" s="18" t="s">
        <v>138</v>
      </c>
      <c r="D72" s="266"/>
      <c r="E72" s="266"/>
      <c r="F72" s="1">
        <v>75</v>
      </c>
      <c r="G72" s="1">
        <v>75</v>
      </c>
      <c r="H72" s="5">
        <v>11200</v>
      </c>
      <c r="I72" s="26">
        <f t="shared" si="8"/>
        <v>7392</v>
      </c>
      <c r="J72" s="26">
        <f t="shared" si="9"/>
        <v>7170.24</v>
      </c>
    </row>
    <row r="73" spans="1:10" ht="16.5" customHeight="1" x14ac:dyDescent="0.35">
      <c r="A73" s="6">
        <v>16</v>
      </c>
      <c r="B73" s="4" t="s">
        <v>139</v>
      </c>
      <c r="C73" s="18" t="s">
        <v>140</v>
      </c>
      <c r="D73" s="263"/>
      <c r="E73" s="263"/>
      <c r="F73" s="1">
        <v>75</v>
      </c>
      <c r="G73" s="1">
        <v>75</v>
      </c>
      <c r="H73" s="5">
        <v>11200</v>
      </c>
      <c r="I73" s="26">
        <f t="shared" si="8"/>
        <v>7392</v>
      </c>
      <c r="J73" s="26">
        <f t="shared" si="9"/>
        <v>7170.24</v>
      </c>
    </row>
    <row r="74" spans="1:10" ht="16.5" customHeight="1" x14ac:dyDescent="0.35">
      <c r="A74" s="6">
        <v>17</v>
      </c>
      <c r="B74" s="4" t="s">
        <v>141</v>
      </c>
      <c r="C74" s="19" t="s">
        <v>142</v>
      </c>
      <c r="D74" s="262">
        <v>2</v>
      </c>
      <c r="E74" s="262">
        <v>1.5</v>
      </c>
      <c r="F74" s="1">
        <v>50</v>
      </c>
      <c r="G74" s="1">
        <v>40</v>
      </c>
      <c r="H74" s="8">
        <v>15000</v>
      </c>
      <c r="I74" s="26">
        <f t="shared" si="8"/>
        <v>9900</v>
      </c>
      <c r="J74" s="26">
        <f t="shared" si="9"/>
        <v>9603</v>
      </c>
    </row>
    <row r="75" spans="1:10" ht="16.5" customHeight="1" x14ac:dyDescent="0.35">
      <c r="A75" s="4">
        <v>18</v>
      </c>
      <c r="B75" s="4" t="s">
        <v>143</v>
      </c>
      <c r="C75" s="18" t="s">
        <v>144</v>
      </c>
      <c r="D75" s="266"/>
      <c r="E75" s="266"/>
      <c r="F75" s="1">
        <v>50</v>
      </c>
      <c r="G75" s="1">
        <v>40</v>
      </c>
      <c r="H75" s="5">
        <v>15200</v>
      </c>
      <c r="I75" s="26">
        <f t="shared" si="8"/>
        <v>10032</v>
      </c>
      <c r="J75" s="26">
        <f t="shared" si="9"/>
        <v>9731.0399999999991</v>
      </c>
    </row>
    <row r="76" spans="1:10" ht="16.5" customHeight="1" x14ac:dyDescent="0.35">
      <c r="A76" s="6">
        <v>19</v>
      </c>
      <c r="B76" s="6" t="s">
        <v>145</v>
      </c>
      <c r="C76" s="14" t="s">
        <v>146</v>
      </c>
      <c r="D76" s="266"/>
      <c r="E76" s="266"/>
      <c r="F76" s="1">
        <v>50</v>
      </c>
      <c r="G76" s="1">
        <v>50</v>
      </c>
      <c r="H76" s="8">
        <v>13000</v>
      </c>
      <c r="I76" s="26">
        <f t="shared" si="8"/>
        <v>8580</v>
      </c>
      <c r="J76" s="26">
        <f t="shared" si="9"/>
        <v>8322.6</v>
      </c>
    </row>
    <row r="77" spans="1:10" ht="16.5" customHeight="1" x14ac:dyDescent="0.35">
      <c r="A77" s="6">
        <v>20</v>
      </c>
      <c r="B77" s="4" t="s">
        <v>147</v>
      </c>
      <c r="C77" s="18" t="s">
        <v>148</v>
      </c>
      <c r="D77" s="266"/>
      <c r="E77" s="266"/>
      <c r="F77" s="1">
        <v>50</v>
      </c>
      <c r="G77" s="1">
        <v>50</v>
      </c>
      <c r="H77" s="5">
        <v>13200</v>
      </c>
      <c r="I77" s="26">
        <f t="shared" si="8"/>
        <v>8712</v>
      </c>
      <c r="J77" s="26">
        <f t="shared" si="9"/>
        <v>8450.64</v>
      </c>
    </row>
    <row r="78" spans="1:10" ht="16.5" customHeight="1" x14ac:dyDescent="0.35">
      <c r="A78" s="4">
        <v>21</v>
      </c>
      <c r="B78" s="6" t="s">
        <v>149</v>
      </c>
      <c r="C78" s="14" t="s">
        <v>150</v>
      </c>
      <c r="D78" s="266"/>
      <c r="E78" s="266"/>
      <c r="F78" s="1">
        <v>65</v>
      </c>
      <c r="G78" s="1">
        <v>50</v>
      </c>
      <c r="H78" s="8">
        <v>13300</v>
      </c>
      <c r="I78" s="26">
        <f t="shared" si="8"/>
        <v>8778</v>
      </c>
      <c r="J78" s="26">
        <f t="shared" si="9"/>
        <v>8514.66</v>
      </c>
    </row>
    <row r="79" spans="1:10" ht="16.5" customHeight="1" x14ac:dyDescent="0.35">
      <c r="A79" s="6">
        <v>22</v>
      </c>
      <c r="B79" s="6" t="s">
        <v>151</v>
      </c>
      <c r="C79" s="14" t="s">
        <v>152</v>
      </c>
      <c r="D79" s="266"/>
      <c r="E79" s="266"/>
      <c r="F79" s="1">
        <v>65</v>
      </c>
      <c r="G79" s="1">
        <v>50</v>
      </c>
      <c r="H79" s="5">
        <v>13500</v>
      </c>
      <c r="I79" s="26">
        <f t="shared" si="8"/>
        <v>8910</v>
      </c>
      <c r="J79" s="26">
        <f t="shared" si="9"/>
        <v>8642.6999999999989</v>
      </c>
    </row>
    <row r="80" spans="1:10" ht="16.5" customHeight="1" x14ac:dyDescent="0.35">
      <c r="A80" s="6">
        <v>23</v>
      </c>
      <c r="B80" s="4" t="s">
        <v>153</v>
      </c>
      <c r="C80" s="18" t="s">
        <v>154</v>
      </c>
      <c r="D80" s="266"/>
      <c r="E80" s="266"/>
      <c r="F80" s="1">
        <v>65</v>
      </c>
      <c r="G80" s="1">
        <v>50</v>
      </c>
      <c r="H80" s="5">
        <v>13340</v>
      </c>
      <c r="I80" s="26">
        <f t="shared" si="8"/>
        <v>8804.4</v>
      </c>
      <c r="J80" s="26">
        <f t="shared" si="9"/>
        <v>8540.268</v>
      </c>
    </row>
    <row r="81" spans="1:10" ht="16.5" customHeight="1" x14ac:dyDescent="0.35">
      <c r="A81" s="4">
        <v>24</v>
      </c>
      <c r="B81" s="6"/>
      <c r="C81" s="14" t="s">
        <v>155</v>
      </c>
      <c r="D81" s="266"/>
      <c r="E81" s="266"/>
      <c r="F81" s="1">
        <v>65</v>
      </c>
      <c r="G81" s="1">
        <v>50</v>
      </c>
      <c r="H81" s="8">
        <v>13300</v>
      </c>
      <c r="I81" s="26">
        <f t="shared" si="8"/>
        <v>8778</v>
      </c>
      <c r="J81" s="26">
        <f t="shared" si="9"/>
        <v>8514.66</v>
      </c>
    </row>
    <row r="82" spans="1:10" ht="16.5" customHeight="1" x14ac:dyDescent="0.35">
      <c r="A82" s="6">
        <v>25</v>
      </c>
      <c r="B82" s="4" t="s">
        <v>156</v>
      </c>
      <c r="C82" s="18" t="s">
        <v>157</v>
      </c>
      <c r="D82" s="266"/>
      <c r="E82" s="266"/>
      <c r="F82" s="1">
        <v>75</v>
      </c>
      <c r="G82" s="1">
        <v>75</v>
      </c>
      <c r="H82" s="5">
        <v>13600</v>
      </c>
      <c r="I82" s="26">
        <f t="shared" si="8"/>
        <v>8976</v>
      </c>
      <c r="J82" s="26">
        <f t="shared" si="9"/>
        <v>8706.7199999999993</v>
      </c>
    </row>
    <row r="83" spans="1:10" ht="16.5" customHeight="1" x14ac:dyDescent="0.35">
      <c r="A83" s="6">
        <v>26</v>
      </c>
      <c r="B83" s="6" t="s">
        <v>158</v>
      </c>
      <c r="C83" s="14" t="s">
        <v>159</v>
      </c>
      <c r="D83" s="266"/>
      <c r="E83" s="266"/>
      <c r="F83" s="1">
        <v>75</v>
      </c>
      <c r="G83" s="1">
        <v>75</v>
      </c>
      <c r="H83" s="8">
        <v>13450</v>
      </c>
      <c r="I83" s="26">
        <f t="shared" si="8"/>
        <v>8877</v>
      </c>
      <c r="J83" s="26">
        <f t="shared" si="9"/>
        <v>8610.69</v>
      </c>
    </row>
    <row r="84" spans="1:10" ht="16.5" customHeight="1" x14ac:dyDescent="0.35">
      <c r="A84" s="4">
        <v>27</v>
      </c>
      <c r="B84" s="6" t="s">
        <v>160</v>
      </c>
      <c r="C84" s="14" t="s">
        <v>161</v>
      </c>
      <c r="D84" s="266"/>
      <c r="E84" s="266"/>
      <c r="F84" s="1">
        <v>75</v>
      </c>
      <c r="G84" s="1">
        <v>75</v>
      </c>
      <c r="H84" s="5">
        <v>13800</v>
      </c>
      <c r="I84" s="26">
        <f t="shared" si="8"/>
        <v>9108</v>
      </c>
      <c r="J84" s="26">
        <f t="shared" si="9"/>
        <v>8834.76</v>
      </c>
    </row>
    <row r="85" spans="1:10" ht="16.5" customHeight="1" x14ac:dyDescent="0.35">
      <c r="A85" s="6">
        <v>28</v>
      </c>
      <c r="B85" s="6" t="s">
        <v>162</v>
      </c>
      <c r="C85" s="14" t="s">
        <v>163</v>
      </c>
      <c r="D85" s="266"/>
      <c r="E85" s="266"/>
      <c r="F85" s="1">
        <v>75</v>
      </c>
      <c r="G85" s="1">
        <v>75</v>
      </c>
      <c r="H85" s="5">
        <v>14000</v>
      </c>
      <c r="I85" s="26">
        <f t="shared" si="8"/>
        <v>9240</v>
      </c>
      <c r="J85" s="26">
        <f t="shared" si="9"/>
        <v>8962.7999999999993</v>
      </c>
    </row>
    <row r="86" spans="1:10" ht="16.5" customHeight="1" x14ac:dyDescent="0.35">
      <c r="A86" s="6">
        <v>29</v>
      </c>
      <c r="B86" s="6" t="s">
        <v>164</v>
      </c>
      <c r="C86" s="14" t="s">
        <v>165</v>
      </c>
      <c r="D86" s="266"/>
      <c r="E86" s="266"/>
      <c r="F86" s="1">
        <v>75</v>
      </c>
      <c r="G86" s="1">
        <v>75</v>
      </c>
      <c r="H86" s="5">
        <v>14500</v>
      </c>
      <c r="I86" s="26">
        <f t="shared" si="8"/>
        <v>9570</v>
      </c>
      <c r="J86" s="26">
        <f t="shared" si="9"/>
        <v>9282.9</v>
      </c>
    </row>
    <row r="87" spans="1:10" ht="16.5" customHeight="1" x14ac:dyDescent="0.35">
      <c r="A87" s="4">
        <v>30</v>
      </c>
      <c r="B87" s="4" t="s">
        <v>166</v>
      </c>
      <c r="C87" s="18" t="s">
        <v>167</v>
      </c>
      <c r="D87" s="266"/>
      <c r="E87" s="266"/>
      <c r="F87" s="1">
        <v>75</v>
      </c>
      <c r="G87" s="1">
        <v>75</v>
      </c>
      <c r="H87" s="5">
        <v>13550</v>
      </c>
      <c r="I87" s="26">
        <f t="shared" si="8"/>
        <v>8943</v>
      </c>
      <c r="J87" s="26">
        <f t="shared" si="9"/>
        <v>8674.7099999999991</v>
      </c>
    </row>
    <row r="88" spans="1:10" ht="16.5" customHeight="1" x14ac:dyDescent="0.35">
      <c r="A88" s="6">
        <v>31</v>
      </c>
      <c r="B88" s="6" t="s">
        <v>168</v>
      </c>
      <c r="C88" s="14" t="s">
        <v>169</v>
      </c>
      <c r="D88" s="266"/>
      <c r="E88" s="266"/>
      <c r="F88" s="1">
        <v>75</v>
      </c>
      <c r="G88" s="1">
        <v>65</v>
      </c>
      <c r="H88" s="8">
        <v>13450</v>
      </c>
      <c r="I88" s="26">
        <f t="shared" si="8"/>
        <v>8877</v>
      </c>
      <c r="J88" s="26">
        <f t="shared" si="9"/>
        <v>8610.69</v>
      </c>
    </row>
    <row r="89" spans="1:10" ht="16.5" customHeight="1" x14ac:dyDescent="0.35">
      <c r="A89" s="6">
        <v>32</v>
      </c>
      <c r="B89" s="6" t="s">
        <v>170</v>
      </c>
      <c r="C89" s="14" t="s">
        <v>171</v>
      </c>
      <c r="D89" s="266"/>
      <c r="E89" s="266"/>
      <c r="F89" s="1">
        <v>75</v>
      </c>
      <c r="G89" s="1">
        <v>65</v>
      </c>
      <c r="H89" s="5">
        <v>13740</v>
      </c>
      <c r="I89" s="26">
        <f t="shared" si="8"/>
        <v>9068.4</v>
      </c>
      <c r="J89" s="26">
        <f t="shared" si="9"/>
        <v>8796.348</v>
      </c>
    </row>
    <row r="90" spans="1:10" ht="16.5" customHeight="1" x14ac:dyDescent="0.35">
      <c r="A90" s="4">
        <v>33</v>
      </c>
      <c r="B90" s="4"/>
      <c r="C90" s="19" t="s">
        <v>172</v>
      </c>
      <c r="D90" s="266"/>
      <c r="E90" s="266"/>
      <c r="F90" s="1">
        <v>100</v>
      </c>
      <c r="G90" s="1">
        <v>100</v>
      </c>
      <c r="H90" s="8">
        <v>15000</v>
      </c>
      <c r="I90" s="26">
        <f t="shared" si="8"/>
        <v>9900</v>
      </c>
      <c r="J90" s="26">
        <f t="shared" si="9"/>
        <v>9603</v>
      </c>
    </row>
    <row r="91" spans="1:10" ht="16.5" customHeight="1" x14ac:dyDescent="0.35">
      <c r="A91" s="6">
        <v>34</v>
      </c>
      <c r="B91" s="4"/>
      <c r="C91" s="18" t="s">
        <v>173</v>
      </c>
      <c r="D91" s="263"/>
      <c r="E91" s="263"/>
      <c r="F91" s="1">
        <v>100</v>
      </c>
      <c r="G91" s="1">
        <v>100</v>
      </c>
      <c r="H91" s="5">
        <v>15200</v>
      </c>
      <c r="I91" s="26">
        <f t="shared" si="8"/>
        <v>10032</v>
      </c>
      <c r="J91" s="26">
        <f t="shared" si="9"/>
        <v>9731.0399999999991</v>
      </c>
    </row>
    <row r="92" spans="1:10" ht="16.5" customHeight="1" x14ac:dyDescent="0.35">
      <c r="A92" s="6">
        <v>35</v>
      </c>
      <c r="B92" s="4"/>
      <c r="C92" s="19" t="s">
        <v>174</v>
      </c>
      <c r="D92" s="262">
        <v>3</v>
      </c>
      <c r="E92" s="262">
        <v>2.25</v>
      </c>
      <c r="F92" s="1">
        <v>50</v>
      </c>
      <c r="G92" s="1">
        <v>40</v>
      </c>
      <c r="H92" s="8">
        <v>18000</v>
      </c>
      <c r="I92" s="26">
        <f t="shared" si="8"/>
        <v>11880</v>
      </c>
      <c r="J92" s="26">
        <f t="shared" si="9"/>
        <v>11523.6</v>
      </c>
    </row>
    <row r="93" spans="1:10" ht="16.5" customHeight="1" x14ac:dyDescent="0.35">
      <c r="A93" s="4">
        <v>36</v>
      </c>
      <c r="B93" s="4" t="s">
        <v>175</v>
      </c>
      <c r="C93" s="18" t="s">
        <v>176</v>
      </c>
      <c r="D93" s="266"/>
      <c r="E93" s="266"/>
      <c r="F93" s="1">
        <v>50</v>
      </c>
      <c r="G93" s="1">
        <v>40</v>
      </c>
      <c r="H93" s="5">
        <v>18560</v>
      </c>
      <c r="I93" s="26">
        <f t="shared" si="8"/>
        <v>12249.6</v>
      </c>
      <c r="J93" s="26">
        <f t="shared" si="9"/>
        <v>11882.111999999999</v>
      </c>
    </row>
    <row r="94" spans="1:10" ht="16.5" customHeight="1" x14ac:dyDescent="0.35">
      <c r="A94" s="6">
        <v>37</v>
      </c>
      <c r="B94" s="4" t="s">
        <v>177</v>
      </c>
      <c r="C94" s="19" t="s">
        <v>178</v>
      </c>
      <c r="D94" s="266"/>
      <c r="E94" s="266"/>
      <c r="F94" s="1">
        <v>50</v>
      </c>
      <c r="G94" s="1">
        <v>50</v>
      </c>
      <c r="H94" s="8">
        <v>18250</v>
      </c>
      <c r="I94" s="26">
        <f t="shared" si="8"/>
        <v>12045</v>
      </c>
      <c r="J94" s="26">
        <f t="shared" si="9"/>
        <v>11683.65</v>
      </c>
    </row>
    <row r="95" spans="1:10" ht="16.5" customHeight="1" x14ac:dyDescent="0.35">
      <c r="A95" s="6">
        <v>38</v>
      </c>
      <c r="B95" s="4" t="s">
        <v>179</v>
      </c>
      <c r="C95" s="18" t="s">
        <v>180</v>
      </c>
      <c r="D95" s="266"/>
      <c r="E95" s="266"/>
      <c r="F95" s="1">
        <v>50</v>
      </c>
      <c r="G95" s="1">
        <v>50</v>
      </c>
      <c r="H95" s="5">
        <v>18670</v>
      </c>
      <c r="I95" s="26">
        <f t="shared" si="8"/>
        <v>12322.2</v>
      </c>
      <c r="J95" s="26">
        <f t="shared" si="9"/>
        <v>11952.534</v>
      </c>
    </row>
    <row r="96" spans="1:10" ht="16.5" customHeight="1" x14ac:dyDescent="0.35">
      <c r="A96" s="4">
        <v>39</v>
      </c>
      <c r="B96" s="6" t="s">
        <v>181</v>
      </c>
      <c r="C96" s="14" t="s">
        <v>182</v>
      </c>
      <c r="D96" s="266"/>
      <c r="E96" s="266"/>
      <c r="F96" s="1">
        <v>65</v>
      </c>
      <c r="G96" s="1">
        <v>50</v>
      </c>
      <c r="H96" s="8">
        <v>18100</v>
      </c>
      <c r="I96" s="26">
        <f t="shared" si="8"/>
        <v>11946</v>
      </c>
      <c r="J96" s="26">
        <f t="shared" si="9"/>
        <v>11587.619999999999</v>
      </c>
    </row>
    <row r="97" spans="1:10" ht="16.5" customHeight="1" x14ac:dyDescent="0.35">
      <c r="A97" s="6">
        <v>40</v>
      </c>
      <c r="B97" s="6" t="s">
        <v>183</v>
      </c>
      <c r="C97" s="14" t="s">
        <v>184</v>
      </c>
      <c r="D97" s="266"/>
      <c r="E97" s="266"/>
      <c r="F97" s="1">
        <v>65</v>
      </c>
      <c r="G97" s="1">
        <v>50</v>
      </c>
      <c r="H97" s="5">
        <v>18770</v>
      </c>
      <c r="I97" s="26">
        <f t="shared" si="8"/>
        <v>12388.2</v>
      </c>
      <c r="J97" s="26">
        <f t="shared" si="9"/>
        <v>12016.554</v>
      </c>
    </row>
    <row r="98" spans="1:10" ht="16.5" customHeight="1" x14ac:dyDescent="0.35">
      <c r="A98" s="6">
        <v>41</v>
      </c>
      <c r="B98" s="6" t="s">
        <v>185</v>
      </c>
      <c r="C98" s="14" t="s">
        <v>186</v>
      </c>
      <c r="D98" s="266"/>
      <c r="E98" s="266"/>
      <c r="F98" s="1">
        <v>75</v>
      </c>
      <c r="G98" s="1">
        <v>75</v>
      </c>
      <c r="H98" s="8">
        <v>18020</v>
      </c>
      <c r="I98" s="26">
        <f t="shared" si="8"/>
        <v>11893.2</v>
      </c>
      <c r="J98" s="26">
        <f t="shared" si="9"/>
        <v>11536.404</v>
      </c>
    </row>
    <row r="99" spans="1:10" ht="16.5" customHeight="1" x14ac:dyDescent="0.35">
      <c r="A99" s="4">
        <v>42</v>
      </c>
      <c r="B99" s="6" t="s">
        <v>187</v>
      </c>
      <c r="C99" s="14" t="s">
        <v>188</v>
      </c>
      <c r="D99" s="266"/>
      <c r="E99" s="266"/>
      <c r="F99" s="1">
        <v>75</v>
      </c>
      <c r="G99" s="1">
        <v>75</v>
      </c>
      <c r="H99" s="5">
        <v>18680</v>
      </c>
      <c r="I99" s="26">
        <f t="shared" si="8"/>
        <v>12328.800000000001</v>
      </c>
      <c r="J99" s="26">
        <f t="shared" si="9"/>
        <v>11958.936000000002</v>
      </c>
    </row>
    <row r="100" spans="1:10" ht="16.5" customHeight="1" x14ac:dyDescent="0.35">
      <c r="A100" s="6">
        <v>43</v>
      </c>
      <c r="B100" s="6" t="s">
        <v>189</v>
      </c>
      <c r="C100" s="14" t="s">
        <v>190</v>
      </c>
      <c r="D100" s="266"/>
      <c r="E100" s="266"/>
      <c r="F100" s="1">
        <v>100</v>
      </c>
      <c r="G100" s="1">
        <v>100</v>
      </c>
      <c r="H100" s="8">
        <v>19100</v>
      </c>
      <c r="I100" s="26">
        <f t="shared" si="8"/>
        <v>12606</v>
      </c>
      <c r="J100" s="26">
        <f t="shared" si="9"/>
        <v>12227.82</v>
      </c>
    </row>
    <row r="101" spans="1:10" ht="16.5" customHeight="1" x14ac:dyDescent="0.35">
      <c r="A101" s="6">
        <v>44</v>
      </c>
      <c r="B101" s="6" t="s">
        <v>191</v>
      </c>
      <c r="C101" s="14" t="s">
        <v>192</v>
      </c>
      <c r="D101" s="266"/>
      <c r="E101" s="266"/>
      <c r="F101" s="1">
        <v>100</v>
      </c>
      <c r="G101" s="1">
        <v>100</v>
      </c>
      <c r="H101" s="5">
        <v>19500</v>
      </c>
      <c r="I101" s="26">
        <f t="shared" si="8"/>
        <v>12870</v>
      </c>
      <c r="J101" s="26">
        <f t="shared" si="9"/>
        <v>12483.9</v>
      </c>
    </row>
    <row r="102" spans="1:10" ht="16.5" customHeight="1" x14ac:dyDescent="0.35">
      <c r="A102" s="4">
        <v>45</v>
      </c>
      <c r="B102" s="6" t="s">
        <v>193</v>
      </c>
      <c r="C102" s="14" t="s">
        <v>194</v>
      </c>
      <c r="D102" s="266"/>
      <c r="E102" s="266"/>
      <c r="F102" s="1">
        <v>100</v>
      </c>
      <c r="G102" s="1">
        <v>100</v>
      </c>
      <c r="H102" s="5">
        <v>14800</v>
      </c>
      <c r="I102" s="26">
        <f t="shared" si="8"/>
        <v>9768</v>
      </c>
      <c r="J102" s="26">
        <f t="shared" si="9"/>
        <v>9474.9599999999991</v>
      </c>
    </row>
    <row r="103" spans="1:10" ht="16.5" customHeight="1" x14ac:dyDescent="0.35">
      <c r="A103" s="6">
        <v>46</v>
      </c>
      <c r="B103" s="4" t="s">
        <v>195</v>
      </c>
      <c r="C103" s="18" t="s">
        <v>196</v>
      </c>
      <c r="D103" s="263"/>
      <c r="E103" s="263"/>
      <c r="F103" s="1">
        <v>100</v>
      </c>
      <c r="G103" s="1">
        <v>100</v>
      </c>
      <c r="H103" s="5">
        <v>15000</v>
      </c>
      <c r="I103" s="26">
        <f t="shared" si="8"/>
        <v>9900</v>
      </c>
      <c r="J103" s="26">
        <f t="shared" si="9"/>
        <v>9603</v>
      </c>
    </row>
    <row r="104" spans="1:10" ht="16.5" customHeight="1" x14ac:dyDescent="0.35">
      <c r="A104" s="6">
        <v>47</v>
      </c>
      <c r="B104" s="6" t="s">
        <v>197</v>
      </c>
      <c r="C104" s="14" t="s">
        <v>198</v>
      </c>
      <c r="D104" s="262">
        <v>5</v>
      </c>
      <c r="E104" s="262">
        <v>3.75</v>
      </c>
      <c r="F104" s="1">
        <v>80</v>
      </c>
      <c r="G104" s="1">
        <v>65</v>
      </c>
      <c r="H104" s="5">
        <v>24600</v>
      </c>
      <c r="I104" s="26">
        <f t="shared" si="8"/>
        <v>16236</v>
      </c>
      <c r="J104" s="26">
        <f t="shared" si="9"/>
        <v>15748.92</v>
      </c>
    </row>
    <row r="105" spans="1:10" ht="16.5" customHeight="1" x14ac:dyDescent="0.35">
      <c r="A105" s="4">
        <v>48</v>
      </c>
      <c r="B105" s="4"/>
      <c r="C105" s="20" t="s">
        <v>199</v>
      </c>
      <c r="D105" s="266"/>
      <c r="E105" s="266"/>
      <c r="F105" s="1">
        <v>80</v>
      </c>
      <c r="G105" s="1">
        <v>65</v>
      </c>
      <c r="H105" s="5">
        <v>26000</v>
      </c>
      <c r="I105" s="26">
        <f t="shared" si="8"/>
        <v>17160</v>
      </c>
      <c r="J105" s="26">
        <f t="shared" si="9"/>
        <v>16645.2</v>
      </c>
    </row>
    <row r="106" spans="1:10" ht="16.5" customHeight="1" x14ac:dyDescent="0.35">
      <c r="A106" s="6">
        <v>49</v>
      </c>
      <c r="B106" s="6" t="s">
        <v>200</v>
      </c>
      <c r="C106" s="20" t="s">
        <v>201</v>
      </c>
      <c r="D106" s="263"/>
      <c r="E106" s="263"/>
      <c r="F106" s="1">
        <v>80</v>
      </c>
      <c r="G106" s="1">
        <v>65</v>
      </c>
      <c r="H106" s="5">
        <v>23600</v>
      </c>
      <c r="I106" s="26">
        <f t="shared" si="8"/>
        <v>15576</v>
      </c>
      <c r="J106" s="26">
        <f t="shared" si="9"/>
        <v>15108.72</v>
      </c>
    </row>
    <row r="107" spans="1:10" ht="16.5" customHeight="1" x14ac:dyDescent="0.35">
      <c r="A107" s="6">
        <v>50</v>
      </c>
      <c r="B107" s="4" t="s">
        <v>202</v>
      </c>
      <c r="C107" s="18" t="s">
        <v>203</v>
      </c>
      <c r="D107" s="7">
        <v>0.75</v>
      </c>
      <c r="E107" s="7">
        <v>0.56000000000000005</v>
      </c>
      <c r="F107" s="2">
        <v>25</v>
      </c>
      <c r="G107" s="2">
        <v>25</v>
      </c>
      <c r="H107" s="5">
        <v>5170</v>
      </c>
      <c r="I107" s="26">
        <f t="shared" si="8"/>
        <v>3412.2000000000003</v>
      </c>
      <c r="J107" s="26">
        <f t="shared" si="9"/>
        <v>3309.8340000000003</v>
      </c>
    </row>
    <row r="108" spans="1:10" ht="16.5" customHeight="1" x14ac:dyDescent="0.35">
      <c r="A108" s="4">
        <v>51</v>
      </c>
      <c r="B108" s="4" t="s">
        <v>204</v>
      </c>
      <c r="C108" s="18" t="s">
        <v>205</v>
      </c>
      <c r="D108" s="262">
        <v>1</v>
      </c>
      <c r="E108" s="262">
        <v>0.75</v>
      </c>
      <c r="F108" s="1">
        <v>40</v>
      </c>
      <c r="G108" s="1">
        <v>40</v>
      </c>
      <c r="H108" s="5">
        <v>9000</v>
      </c>
      <c r="I108" s="26">
        <f t="shared" si="8"/>
        <v>5940</v>
      </c>
      <c r="J108" s="26">
        <f t="shared" si="9"/>
        <v>5761.8</v>
      </c>
    </row>
    <row r="109" spans="1:10" ht="16.5" customHeight="1" x14ac:dyDescent="0.35">
      <c r="A109" s="6">
        <v>52</v>
      </c>
      <c r="B109" s="4"/>
      <c r="C109" s="18" t="s">
        <v>206</v>
      </c>
      <c r="D109" s="263"/>
      <c r="E109" s="263"/>
      <c r="F109" s="1">
        <v>40</v>
      </c>
      <c r="G109" s="1">
        <v>40</v>
      </c>
      <c r="H109" s="5">
        <v>9000</v>
      </c>
      <c r="I109" s="26">
        <f t="shared" si="8"/>
        <v>5940</v>
      </c>
      <c r="J109" s="26">
        <f t="shared" si="9"/>
        <v>5761.8</v>
      </c>
    </row>
    <row r="110" spans="1:10" ht="16.5" customHeight="1" x14ac:dyDescent="0.35">
      <c r="A110" s="6">
        <v>53</v>
      </c>
      <c r="B110" s="4"/>
      <c r="C110" s="20" t="s">
        <v>207</v>
      </c>
      <c r="D110" s="262">
        <v>2</v>
      </c>
      <c r="E110" s="262">
        <v>1.5</v>
      </c>
      <c r="F110" s="1">
        <v>75</v>
      </c>
      <c r="G110" s="1">
        <v>75</v>
      </c>
      <c r="H110" s="5">
        <v>12500</v>
      </c>
      <c r="I110" s="26">
        <f t="shared" si="8"/>
        <v>8250</v>
      </c>
      <c r="J110" s="26">
        <f t="shared" si="9"/>
        <v>8002.5</v>
      </c>
    </row>
    <row r="111" spans="1:10" ht="16.5" customHeight="1" x14ac:dyDescent="0.35">
      <c r="A111" s="4">
        <v>54</v>
      </c>
      <c r="B111" s="4" t="s">
        <v>208</v>
      </c>
      <c r="C111" s="20" t="s">
        <v>209</v>
      </c>
      <c r="D111" s="266"/>
      <c r="E111" s="266"/>
      <c r="F111" s="1">
        <v>75</v>
      </c>
      <c r="G111" s="1">
        <v>75</v>
      </c>
      <c r="H111" s="5">
        <v>12500</v>
      </c>
      <c r="I111" s="26">
        <f t="shared" si="8"/>
        <v>8250</v>
      </c>
      <c r="J111" s="26">
        <f t="shared" si="9"/>
        <v>8002.5</v>
      </c>
    </row>
    <row r="112" spans="1:10" ht="16.5" customHeight="1" x14ac:dyDescent="0.35">
      <c r="A112" s="6">
        <v>55</v>
      </c>
      <c r="B112" s="4" t="s">
        <v>210</v>
      </c>
      <c r="C112" s="20" t="s">
        <v>211</v>
      </c>
      <c r="D112" s="266"/>
      <c r="E112" s="266"/>
      <c r="F112" s="1">
        <v>65</v>
      </c>
      <c r="G112" s="1">
        <v>50</v>
      </c>
      <c r="H112" s="5">
        <v>12200</v>
      </c>
      <c r="I112" s="26">
        <f t="shared" si="8"/>
        <v>8052</v>
      </c>
      <c r="J112" s="26">
        <f t="shared" si="9"/>
        <v>7810.44</v>
      </c>
    </row>
    <row r="113" spans="1:10" ht="16.5" customHeight="1" x14ac:dyDescent="0.35">
      <c r="A113" s="6">
        <v>56</v>
      </c>
      <c r="B113" s="4" t="s">
        <v>212</v>
      </c>
      <c r="C113" s="20" t="s">
        <v>213</v>
      </c>
      <c r="D113" s="263"/>
      <c r="E113" s="263"/>
      <c r="F113" s="1">
        <v>50</v>
      </c>
      <c r="G113" s="1">
        <v>50</v>
      </c>
      <c r="H113" s="5">
        <v>12200</v>
      </c>
      <c r="I113" s="26">
        <f t="shared" si="8"/>
        <v>8052</v>
      </c>
      <c r="J113" s="26">
        <f t="shared" ref="J113" si="10">I113*0.96</f>
        <v>7729.92</v>
      </c>
    </row>
    <row r="114" spans="1:10" ht="16.5" customHeight="1" x14ac:dyDescent="0.35">
      <c r="A114" s="300" t="s">
        <v>214</v>
      </c>
      <c r="B114" s="300"/>
      <c r="C114" s="300"/>
      <c r="D114" s="300"/>
      <c r="E114" s="300"/>
      <c r="F114" s="300"/>
      <c r="G114" s="300"/>
      <c r="H114" s="207" t="s">
        <v>109</v>
      </c>
      <c r="I114" s="315" t="s">
        <v>334</v>
      </c>
      <c r="J114" s="315"/>
    </row>
    <row r="115" spans="1:10" ht="16.5" customHeight="1" x14ac:dyDescent="0.35">
      <c r="A115" s="207" t="s">
        <v>2</v>
      </c>
      <c r="B115" s="287" t="s">
        <v>3</v>
      </c>
      <c r="C115" s="298" t="s">
        <v>4</v>
      </c>
      <c r="D115" s="287" t="s">
        <v>5</v>
      </c>
      <c r="E115" s="287"/>
      <c r="F115" s="287" t="s">
        <v>6</v>
      </c>
      <c r="G115" s="287"/>
      <c r="H115" s="259"/>
      <c r="I115" s="323">
        <v>0.34</v>
      </c>
      <c r="J115" s="323">
        <v>0.03</v>
      </c>
    </row>
    <row r="116" spans="1:10" ht="16.5" customHeight="1" x14ac:dyDescent="0.35">
      <c r="A116" s="208"/>
      <c r="B116" s="287"/>
      <c r="C116" s="298"/>
      <c r="D116" s="11" t="s">
        <v>9</v>
      </c>
      <c r="E116" s="11" t="s">
        <v>10</v>
      </c>
      <c r="F116" s="11" t="s">
        <v>11</v>
      </c>
      <c r="G116" s="11" t="s">
        <v>12</v>
      </c>
      <c r="H116" s="208"/>
      <c r="I116" s="324"/>
      <c r="J116" s="324"/>
    </row>
    <row r="117" spans="1:10" ht="16.5" customHeight="1" x14ac:dyDescent="0.35">
      <c r="A117" s="4">
        <v>1</v>
      </c>
      <c r="B117" s="4" t="s">
        <v>215</v>
      </c>
      <c r="C117" s="12" t="s">
        <v>216</v>
      </c>
      <c r="D117" s="2">
        <v>0.5</v>
      </c>
      <c r="E117" s="2">
        <v>0.37</v>
      </c>
      <c r="F117" s="2">
        <v>25</v>
      </c>
      <c r="G117" s="2">
        <v>25</v>
      </c>
      <c r="H117" s="13">
        <v>5370</v>
      </c>
      <c r="I117" s="295">
        <f>H117*0.63</f>
        <v>3383.1</v>
      </c>
      <c r="J117" s="325"/>
    </row>
    <row r="118" spans="1:10" ht="16.5" customHeight="1" x14ac:dyDescent="0.35">
      <c r="A118" s="4">
        <v>2</v>
      </c>
      <c r="B118" s="4" t="s">
        <v>217</v>
      </c>
      <c r="C118" s="12" t="s">
        <v>218</v>
      </c>
      <c r="D118" s="2">
        <v>1</v>
      </c>
      <c r="E118" s="2">
        <v>0.75</v>
      </c>
      <c r="F118" s="2">
        <v>25</v>
      </c>
      <c r="G118" s="2">
        <v>25</v>
      </c>
      <c r="H118" s="13">
        <v>7070</v>
      </c>
      <c r="I118" s="336">
        <v>4793</v>
      </c>
      <c r="J118" s="337"/>
    </row>
    <row r="119" spans="1:10" ht="16.5" customHeight="1" x14ac:dyDescent="0.35">
      <c r="A119" s="4">
        <v>3</v>
      </c>
      <c r="B119" s="21" t="s">
        <v>219</v>
      </c>
      <c r="C119" s="22" t="s">
        <v>220</v>
      </c>
      <c r="D119" s="23">
        <v>2</v>
      </c>
      <c r="E119" s="4">
        <v>1.5</v>
      </c>
      <c r="F119" s="4">
        <v>50</v>
      </c>
      <c r="G119" s="4">
        <v>50</v>
      </c>
      <c r="H119" s="4">
        <v>12200</v>
      </c>
      <c r="I119" s="26">
        <f t="shared" ref="I119:I128" si="11">H119*0.66</f>
        <v>8052</v>
      </c>
      <c r="J119" s="26">
        <f t="shared" ref="J119:J128" si="12">I119*0.96</f>
        <v>7729.92</v>
      </c>
    </row>
    <row r="120" spans="1:10" ht="16.5" customHeight="1" x14ac:dyDescent="0.35">
      <c r="A120" s="4">
        <v>4</v>
      </c>
      <c r="B120" s="21" t="s">
        <v>221</v>
      </c>
      <c r="C120" s="22" t="s">
        <v>222</v>
      </c>
      <c r="D120" s="23">
        <v>2</v>
      </c>
      <c r="E120" s="4">
        <v>1.5</v>
      </c>
      <c r="F120" s="4">
        <v>50</v>
      </c>
      <c r="G120" s="4">
        <v>50</v>
      </c>
      <c r="H120" s="4">
        <v>12200</v>
      </c>
      <c r="I120" s="26">
        <f t="shared" si="11"/>
        <v>8052</v>
      </c>
      <c r="J120" s="26">
        <f t="shared" si="12"/>
        <v>7729.92</v>
      </c>
    </row>
    <row r="121" spans="1:10" ht="16.5" customHeight="1" x14ac:dyDescent="0.35">
      <c r="A121" s="4">
        <v>5</v>
      </c>
      <c r="B121" s="21" t="s">
        <v>223</v>
      </c>
      <c r="C121" s="22" t="s">
        <v>224</v>
      </c>
      <c r="D121" s="23">
        <v>2</v>
      </c>
      <c r="E121" s="4">
        <v>1.5</v>
      </c>
      <c r="F121" s="4">
        <v>65</v>
      </c>
      <c r="G121" s="4">
        <v>50</v>
      </c>
      <c r="H121" s="4">
        <v>12300</v>
      </c>
      <c r="I121" s="26">
        <f t="shared" si="11"/>
        <v>8118</v>
      </c>
      <c r="J121" s="26">
        <f t="shared" si="12"/>
        <v>7793.28</v>
      </c>
    </row>
    <row r="122" spans="1:10" ht="16.5" customHeight="1" x14ac:dyDescent="0.35">
      <c r="A122" s="4">
        <v>6</v>
      </c>
      <c r="B122" s="21" t="s">
        <v>225</v>
      </c>
      <c r="C122" s="22" t="s">
        <v>226</v>
      </c>
      <c r="D122" s="23">
        <v>2</v>
      </c>
      <c r="E122" s="4">
        <v>1.5</v>
      </c>
      <c r="F122" s="4">
        <v>65</v>
      </c>
      <c r="G122" s="4">
        <v>50</v>
      </c>
      <c r="H122" s="4">
        <v>12300</v>
      </c>
      <c r="I122" s="26">
        <f t="shared" si="11"/>
        <v>8118</v>
      </c>
      <c r="J122" s="26">
        <f t="shared" si="12"/>
        <v>7793.28</v>
      </c>
    </row>
    <row r="123" spans="1:10" ht="16.5" customHeight="1" x14ac:dyDescent="0.35">
      <c r="A123" s="4">
        <v>7</v>
      </c>
      <c r="B123" s="21" t="s">
        <v>227</v>
      </c>
      <c r="C123" s="22" t="s">
        <v>228</v>
      </c>
      <c r="D123" s="21">
        <v>3</v>
      </c>
      <c r="E123" s="4">
        <v>2.25</v>
      </c>
      <c r="F123" s="4">
        <v>65</v>
      </c>
      <c r="G123" s="4">
        <v>50</v>
      </c>
      <c r="H123" s="4">
        <v>12900</v>
      </c>
      <c r="I123" s="26">
        <f t="shared" si="11"/>
        <v>8514</v>
      </c>
      <c r="J123" s="26">
        <f t="shared" si="12"/>
        <v>8173.44</v>
      </c>
    </row>
    <row r="124" spans="1:10" ht="16.5" customHeight="1" x14ac:dyDescent="0.35">
      <c r="A124" s="4">
        <v>8</v>
      </c>
      <c r="B124" s="21" t="s">
        <v>229</v>
      </c>
      <c r="C124" s="24" t="s">
        <v>230</v>
      </c>
      <c r="D124" s="21">
        <v>3</v>
      </c>
      <c r="E124" s="4">
        <v>2.25</v>
      </c>
      <c r="F124" s="4">
        <v>65</v>
      </c>
      <c r="G124" s="4">
        <v>50</v>
      </c>
      <c r="H124" s="4">
        <v>13000</v>
      </c>
      <c r="I124" s="26">
        <f t="shared" si="11"/>
        <v>8580</v>
      </c>
      <c r="J124" s="26">
        <f t="shared" si="12"/>
        <v>8236.7999999999993</v>
      </c>
    </row>
    <row r="125" spans="1:10" ht="16.5" customHeight="1" x14ac:dyDescent="0.35">
      <c r="A125" s="4">
        <v>9</v>
      </c>
      <c r="B125" s="21" t="s">
        <v>231</v>
      </c>
      <c r="C125" s="24" t="s">
        <v>232</v>
      </c>
      <c r="D125" s="21">
        <v>3</v>
      </c>
      <c r="E125" s="4">
        <v>2.25</v>
      </c>
      <c r="F125" s="4">
        <v>65</v>
      </c>
      <c r="G125" s="4">
        <v>50</v>
      </c>
      <c r="H125" s="4">
        <v>12900</v>
      </c>
      <c r="I125" s="26">
        <f t="shared" si="11"/>
        <v>8514</v>
      </c>
      <c r="J125" s="26">
        <f t="shared" si="12"/>
        <v>8173.44</v>
      </c>
    </row>
    <row r="126" spans="1:10" ht="16.5" customHeight="1" x14ac:dyDescent="0.35">
      <c r="A126" s="4">
        <v>10</v>
      </c>
      <c r="B126" s="21" t="s">
        <v>233</v>
      </c>
      <c r="C126" s="24" t="s">
        <v>234</v>
      </c>
      <c r="D126" s="21">
        <v>3</v>
      </c>
      <c r="E126" s="4">
        <v>2.25</v>
      </c>
      <c r="F126" s="4">
        <v>65</v>
      </c>
      <c r="G126" s="4">
        <v>50</v>
      </c>
      <c r="H126" s="4">
        <v>19300</v>
      </c>
      <c r="I126" s="26">
        <f t="shared" si="11"/>
        <v>12738</v>
      </c>
      <c r="J126" s="26">
        <f t="shared" si="12"/>
        <v>12228.48</v>
      </c>
    </row>
    <row r="127" spans="1:10" ht="16.5" customHeight="1" x14ac:dyDescent="0.35">
      <c r="A127" s="4">
        <v>11</v>
      </c>
      <c r="B127" s="21" t="s">
        <v>235</v>
      </c>
      <c r="C127" s="24" t="s">
        <v>236</v>
      </c>
      <c r="D127" s="21">
        <v>5</v>
      </c>
      <c r="E127" s="1">
        <v>3.75</v>
      </c>
      <c r="F127" s="4">
        <v>65</v>
      </c>
      <c r="G127" s="4">
        <v>50</v>
      </c>
      <c r="H127" s="4">
        <v>18700</v>
      </c>
      <c r="I127" s="26">
        <f t="shared" si="11"/>
        <v>12342</v>
      </c>
      <c r="J127" s="26">
        <f t="shared" si="12"/>
        <v>11848.32</v>
      </c>
    </row>
    <row r="128" spans="1:10" ht="16.5" customHeight="1" x14ac:dyDescent="0.35">
      <c r="A128" s="4">
        <v>12</v>
      </c>
      <c r="B128" s="21" t="s">
        <v>237</v>
      </c>
      <c r="C128" s="24" t="s">
        <v>238</v>
      </c>
      <c r="D128" s="21">
        <v>5</v>
      </c>
      <c r="E128" s="1">
        <v>3.75</v>
      </c>
      <c r="F128" s="4">
        <v>65</v>
      </c>
      <c r="G128" s="4">
        <v>50</v>
      </c>
      <c r="H128" s="4">
        <v>22900</v>
      </c>
      <c r="I128" s="26">
        <f t="shared" si="11"/>
        <v>15114</v>
      </c>
      <c r="J128" s="26">
        <f t="shared" si="12"/>
        <v>14509.439999999999</v>
      </c>
    </row>
    <row r="129" spans="1:10" ht="16.5" customHeight="1" x14ac:dyDescent="0.35">
      <c r="A129" s="300" t="s">
        <v>239</v>
      </c>
      <c r="B129" s="300"/>
      <c r="C129" s="300"/>
      <c r="D129" s="300"/>
      <c r="E129" s="300"/>
      <c r="F129" s="300"/>
      <c r="G129" s="300"/>
      <c r="H129" s="207" t="s">
        <v>109</v>
      </c>
      <c r="I129" s="315" t="s">
        <v>334</v>
      </c>
      <c r="J129" s="315"/>
    </row>
    <row r="130" spans="1:10" ht="16.5" customHeight="1" x14ac:dyDescent="0.35">
      <c r="A130" s="287" t="s">
        <v>2</v>
      </c>
      <c r="B130" s="287" t="s">
        <v>3</v>
      </c>
      <c r="C130" s="298" t="s">
        <v>4</v>
      </c>
      <c r="D130" s="287" t="s">
        <v>5</v>
      </c>
      <c r="E130" s="287"/>
      <c r="F130" s="272" t="s">
        <v>6</v>
      </c>
      <c r="G130" s="273"/>
      <c r="H130" s="259"/>
      <c r="I130" s="323">
        <v>0.34</v>
      </c>
      <c r="J130" s="323">
        <v>0.03</v>
      </c>
    </row>
    <row r="131" spans="1:10" ht="16.5" customHeight="1" x14ac:dyDescent="0.35">
      <c r="A131" s="287"/>
      <c r="B131" s="287"/>
      <c r="C131" s="298"/>
      <c r="D131" s="11" t="s">
        <v>9</v>
      </c>
      <c r="E131" s="11" t="s">
        <v>10</v>
      </c>
      <c r="F131" s="274"/>
      <c r="G131" s="275"/>
      <c r="H131" s="208"/>
      <c r="I131" s="324"/>
      <c r="J131" s="324"/>
    </row>
    <row r="132" spans="1:10" ht="16.5" customHeight="1" x14ac:dyDescent="0.35">
      <c r="A132" s="4">
        <v>1</v>
      </c>
      <c r="B132" s="4" t="s">
        <v>240</v>
      </c>
      <c r="C132" s="25" t="s">
        <v>241</v>
      </c>
      <c r="D132" s="4">
        <v>0.5</v>
      </c>
      <c r="E132" s="4"/>
      <c r="F132" s="292">
        <v>32</v>
      </c>
      <c r="G132" s="292"/>
      <c r="H132" s="4">
        <v>8240</v>
      </c>
      <c r="I132" s="26">
        <f t="shared" ref="I132:I154" si="13">H132*0.66</f>
        <v>5438.4000000000005</v>
      </c>
      <c r="J132" s="26">
        <f t="shared" ref="J132:J154" si="14">I132*0.96</f>
        <v>5220.8640000000005</v>
      </c>
    </row>
    <row r="133" spans="1:10" ht="16.5" customHeight="1" x14ac:dyDescent="0.35">
      <c r="A133" s="4">
        <v>2</v>
      </c>
      <c r="B133" s="4" t="s">
        <v>242</v>
      </c>
      <c r="C133" s="25" t="s">
        <v>243</v>
      </c>
      <c r="D133" s="4">
        <v>0.5</v>
      </c>
      <c r="E133" s="4"/>
      <c r="F133" s="292">
        <v>32</v>
      </c>
      <c r="G133" s="292"/>
      <c r="H133" s="4">
        <v>8450</v>
      </c>
      <c r="I133" s="26">
        <f t="shared" si="13"/>
        <v>5577</v>
      </c>
      <c r="J133" s="26">
        <f t="shared" si="14"/>
        <v>5353.92</v>
      </c>
    </row>
    <row r="134" spans="1:10" ht="16.5" customHeight="1" x14ac:dyDescent="0.35">
      <c r="A134" s="4">
        <v>3</v>
      </c>
      <c r="B134" s="4" t="s">
        <v>244</v>
      </c>
      <c r="C134" s="25" t="s">
        <v>245</v>
      </c>
      <c r="D134" s="4">
        <v>0.75</v>
      </c>
      <c r="E134" s="4"/>
      <c r="F134" s="292">
        <v>32</v>
      </c>
      <c r="G134" s="292"/>
      <c r="H134" s="4">
        <v>8550</v>
      </c>
      <c r="I134" s="26">
        <f t="shared" si="13"/>
        <v>5643</v>
      </c>
      <c r="J134" s="26">
        <f t="shared" si="14"/>
        <v>5417.28</v>
      </c>
    </row>
    <row r="135" spans="1:10" ht="16.5" customHeight="1" x14ac:dyDescent="0.35">
      <c r="A135" s="4">
        <v>4</v>
      </c>
      <c r="B135" s="4" t="s">
        <v>246</v>
      </c>
      <c r="C135" s="25" t="s">
        <v>247</v>
      </c>
      <c r="D135" s="4">
        <v>0.75</v>
      </c>
      <c r="E135" s="4"/>
      <c r="F135" s="292">
        <v>32</v>
      </c>
      <c r="G135" s="292"/>
      <c r="H135" s="4">
        <v>8750</v>
      </c>
      <c r="I135" s="26">
        <f t="shared" si="13"/>
        <v>5775</v>
      </c>
      <c r="J135" s="26">
        <f t="shared" si="14"/>
        <v>5544</v>
      </c>
    </row>
    <row r="136" spans="1:10" ht="16.5" customHeight="1" x14ac:dyDescent="0.35">
      <c r="A136" s="4">
        <v>5</v>
      </c>
      <c r="B136" s="4" t="s">
        <v>248</v>
      </c>
      <c r="C136" s="25" t="s">
        <v>249</v>
      </c>
      <c r="D136" s="4">
        <v>1</v>
      </c>
      <c r="E136" s="4"/>
      <c r="F136" s="292">
        <v>32</v>
      </c>
      <c r="G136" s="292"/>
      <c r="H136" s="26">
        <v>8800</v>
      </c>
      <c r="I136" s="26">
        <f t="shared" si="13"/>
        <v>5808</v>
      </c>
      <c r="J136" s="26">
        <f t="shared" si="14"/>
        <v>5575.6799999999994</v>
      </c>
    </row>
    <row r="137" spans="1:10" ht="16.5" customHeight="1" x14ac:dyDescent="0.35">
      <c r="A137" s="4">
        <v>6</v>
      </c>
      <c r="B137" s="4" t="s">
        <v>250</v>
      </c>
      <c r="C137" s="25" t="s">
        <v>251</v>
      </c>
      <c r="D137" s="4">
        <v>1</v>
      </c>
      <c r="E137" s="4"/>
      <c r="F137" s="292">
        <v>32</v>
      </c>
      <c r="G137" s="292"/>
      <c r="H137" s="26">
        <v>9000</v>
      </c>
      <c r="I137" s="26">
        <f t="shared" si="13"/>
        <v>5940</v>
      </c>
      <c r="J137" s="26">
        <f t="shared" si="14"/>
        <v>5702.4</v>
      </c>
    </row>
    <row r="138" spans="1:10" ht="16.5" customHeight="1" x14ac:dyDescent="0.35">
      <c r="A138" s="4">
        <v>7</v>
      </c>
      <c r="B138" s="4" t="s">
        <v>252</v>
      </c>
      <c r="C138" s="25" t="s">
        <v>253</v>
      </c>
      <c r="D138" s="4">
        <v>1</v>
      </c>
      <c r="E138" s="4"/>
      <c r="F138" s="292">
        <v>32</v>
      </c>
      <c r="G138" s="292"/>
      <c r="H138" s="4">
        <v>9480</v>
      </c>
      <c r="I138" s="26">
        <f t="shared" si="13"/>
        <v>6256.8</v>
      </c>
      <c r="J138" s="26">
        <f t="shared" si="14"/>
        <v>6006.5280000000002</v>
      </c>
    </row>
    <row r="139" spans="1:10" ht="16.5" customHeight="1" x14ac:dyDescent="0.35">
      <c r="A139" s="4">
        <v>8</v>
      </c>
      <c r="B139" s="4" t="s">
        <v>254</v>
      </c>
      <c r="C139" s="25" t="s">
        <v>255</v>
      </c>
      <c r="D139" s="4">
        <v>1</v>
      </c>
      <c r="E139" s="4"/>
      <c r="F139" s="292">
        <v>32</v>
      </c>
      <c r="G139" s="292"/>
      <c r="H139" s="4">
        <v>9790</v>
      </c>
      <c r="I139" s="26">
        <f t="shared" si="13"/>
        <v>6461.4000000000005</v>
      </c>
      <c r="J139" s="26">
        <f t="shared" si="14"/>
        <v>6202.9440000000004</v>
      </c>
    </row>
    <row r="140" spans="1:10" ht="16.5" customHeight="1" x14ac:dyDescent="0.35">
      <c r="A140" s="4">
        <v>9</v>
      </c>
      <c r="B140" s="4" t="s">
        <v>256</v>
      </c>
      <c r="C140" s="25" t="s">
        <v>257</v>
      </c>
      <c r="D140" s="4">
        <v>1.5</v>
      </c>
      <c r="E140" s="4"/>
      <c r="F140" s="292">
        <v>32</v>
      </c>
      <c r="G140" s="292"/>
      <c r="H140" s="4">
        <v>11330</v>
      </c>
      <c r="I140" s="26">
        <f t="shared" si="13"/>
        <v>7477.8</v>
      </c>
      <c r="J140" s="26">
        <f t="shared" si="14"/>
        <v>7178.6880000000001</v>
      </c>
    </row>
    <row r="141" spans="1:10" ht="16.5" customHeight="1" x14ac:dyDescent="0.35">
      <c r="A141" s="4">
        <v>10</v>
      </c>
      <c r="B141" s="4" t="s">
        <v>258</v>
      </c>
      <c r="C141" s="25" t="s">
        <v>259</v>
      </c>
      <c r="D141" s="4">
        <v>1.5</v>
      </c>
      <c r="E141" s="4"/>
      <c r="F141" s="292">
        <v>32</v>
      </c>
      <c r="G141" s="292"/>
      <c r="H141" s="4">
        <v>11640</v>
      </c>
      <c r="I141" s="26">
        <f t="shared" si="13"/>
        <v>7682.4000000000005</v>
      </c>
      <c r="J141" s="26">
        <f t="shared" si="14"/>
        <v>7375.1040000000003</v>
      </c>
    </row>
    <row r="142" spans="1:10" ht="16.5" customHeight="1" x14ac:dyDescent="0.35">
      <c r="A142" s="4">
        <v>11</v>
      </c>
      <c r="B142" s="4" t="s">
        <v>260</v>
      </c>
      <c r="C142" s="25" t="s">
        <v>261</v>
      </c>
      <c r="D142" s="4">
        <v>1.5</v>
      </c>
      <c r="E142" s="4"/>
      <c r="F142" s="292">
        <v>32</v>
      </c>
      <c r="G142" s="292"/>
      <c r="H142" s="4">
        <v>11800</v>
      </c>
      <c r="I142" s="26">
        <f t="shared" si="13"/>
        <v>7788</v>
      </c>
      <c r="J142" s="26">
        <f t="shared" si="14"/>
        <v>7476.48</v>
      </c>
    </row>
    <row r="143" spans="1:10" ht="16.5" customHeight="1" x14ac:dyDescent="0.35">
      <c r="A143" s="4">
        <v>12</v>
      </c>
      <c r="B143" s="4" t="s">
        <v>262</v>
      </c>
      <c r="C143" s="25" t="s">
        <v>263</v>
      </c>
      <c r="D143" s="4">
        <v>1.5</v>
      </c>
      <c r="E143" s="4"/>
      <c r="F143" s="292">
        <v>32</v>
      </c>
      <c r="G143" s="292"/>
      <c r="H143" s="4">
        <v>12670</v>
      </c>
      <c r="I143" s="26">
        <f t="shared" si="13"/>
        <v>8362.2000000000007</v>
      </c>
      <c r="J143" s="26">
        <f t="shared" si="14"/>
        <v>8027.7120000000004</v>
      </c>
    </row>
    <row r="144" spans="1:10" ht="16.5" customHeight="1" x14ac:dyDescent="0.35">
      <c r="A144" s="4">
        <v>13</v>
      </c>
      <c r="B144" s="4" t="s">
        <v>264</v>
      </c>
      <c r="C144" s="25" t="s">
        <v>265</v>
      </c>
      <c r="D144" s="4">
        <v>2</v>
      </c>
      <c r="E144" s="4"/>
      <c r="F144" s="292">
        <v>40</v>
      </c>
      <c r="G144" s="292"/>
      <c r="H144" s="4">
        <v>14730</v>
      </c>
      <c r="I144" s="26">
        <f t="shared" si="13"/>
        <v>9721.8000000000011</v>
      </c>
      <c r="J144" s="26">
        <f t="shared" si="14"/>
        <v>9332.9279999999999</v>
      </c>
    </row>
    <row r="145" spans="1:10" ht="16.5" customHeight="1" x14ac:dyDescent="0.35">
      <c r="A145" s="4">
        <v>14</v>
      </c>
      <c r="B145" s="4" t="s">
        <v>266</v>
      </c>
      <c r="C145" s="25" t="s">
        <v>267</v>
      </c>
      <c r="D145" s="4">
        <v>2</v>
      </c>
      <c r="E145" s="4"/>
      <c r="F145" s="292">
        <v>32</v>
      </c>
      <c r="G145" s="292"/>
      <c r="H145" s="4">
        <v>15250</v>
      </c>
      <c r="I145" s="26">
        <f t="shared" si="13"/>
        <v>10065</v>
      </c>
      <c r="J145" s="26">
        <f t="shared" si="14"/>
        <v>9662.4</v>
      </c>
    </row>
    <row r="146" spans="1:10" ht="16.5" customHeight="1" x14ac:dyDescent="0.35">
      <c r="A146" s="4">
        <v>15</v>
      </c>
      <c r="B146" s="4" t="s">
        <v>268</v>
      </c>
      <c r="C146" s="25" t="s">
        <v>269</v>
      </c>
      <c r="D146" s="4">
        <v>2</v>
      </c>
      <c r="E146" s="4"/>
      <c r="F146" s="292">
        <v>32</v>
      </c>
      <c r="G146" s="292"/>
      <c r="H146" s="4">
        <v>15860</v>
      </c>
      <c r="I146" s="26">
        <f t="shared" si="13"/>
        <v>10467.6</v>
      </c>
      <c r="J146" s="26">
        <f t="shared" si="14"/>
        <v>10048.896000000001</v>
      </c>
    </row>
    <row r="147" spans="1:10" ht="16.5" customHeight="1" x14ac:dyDescent="0.35">
      <c r="A147" s="4">
        <v>16</v>
      </c>
      <c r="B147" s="4" t="s">
        <v>270</v>
      </c>
      <c r="C147" s="25" t="s">
        <v>271</v>
      </c>
      <c r="D147" s="4">
        <v>2</v>
      </c>
      <c r="E147" s="4"/>
      <c r="F147" s="292">
        <v>32</v>
      </c>
      <c r="G147" s="292"/>
      <c r="H147" s="4">
        <v>15970</v>
      </c>
      <c r="I147" s="26">
        <f t="shared" si="13"/>
        <v>10540.2</v>
      </c>
      <c r="J147" s="26">
        <f t="shared" si="14"/>
        <v>10118.592000000001</v>
      </c>
    </row>
    <row r="148" spans="1:10" ht="16.5" customHeight="1" x14ac:dyDescent="0.35">
      <c r="A148" s="4">
        <v>17</v>
      </c>
      <c r="B148" s="4" t="s">
        <v>272</v>
      </c>
      <c r="C148" s="25" t="s">
        <v>273</v>
      </c>
      <c r="D148" s="4">
        <v>2</v>
      </c>
      <c r="E148" s="4"/>
      <c r="F148" s="292">
        <v>32</v>
      </c>
      <c r="G148" s="292"/>
      <c r="H148" s="4">
        <v>16480</v>
      </c>
      <c r="I148" s="26">
        <f t="shared" si="13"/>
        <v>10876.800000000001</v>
      </c>
      <c r="J148" s="26">
        <f t="shared" si="14"/>
        <v>10441.728000000001</v>
      </c>
    </row>
    <row r="149" spans="1:10" ht="16.5" customHeight="1" x14ac:dyDescent="0.35">
      <c r="A149" s="4">
        <v>18</v>
      </c>
      <c r="B149" s="4" t="s">
        <v>274</v>
      </c>
      <c r="C149" s="25" t="s">
        <v>275</v>
      </c>
      <c r="D149" s="4">
        <v>2</v>
      </c>
      <c r="E149" s="4"/>
      <c r="F149" s="292">
        <v>65</v>
      </c>
      <c r="G149" s="292"/>
      <c r="H149" s="4">
        <v>14940</v>
      </c>
      <c r="I149" s="26">
        <f t="shared" si="13"/>
        <v>9860.4</v>
      </c>
      <c r="J149" s="26">
        <f t="shared" si="14"/>
        <v>9465.9839999999986</v>
      </c>
    </row>
    <row r="150" spans="1:10" ht="16.5" customHeight="1" x14ac:dyDescent="0.35">
      <c r="A150" s="4">
        <v>19</v>
      </c>
      <c r="B150" s="4" t="s">
        <v>276</v>
      </c>
      <c r="C150" s="25" t="s">
        <v>277</v>
      </c>
      <c r="D150" s="4">
        <v>3</v>
      </c>
      <c r="E150" s="4"/>
      <c r="F150" s="292">
        <v>32</v>
      </c>
      <c r="G150" s="292"/>
      <c r="H150" s="4">
        <v>23500</v>
      </c>
      <c r="I150" s="26">
        <f t="shared" si="13"/>
        <v>15510</v>
      </c>
      <c r="J150" s="26">
        <f t="shared" si="14"/>
        <v>14889.599999999999</v>
      </c>
    </row>
    <row r="151" spans="1:10" ht="16.5" customHeight="1" x14ac:dyDescent="0.35">
      <c r="A151" s="4">
        <v>20</v>
      </c>
      <c r="B151" s="4" t="s">
        <v>278</v>
      </c>
      <c r="C151" s="25" t="s">
        <v>279</v>
      </c>
      <c r="D151" s="4">
        <v>3</v>
      </c>
      <c r="E151" s="4"/>
      <c r="F151" s="292">
        <v>32</v>
      </c>
      <c r="G151" s="292"/>
      <c r="H151" s="4">
        <v>24000</v>
      </c>
      <c r="I151" s="26">
        <f t="shared" si="13"/>
        <v>15840</v>
      </c>
      <c r="J151" s="26">
        <f t="shared" si="14"/>
        <v>15206.4</v>
      </c>
    </row>
    <row r="152" spans="1:10" ht="16.5" customHeight="1" x14ac:dyDescent="0.35">
      <c r="A152" s="4">
        <v>21</v>
      </c>
      <c r="B152" s="4" t="s">
        <v>280</v>
      </c>
      <c r="C152" s="25" t="s">
        <v>281</v>
      </c>
      <c r="D152" s="4">
        <v>3</v>
      </c>
      <c r="E152" s="4"/>
      <c r="F152" s="292">
        <v>32</v>
      </c>
      <c r="G152" s="292"/>
      <c r="H152" s="4">
        <v>24500</v>
      </c>
      <c r="I152" s="26">
        <f t="shared" si="13"/>
        <v>16170</v>
      </c>
      <c r="J152" s="26">
        <f t="shared" si="14"/>
        <v>15523.199999999999</v>
      </c>
    </row>
    <row r="153" spans="1:10" ht="16.5" customHeight="1" x14ac:dyDescent="0.35">
      <c r="A153" s="4">
        <v>22</v>
      </c>
      <c r="B153" s="4" t="s">
        <v>282</v>
      </c>
      <c r="C153" s="25" t="s">
        <v>283</v>
      </c>
      <c r="D153" s="4">
        <v>3</v>
      </c>
      <c r="E153" s="4"/>
      <c r="F153" s="292">
        <v>65</v>
      </c>
      <c r="G153" s="292"/>
      <c r="H153" s="4">
        <v>23690</v>
      </c>
      <c r="I153" s="26">
        <f t="shared" si="13"/>
        <v>15635.400000000001</v>
      </c>
      <c r="J153" s="26">
        <f t="shared" si="14"/>
        <v>15009.984</v>
      </c>
    </row>
    <row r="154" spans="1:10" ht="16.5" customHeight="1" x14ac:dyDescent="0.35">
      <c r="A154" s="4">
        <v>23</v>
      </c>
      <c r="B154" s="4" t="s">
        <v>284</v>
      </c>
      <c r="C154" s="25" t="s">
        <v>283</v>
      </c>
      <c r="D154" s="4">
        <v>3</v>
      </c>
      <c r="E154" s="4"/>
      <c r="F154" s="292">
        <v>65</v>
      </c>
      <c r="G154" s="292"/>
      <c r="H154" s="4">
        <v>15450</v>
      </c>
      <c r="I154" s="26">
        <f t="shared" si="13"/>
        <v>10197</v>
      </c>
      <c r="J154" s="26">
        <f t="shared" si="14"/>
        <v>9789.119999999999</v>
      </c>
    </row>
    <row r="155" spans="1:10" ht="16.5" customHeight="1" x14ac:dyDescent="0.35">
      <c r="A155" s="300" t="s">
        <v>285</v>
      </c>
      <c r="B155" s="300"/>
      <c r="C155" s="300"/>
      <c r="D155" s="300"/>
      <c r="E155" s="300"/>
      <c r="F155" s="300"/>
      <c r="G155" s="300"/>
      <c r="H155" s="207" t="s">
        <v>109</v>
      </c>
      <c r="I155" s="315" t="s">
        <v>334</v>
      </c>
      <c r="J155" s="315"/>
    </row>
    <row r="156" spans="1:10" ht="16.5" customHeight="1" x14ac:dyDescent="0.35">
      <c r="A156" s="287" t="s">
        <v>2</v>
      </c>
      <c r="B156" s="287" t="s">
        <v>3</v>
      </c>
      <c r="C156" s="298" t="s">
        <v>4</v>
      </c>
      <c r="D156" s="287" t="s">
        <v>5</v>
      </c>
      <c r="E156" s="287"/>
      <c r="F156" s="287" t="s">
        <v>6</v>
      </c>
      <c r="G156" s="287"/>
      <c r="H156" s="259"/>
      <c r="I156" s="323">
        <v>0.34</v>
      </c>
      <c r="J156" s="323">
        <v>0.03</v>
      </c>
    </row>
    <row r="157" spans="1:10" ht="16.5" customHeight="1" x14ac:dyDescent="0.35">
      <c r="A157" s="287"/>
      <c r="B157" s="287"/>
      <c r="C157" s="298"/>
      <c r="D157" s="11" t="s">
        <v>9</v>
      </c>
      <c r="E157" s="11" t="s">
        <v>10</v>
      </c>
      <c r="F157" s="11" t="s">
        <v>11</v>
      </c>
      <c r="G157" s="11" t="s">
        <v>12</v>
      </c>
      <c r="H157" s="208"/>
      <c r="I157" s="324"/>
      <c r="J157" s="324"/>
    </row>
    <row r="158" spans="1:10" ht="16.5" customHeight="1" x14ac:dyDescent="0.35">
      <c r="A158" s="4">
        <v>1</v>
      </c>
      <c r="B158" s="4" t="s">
        <v>286</v>
      </c>
      <c r="C158" s="25" t="s">
        <v>287</v>
      </c>
      <c r="D158" s="4">
        <v>0.5</v>
      </c>
      <c r="E158" s="4"/>
      <c r="F158" s="292">
        <v>32</v>
      </c>
      <c r="G158" s="292"/>
      <c r="H158" s="4">
        <v>6800</v>
      </c>
      <c r="I158" s="26">
        <f t="shared" ref="I158:I172" si="15">H158*0.66</f>
        <v>4488</v>
      </c>
      <c r="J158" s="26">
        <f t="shared" ref="J158:J172" si="16">I158*0.96</f>
        <v>4308.4799999999996</v>
      </c>
    </row>
    <row r="159" spans="1:10" ht="16.5" customHeight="1" x14ac:dyDescent="0.35">
      <c r="A159" s="4">
        <v>2</v>
      </c>
      <c r="B159" s="4" t="s">
        <v>288</v>
      </c>
      <c r="C159" s="25" t="s">
        <v>289</v>
      </c>
      <c r="D159" s="4">
        <v>0.5</v>
      </c>
      <c r="E159" s="4"/>
      <c r="F159" s="292">
        <v>32</v>
      </c>
      <c r="G159" s="292"/>
      <c r="H159" s="4">
        <v>7600</v>
      </c>
      <c r="I159" s="26">
        <f t="shared" si="15"/>
        <v>5016</v>
      </c>
      <c r="J159" s="26">
        <f t="shared" si="16"/>
        <v>4815.3599999999997</v>
      </c>
    </row>
    <row r="160" spans="1:10" ht="16.5" customHeight="1" x14ac:dyDescent="0.35">
      <c r="A160" s="4">
        <v>3</v>
      </c>
      <c r="B160" s="4" t="s">
        <v>290</v>
      </c>
      <c r="C160" s="25" t="s">
        <v>291</v>
      </c>
      <c r="D160" s="4">
        <v>0.75</v>
      </c>
      <c r="E160" s="4"/>
      <c r="F160" s="292">
        <v>32</v>
      </c>
      <c r="G160" s="292"/>
      <c r="H160" s="4">
        <v>7800</v>
      </c>
      <c r="I160" s="26">
        <f t="shared" si="15"/>
        <v>5148</v>
      </c>
      <c r="J160" s="26">
        <f t="shared" si="16"/>
        <v>4942.08</v>
      </c>
    </row>
    <row r="161" spans="1:10" ht="16.5" customHeight="1" x14ac:dyDescent="0.35">
      <c r="A161" s="4">
        <v>4</v>
      </c>
      <c r="B161" s="4" t="s">
        <v>292</v>
      </c>
      <c r="C161" s="25" t="s">
        <v>293</v>
      </c>
      <c r="D161" s="4">
        <v>0.75</v>
      </c>
      <c r="E161" s="4"/>
      <c r="F161" s="292">
        <v>32</v>
      </c>
      <c r="G161" s="292"/>
      <c r="H161" s="4">
        <v>8000</v>
      </c>
      <c r="I161" s="26">
        <f t="shared" si="15"/>
        <v>5280</v>
      </c>
      <c r="J161" s="26">
        <f t="shared" si="16"/>
        <v>5068.8</v>
      </c>
    </row>
    <row r="162" spans="1:10" ht="16.5" customHeight="1" x14ac:dyDescent="0.35">
      <c r="A162" s="4">
        <v>5</v>
      </c>
      <c r="B162" s="4" t="s">
        <v>294</v>
      </c>
      <c r="C162" s="25" t="s">
        <v>295</v>
      </c>
      <c r="D162" s="4">
        <v>1</v>
      </c>
      <c r="E162" s="4"/>
      <c r="F162" s="292">
        <v>32</v>
      </c>
      <c r="G162" s="292"/>
      <c r="H162" s="4">
        <v>8200</v>
      </c>
      <c r="I162" s="26">
        <f t="shared" si="15"/>
        <v>5412</v>
      </c>
      <c r="J162" s="26">
        <f t="shared" si="16"/>
        <v>5195.5199999999995</v>
      </c>
    </row>
    <row r="163" spans="1:10" ht="16.5" customHeight="1" x14ac:dyDescent="0.35">
      <c r="A163" s="4">
        <v>6</v>
      </c>
      <c r="B163" s="4" t="s">
        <v>296</v>
      </c>
      <c r="C163" s="25" t="s">
        <v>297</v>
      </c>
      <c r="D163" s="4">
        <v>1</v>
      </c>
      <c r="E163" s="4"/>
      <c r="F163" s="292">
        <v>32</v>
      </c>
      <c r="G163" s="292"/>
      <c r="H163" s="4">
        <v>8400</v>
      </c>
      <c r="I163" s="26">
        <f t="shared" si="15"/>
        <v>5544</v>
      </c>
      <c r="J163" s="26">
        <f t="shared" si="16"/>
        <v>5322.24</v>
      </c>
    </row>
    <row r="164" spans="1:10" ht="16.5" customHeight="1" x14ac:dyDescent="0.35">
      <c r="A164" s="4">
        <v>7</v>
      </c>
      <c r="B164" s="4" t="s">
        <v>298</v>
      </c>
      <c r="C164" s="25" t="s">
        <v>299</v>
      </c>
      <c r="D164" s="4">
        <v>1</v>
      </c>
      <c r="E164" s="4"/>
      <c r="F164" s="292">
        <v>32</v>
      </c>
      <c r="G164" s="292"/>
      <c r="H164" s="4">
        <v>8600</v>
      </c>
      <c r="I164" s="26">
        <f t="shared" si="15"/>
        <v>5676</v>
      </c>
      <c r="J164" s="26">
        <f t="shared" si="16"/>
        <v>5448.96</v>
      </c>
    </row>
    <row r="165" spans="1:10" ht="16.5" customHeight="1" x14ac:dyDescent="0.35">
      <c r="A165" s="4">
        <v>8</v>
      </c>
      <c r="B165" s="4" t="s">
        <v>300</v>
      </c>
      <c r="C165" s="25" t="s">
        <v>301</v>
      </c>
      <c r="D165" s="4">
        <v>1.5</v>
      </c>
      <c r="E165" s="4"/>
      <c r="F165" s="292">
        <v>32</v>
      </c>
      <c r="G165" s="292"/>
      <c r="H165" s="4">
        <v>9000</v>
      </c>
      <c r="I165" s="26">
        <f t="shared" si="15"/>
        <v>5940</v>
      </c>
      <c r="J165" s="26">
        <f t="shared" si="16"/>
        <v>5702.4</v>
      </c>
    </row>
    <row r="166" spans="1:10" ht="16.5" customHeight="1" x14ac:dyDescent="0.35">
      <c r="A166" s="4">
        <v>9</v>
      </c>
      <c r="B166" s="4" t="s">
        <v>302</v>
      </c>
      <c r="C166" s="25" t="s">
        <v>303</v>
      </c>
      <c r="D166" s="4">
        <v>1.5</v>
      </c>
      <c r="E166" s="4"/>
      <c r="F166" s="292">
        <v>32</v>
      </c>
      <c r="G166" s="292"/>
      <c r="H166" s="4">
        <v>10600</v>
      </c>
      <c r="I166" s="26">
        <f t="shared" si="15"/>
        <v>6996</v>
      </c>
      <c r="J166" s="26">
        <f t="shared" si="16"/>
        <v>6716.16</v>
      </c>
    </row>
    <row r="167" spans="1:10" ht="16.5" customHeight="1" x14ac:dyDescent="0.35">
      <c r="A167" s="4">
        <v>10</v>
      </c>
      <c r="B167" s="4" t="s">
        <v>304</v>
      </c>
      <c r="C167" s="25" t="s">
        <v>305</v>
      </c>
      <c r="D167" s="4">
        <v>1.5</v>
      </c>
      <c r="E167" s="4"/>
      <c r="F167" s="292">
        <v>32</v>
      </c>
      <c r="G167" s="292"/>
      <c r="H167" s="4">
        <v>11000</v>
      </c>
      <c r="I167" s="26">
        <f t="shared" si="15"/>
        <v>7260</v>
      </c>
      <c r="J167" s="26">
        <f t="shared" si="16"/>
        <v>6969.5999999999995</v>
      </c>
    </row>
    <row r="168" spans="1:10" ht="16.5" customHeight="1" x14ac:dyDescent="0.35">
      <c r="A168" s="4">
        <v>11</v>
      </c>
      <c r="B168" s="4" t="s">
        <v>306</v>
      </c>
      <c r="C168" s="25" t="s">
        <v>307</v>
      </c>
      <c r="D168" s="4">
        <v>2</v>
      </c>
      <c r="E168" s="4"/>
      <c r="F168" s="292">
        <v>32</v>
      </c>
      <c r="G168" s="292"/>
      <c r="H168" s="4">
        <v>13000</v>
      </c>
      <c r="I168" s="26">
        <f t="shared" si="15"/>
        <v>8580</v>
      </c>
      <c r="J168" s="26">
        <f t="shared" si="16"/>
        <v>8236.7999999999993</v>
      </c>
    </row>
    <row r="169" spans="1:10" ht="16.5" customHeight="1" x14ac:dyDescent="0.35">
      <c r="A169" s="4">
        <v>12</v>
      </c>
      <c r="B169" s="4" t="s">
        <v>308</v>
      </c>
      <c r="C169" s="25" t="s">
        <v>309</v>
      </c>
      <c r="D169" s="4">
        <v>2</v>
      </c>
      <c r="E169" s="4"/>
      <c r="F169" s="292">
        <v>32</v>
      </c>
      <c r="G169" s="292"/>
      <c r="H169" s="4">
        <v>15500</v>
      </c>
      <c r="I169" s="26">
        <f t="shared" si="15"/>
        <v>10230</v>
      </c>
      <c r="J169" s="26">
        <f t="shared" si="16"/>
        <v>9820.7999999999993</v>
      </c>
    </row>
    <row r="170" spans="1:10" ht="16.5" customHeight="1" x14ac:dyDescent="0.35">
      <c r="A170" s="4">
        <v>13</v>
      </c>
      <c r="B170" s="4" t="s">
        <v>310</v>
      </c>
      <c r="C170" s="25" t="s">
        <v>311</v>
      </c>
      <c r="D170" s="4">
        <v>3</v>
      </c>
      <c r="E170" s="4"/>
      <c r="F170" s="292">
        <v>32</v>
      </c>
      <c r="G170" s="292"/>
      <c r="H170" s="4">
        <v>19000</v>
      </c>
      <c r="I170" s="26">
        <f t="shared" si="15"/>
        <v>12540</v>
      </c>
      <c r="J170" s="26">
        <f t="shared" si="16"/>
        <v>12038.4</v>
      </c>
    </row>
    <row r="171" spans="1:10" ht="16.5" customHeight="1" x14ac:dyDescent="0.35">
      <c r="A171" s="4">
        <v>14</v>
      </c>
      <c r="B171" s="4" t="s">
        <v>312</v>
      </c>
      <c r="C171" s="25" t="s">
        <v>313</v>
      </c>
      <c r="D171" s="4">
        <v>3</v>
      </c>
      <c r="E171" s="4"/>
      <c r="F171" s="292">
        <v>32</v>
      </c>
      <c r="G171" s="292"/>
      <c r="H171" s="4">
        <v>20000</v>
      </c>
      <c r="I171" s="26">
        <f t="shared" si="15"/>
        <v>13200</v>
      </c>
      <c r="J171" s="26">
        <f t="shared" si="16"/>
        <v>12672</v>
      </c>
    </row>
    <row r="172" spans="1:10" ht="16.5" customHeight="1" x14ac:dyDescent="0.35">
      <c r="A172" s="4">
        <v>15</v>
      </c>
      <c r="B172" s="4" t="s">
        <v>314</v>
      </c>
      <c r="C172" s="25" t="s">
        <v>315</v>
      </c>
      <c r="D172" s="4">
        <v>3</v>
      </c>
      <c r="E172" s="4"/>
      <c r="F172" s="292">
        <v>32</v>
      </c>
      <c r="G172" s="292"/>
      <c r="H172" s="4">
        <v>20500</v>
      </c>
      <c r="I172" s="26">
        <f t="shared" si="15"/>
        <v>13530</v>
      </c>
      <c r="J172" s="26">
        <f t="shared" si="16"/>
        <v>12988.8</v>
      </c>
    </row>
  </sheetData>
  <mergeCells count="113">
    <mergeCell ref="I7:J7"/>
    <mergeCell ref="I8:J8"/>
    <mergeCell ref="I9:J9"/>
    <mergeCell ref="I10:J10"/>
    <mergeCell ref="I26:J26"/>
    <mergeCell ref="I27:J27"/>
    <mergeCell ref="A1:J3"/>
    <mergeCell ref="A4:J4"/>
    <mergeCell ref="A5:A6"/>
    <mergeCell ref="B5:B6"/>
    <mergeCell ref="C5:C6"/>
    <mergeCell ref="D5:E5"/>
    <mergeCell ref="F5:G5"/>
    <mergeCell ref="H5:H6"/>
    <mergeCell ref="I5:J5"/>
    <mergeCell ref="I56:I57"/>
    <mergeCell ref="D58:D59"/>
    <mergeCell ref="E58:E59"/>
    <mergeCell ref="I32:J32"/>
    <mergeCell ref="I47:J47"/>
    <mergeCell ref="A55:G55"/>
    <mergeCell ref="H55:H57"/>
    <mergeCell ref="I55:J55"/>
    <mergeCell ref="A56:A57"/>
    <mergeCell ref="B56:B57"/>
    <mergeCell ref="C56:C57"/>
    <mergeCell ref="D56:E56"/>
    <mergeCell ref="F56:G56"/>
    <mergeCell ref="J56:J57"/>
    <mergeCell ref="D92:D103"/>
    <mergeCell ref="E92:E103"/>
    <mergeCell ref="D104:D106"/>
    <mergeCell ref="E104:E106"/>
    <mergeCell ref="D108:D109"/>
    <mergeCell ref="E108:E109"/>
    <mergeCell ref="D61:D66"/>
    <mergeCell ref="E61:E66"/>
    <mergeCell ref="D67:D73"/>
    <mergeCell ref="E67:E73"/>
    <mergeCell ref="D74:D91"/>
    <mergeCell ref="E74:E91"/>
    <mergeCell ref="I115:I116"/>
    <mergeCell ref="I117:J117"/>
    <mergeCell ref="I118:J118"/>
    <mergeCell ref="D110:D113"/>
    <mergeCell ref="E110:E113"/>
    <mergeCell ref="A114:G114"/>
    <mergeCell ref="H114:H116"/>
    <mergeCell ref="I114:J114"/>
    <mergeCell ref="A115:A116"/>
    <mergeCell ref="B115:B116"/>
    <mergeCell ref="C115:C116"/>
    <mergeCell ref="D115:E115"/>
    <mergeCell ref="F115:G115"/>
    <mergeCell ref="J115:J116"/>
    <mergeCell ref="A129:G129"/>
    <mergeCell ref="H129:H131"/>
    <mergeCell ref="I129:J129"/>
    <mergeCell ref="A130:A131"/>
    <mergeCell ref="B130:B131"/>
    <mergeCell ref="C130:C131"/>
    <mergeCell ref="D130:E130"/>
    <mergeCell ref="F130:G131"/>
    <mergeCell ref="I130:I131"/>
    <mergeCell ref="J130:J131"/>
    <mergeCell ref="F136:G136"/>
    <mergeCell ref="F137:G137"/>
    <mergeCell ref="F138:G138"/>
    <mergeCell ref="F139:G139"/>
    <mergeCell ref="F140:G140"/>
    <mergeCell ref="F141:G141"/>
    <mergeCell ref="F132:G132"/>
    <mergeCell ref="F133:G133"/>
    <mergeCell ref="F134:G134"/>
    <mergeCell ref="F135:G135"/>
    <mergeCell ref="F148:G148"/>
    <mergeCell ref="F149:G149"/>
    <mergeCell ref="F150:G150"/>
    <mergeCell ref="F151:G151"/>
    <mergeCell ref="F152:G152"/>
    <mergeCell ref="F153:G153"/>
    <mergeCell ref="F142:G142"/>
    <mergeCell ref="F143:G143"/>
    <mergeCell ref="F144:G144"/>
    <mergeCell ref="F145:G145"/>
    <mergeCell ref="F146:G146"/>
    <mergeCell ref="F147:G147"/>
    <mergeCell ref="F158:G158"/>
    <mergeCell ref="F159:G159"/>
    <mergeCell ref="F160:G160"/>
    <mergeCell ref="F154:G154"/>
    <mergeCell ref="A155:G155"/>
    <mergeCell ref="H155:H157"/>
    <mergeCell ref="I155:J155"/>
    <mergeCell ref="A156:A157"/>
    <mergeCell ref="B156:B157"/>
    <mergeCell ref="C156:C157"/>
    <mergeCell ref="D156:E156"/>
    <mergeCell ref="F156:G156"/>
    <mergeCell ref="I156:I157"/>
    <mergeCell ref="J156:J157"/>
    <mergeCell ref="F167:G167"/>
    <mergeCell ref="F168:G168"/>
    <mergeCell ref="F169:G169"/>
    <mergeCell ref="F170:G170"/>
    <mergeCell ref="F171:G171"/>
    <mergeCell ref="F172:G172"/>
    <mergeCell ref="F161:G161"/>
    <mergeCell ref="F162:G162"/>
    <mergeCell ref="F163:G163"/>
    <mergeCell ref="F164:G164"/>
    <mergeCell ref="F165:G165"/>
    <mergeCell ref="F166:G166"/>
  </mergeCells>
  <conditionalFormatting sqref="B1:B172">
    <cfRule type="duplicateValues" dxfId="3" priority="1"/>
    <cfRule type="duplicateValues" dxfId="2" priority="2"/>
  </conditionalFormatting>
  <pageMargins left="0.7" right="0.7" top="0.75" bottom="0.75" header="0.3" footer="0.3"/>
  <legacy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J172"/>
  <sheetViews>
    <sheetView topLeftCell="A112" workbookViewId="0">
      <selection activeCell="I118" sqref="I118"/>
    </sheetView>
  </sheetViews>
  <sheetFormatPr defaultRowHeight="17.25" customHeight="1" x14ac:dyDescent="0.35"/>
  <cols>
    <col min="1" max="1" width="6.54296875" customWidth="1"/>
    <col min="2" max="2" width="14.1796875" customWidth="1"/>
    <col min="3" max="3" width="19.7265625" customWidth="1"/>
  </cols>
  <sheetData>
    <row r="1" spans="1:10" ht="17.25" customHeight="1" x14ac:dyDescent="0.35">
      <c r="A1" s="203" t="s">
        <v>0</v>
      </c>
      <c r="B1" s="204"/>
      <c r="C1" s="204"/>
      <c r="D1" s="204"/>
      <c r="E1" s="204"/>
      <c r="F1" s="204"/>
      <c r="G1" s="204"/>
      <c r="H1" s="204"/>
      <c r="I1" s="204"/>
      <c r="J1" s="204"/>
    </row>
    <row r="2" spans="1:10" ht="17.25" customHeight="1" x14ac:dyDescent="0.35">
      <c r="A2" s="203"/>
      <c r="B2" s="204"/>
      <c r="C2" s="204"/>
      <c r="D2" s="204"/>
      <c r="E2" s="204"/>
      <c r="F2" s="204"/>
      <c r="G2" s="204"/>
      <c r="H2" s="204"/>
      <c r="I2" s="204"/>
      <c r="J2" s="204"/>
    </row>
    <row r="3" spans="1:10" ht="17.25" customHeight="1" x14ac:dyDescent="0.35">
      <c r="A3" s="203"/>
      <c r="B3" s="204"/>
      <c r="C3" s="204"/>
      <c r="D3" s="204"/>
      <c r="E3" s="204"/>
      <c r="F3" s="204"/>
      <c r="G3" s="204"/>
      <c r="H3" s="204"/>
      <c r="I3" s="204"/>
      <c r="J3" s="204"/>
    </row>
    <row r="4" spans="1:10" ht="28.5" customHeight="1" x14ac:dyDescent="0.35">
      <c r="A4" s="313" t="s">
        <v>548</v>
      </c>
      <c r="B4" s="314"/>
      <c r="C4" s="314"/>
      <c r="D4" s="314"/>
      <c r="E4" s="314"/>
      <c r="F4" s="314"/>
      <c r="G4" s="314"/>
      <c r="H4" s="314"/>
      <c r="I4" s="314"/>
      <c r="J4" s="314"/>
    </row>
    <row r="5" spans="1:10" ht="17.25" customHeight="1" x14ac:dyDescent="0.35">
      <c r="A5" s="287" t="s">
        <v>2</v>
      </c>
      <c r="B5" s="287" t="s">
        <v>3</v>
      </c>
      <c r="C5" s="287" t="s">
        <v>4</v>
      </c>
      <c r="D5" s="287" t="s">
        <v>5</v>
      </c>
      <c r="E5" s="287"/>
      <c r="F5" s="287" t="s">
        <v>6</v>
      </c>
      <c r="G5" s="287"/>
      <c r="H5" s="287" t="s">
        <v>7</v>
      </c>
      <c r="I5" s="315" t="s">
        <v>334</v>
      </c>
      <c r="J5" s="315"/>
    </row>
    <row r="6" spans="1:10" ht="17.25" customHeight="1" x14ac:dyDescent="0.35">
      <c r="A6" s="287"/>
      <c r="B6" s="287"/>
      <c r="C6" s="287"/>
      <c r="D6" s="11" t="s">
        <v>9</v>
      </c>
      <c r="E6" s="11" t="s">
        <v>10</v>
      </c>
      <c r="F6" s="11" t="s">
        <v>11</v>
      </c>
      <c r="G6" s="11" t="s">
        <v>12</v>
      </c>
      <c r="H6" s="287"/>
      <c r="I6" s="41">
        <v>0.33</v>
      </c>
      <c r="J6" s="41">
        <v>0.03</v>
      </c>
    </row>
    <row r="7" spans="1:10" ht="17.25" customHeight="1" x14ac:dyDescent="0.35">
      <c r="A7" s="6">
        <v>1</v>
      </c>
      <c r="B7" s="4" t="s">
        <v>13</v>
      </c>
      <c r="C7" s="12" t="s">
        <v>14</v>
      </c>
      <c r="D7" s="2">
        <v>0.5</v>
      </c>
      <c r="E7" s="2">
        <v>0.37</v>
      </c>
      <c r="F7" s="2">
        <v>25</v>
      </c>
      <c r="G7" s="2">
        <v>25</v>
      </c>
      <c r="H7" s="13">
        <v>2640</v>
      </c>
      <c r="I7" s="297">
        <f>H7*0.63</f>
        <v>1663.2</v>
      </c>
      <c r="J7" s="297"/>
    </row>
    <row r="8" spans="1:10" ht="17.25" customHeight="1" x14ac:dyDescent="0.35">
      <c r="A8" s="6">
        <v>2</v>
      </c>
      <c r="B8" s="4" t="s">
        <v>15</v>
      </c>
      <c r="C8" s="12" t="s">
        <v>16</v>
      </c>
      <c r="D8" s="2">
        <v>1</v>
      </c>
      <c r="E8" s="2">
        <v>0.75</v>
      </c>
      <c r="F8" s="2">
        <v>25</v>
      </c>
      <c r="G8" s="2">
        <v>25</v>
      </c>
      <c r="H8" s="13">
        <v>3420</v>
      </c>
      <c r="I8" s="297">
        <f>H8*0.63</f>
        <v>2154.6</v>
      </c>
      <c r="J8" s="297"/>
    </row>
    <row r="9" spans="1:10" ht="17.25" customHeight="1" x14ac:dyDescent="0.35">
      <c r="A9" s="4">
        <v>3</v>
      </c>
      <c r="B9" s="4" t="s">
        <v>17</v>
      </c>
      <c r="C9" s="12" t="s">
        <v>18</v>
      </c>
      <c r="D9" s="2">
        <v>0.5</v>
      </c>
      <c r="E9" s="2">
        <v>0.37</v>
      </c>
      <c r="F9" s="2">
        <v>25</v>
      </c>
      <c r="G9" s="2">
        <v>25</v>
      </c>
      <c r="H9" s="13">
        <v>2840</v>
      </c>
      <c r="I9" s="297">
        <f>H9*0.63</f>
        <v>1789.2</v>
      </c>
      <c r="J9" s="297"/>
    </row>
    <row r="10" spans="1:10" ht="17.25" customHeight="1" x14ac:dyDescent="0.35">
      <c r="A10" s="6">
        <v>4</v>
      </c>
      <c r="B10" s="4" t="s">
        <v>19</v>
      </c>
      <c r="C10" s="12" t="s">
        <v>20</v>
      </c>
      <c r="D10" s="2">
        <v>1</v>
      </c>
      <c r="E10" s="2">
        <v>0.75</v>
      </c>
      <c r="F10" s="2">
        <v>25</v>
      </c>
      <c r="G10" s="2">
        <v>25</v>
      </c>
      <c r="H10" s="13">
        <v>3660</v>
      </c>
      <c r="I10" s="297">
        <f>H10*0.63</f>
        <v>2305.8000000000002</v>
      </c>
      <c r="J10" s="297"/>
    </row>
    <row r="11" spans="1:10" ht="17.25" customHeight="1" x14ac:dyDescent="0.35">
      <c r="A11" s="6">
        <v>5</v>
      </c>
      <c r="B11" s="6" t="s">
        <v>21</v>
      </c>
      <c r="C11" s="14" t="s">
        <v>22</v>
      </c>
      <c r="D11" s="2">
        <v>0.5</v>
      </c>
      <c r="E11" s="2">
        <v>0.37</v>
      </c>
      <c r="F11" s="2">
        <v>25</v>
      </c>
      <c r="G11" s="2">
        <v>25</v>
      </c>
      <c r="H11" s="8">
        <v>3160</v>
      </c>
      <c r="I11" s="26">
        <f>H11*0.67</f>
        <v>2117.2000000000003</v>
      </c>
      <c r="J11" s="26">
        <f>I11*0.97</f>
        <v>2053.6840000000002</v>
      </c>
    </row>
    <row r="12" spans="1:10" ht="17.25" customHeight="1" x14ac:dyDescent="0.35">
      <c r="A12" s="6">
        <v>6</v>
      </c>
      <c r="B12" s="6" t="s">
        <v>23</v>
      </c>
      <c r="C12" s="14" t="s">
        <v>24</v>
      </c>
      <c r="D12" s="2">
        <v>1</v>
      </c>
      <c r="E12" s="2">
        <v>0.75</v>
      </c>
      <c r="F12" s="2">
        <v>25</v>
      </c>
      <c r="G12" s="2">
        <v>25</v>
      </c>
      <c r="H12" s="8">
        <v>4120</v>
      </c>
      <c r="I12" s="26">
        <f t="shared" ref="I12:I25" si="0">H12*0.67</f>
        <v>2760.4</v>
      </c>
      <c r="J12" s="26">
        <f t="shared" ref="J12:J25" si="1">I12*0.97</f>
        <v>2677.5880000000002</v>
      </c>
    </row>
    <row r="13" spans="1:10" ht="17.25" customHeight="1" x14ac:dyDescent="0.35">
      <c r="A13" s="4">
        <v>7</v>
      </c>
      <c r="B13" s="4" t="s">
        <v>25</v>
      </c>
      <c r="C13" s="12" t="s">
        <v>26</v>
      </c>
      <c r="D13" s="2">
        <v>1.5</v>
      </c>
      <c r="E13" s="2">
        <v>1</v>
      </c>
      <c r="F13" s="2">
        <v>25</v>
      </c>
      <c r="G13" s="2">
        <v>25</v>
      </c>
      <c r="H13" s="8">
        <v>5750</v>
      </c>
      <c r="I13" s="26">
        <f t="shared" si="0"/>
        <v>3852.5000000000005</v>
      </c>
      <c r="J13" s="26">
        <f t="shared" si="1"/>
        <v>3736.9250000000002</v>
      </c>
    </row>
    <row r="14" spans="1:10" ht="17.25" customHeight="1" x14ac:dyDescent="0.35">
      <c r="A14" s="6">
        <v>8</v>
      </c>
      <c r="B14" s="6" t="s">
        <v>27</v>
      </c>
      <c r="C14" s="14" t="s">
        <v>28</v>
      </c>
      <c r="D14" s="2">
        <v>0.5</v>
      </c>
      <c r="E14" s="2">
        <v>0.37</v>
      </c>
      <c r="F14" s="2">
        <v>25</v>
      </c>
      <c r="G14" s="2">
        <v>25</v>
      </c>
      <c r="H14" s="8">
        <v>3520</v>
      </c>
      <c r="I14" s="26">
        <f t="shared" si="0"/>
        <v>2358.4</v>
      </c>
      <c r="J14" s="26">
        <f t="shared" si="1"/>
        <v>2287.6480000000001</v>
      </c>
    </row>
    <row r="15" spans="1:10" ht="17.25" customHeight="1" x14ac:dyDescent="0.35">
      <c r="A15" s="6">
        <v>9</v>
      </c>
      <c r="B15" s="4" t="s">
        <v>29</v>
      </c>
      <c r="C15" s="15" t="s">
        <v>30</v>
      </c>
      <c r="D15" s="2">
        <v>1</v>
      </c>
      <c r="E15" s="2">
        <v>0.75</v>
      </c>
      <c r="F15" s="2">
        <v>25</v>
      </c>
      <c r="G15" s="2">
        <v>25</v>
      </c>
      <c r="H15" s="8">
        <v>3660</v>
      </c>
      <c r="I15" s="26">
        <f t="shared" si="0"/>
        <v>2452.2000000000003</v>
      </c>
      <c r="J15" s="26">
        <f t="shared" si="1"/>
        <v>2378.634</v>
      </c>
    </row>
    <row r="16" spans="1:10" ht="17.25" customHeight="1" x14ac:dyDescent="0.35">
      <c r="A16" s="6">
        <v>10</v>
      </c>
      <c r="B16" s="4" t="s">
        <v>31</v>
      </c>
      <c r="C16" s="12" t="s">
        <v>32</v>
      </c>
      <c r="D16" s="2">
        <v>1</v>
      </c>
      <c r="E16" s="2">
        <v>0.75</v>
      </c>
      <c r="F16" s="2">
        <v>25</v>
      </c>
      <c r="G16" s="2">
        <v>25</v>
      </c>
      <c r="H16" s="8">
        <v>4220</v>
      </c>
      <c r="I16" s="26">
        <f t="shared" si="0"/>
        <v>2827.4</v>
      </c>
      <c r="J16" s="26">
        <f t="shared" si="1"/>
        <v>2742.578</v>
      </c>
    </row>
    <row r="17" spans="1:10" ht="17.25" customHeight="1" x14ac:dyDescent="0.35">
      <c r="A17" s="4">
        <v>11</v>
      </c>
      <c r="B17" s="6" t="s">
        <v>33</v>
      </c>
      <c r="C17" s="14" t="s">
        <v>34</v>
      </c>
      <c r="D17" s="2">
        <v>0.75</v>
      </c>
      <c r="E17" s="2">
        <v>0.56000000000000005</v>
      </c>
      <c r="F17" s="2">
        <v>25</v>
      </c>
      <c r="G17" s="2">
        <v>25</v>
      </c>
      <c r="H17" s="8">
        <v>4080</v>
      </c>
      <c r="I17" s="26">
        <f t="shared" si="0"/>
        <v>2733.6000000000004</v>
      </c>
      <c r="J17" s="26">
        <f t="shared" si="1"/>
        <v>2651.5920000000001</v>
      </c>
    </row>
    <row r="18" spans="1:10" ht="17.25" customHeight="1" x14ac:dyDescent="0.35">
      <c r="A18" s="6">
        <v>12</v>
      </c>
      <c r="B18" s="4" t="s">
        <v>35</v>
      </c>
      <c r="C18" s="16" t="s">
        <v>36</v>
      </c>
      <c r="D18" s="2">
        <v>1</v>
      </c>
      <c r="E18" s="2">
        <v>0.75</v>
      </c>
      <c r="F18" s="2">
        <v>25</v>
      </c>
      <c r="G18" s="2">
        <v>25</v>
      </c>
      <c r="H18" s="8">
        <v>4730</v>
      </c>
      <c r="I18" s="26">
        <f t="shared" si="0"/>
        <v>3169.1000000000004</v>
      </c>
      <c r="J18" s="26">
        <f t="shared" si="1"/>
        <v>3074.027</v>
      </c>
    </row>
    <row r="19" spans="1:10" ht="17.25" customHeight="1" x14ac:dyDescent="0.35">
      <c r="A19" s="6">
        <v>13</v>
      </c>
      <c r="B19" s="4" t="s">
        <v>37</v>
      </c>
      <c r="C19" s="16" t="s">
        <v>38</v>
      </c>
      <c r="D19" s="2">
        <v>1</v>
      </c>
      <c r="E19" s="2">
        <v>0.75</v>
      </c>
      <c r="F19" s="2">
        <v>25</v>
      </c>
      <c r="G19" s="2">
        <v>25</v>
      </c>
      <c r="H19" s="8">
        <v>4730</v>
      </c>
      <c r="I19" s="26">
        <f t="shared" si="0"/>
        <v>3169.1000000000004</v>
      </c>
      <c r="J19" s="26">
        <f t="shared" si="1"/>
        <v>3074.027</v>
      </c>
    </row>
    <row r="20" spans="1:10" ht="17.25" customHeight="1" x14ac:dyDescent="0.35">
      <c r="A20" s="6">
        <v>14</v>
      </c>
      <c r="B20" s="6" t="s">
        <v>39</v>
      </c>
      <c r="C20" s="14" t="s">
        <v>40</v>
      </c>
      <c r="D20" s="2">
        <v>1</v>
      </c>
      <c r="E20" s="2">
        <v>0.75</v>
      </c>
      <c r="F20" s="2">
        <v>25</v>
      </c>
      <c r="G20" s="2">
        <v>25</v>
      </c>
      <c r="H20" s="8">
        <v>5170</v>
      </c>
      <c r="I20" s="26">
        <f t="shared" si="0"/>
        <v>3463.9</v>
      </c>
      <c r="J20" s="26">
        <f t="shared" si="1"/>
        <v>3359.9830000000002</v>
      </c>
    </row>
    <row r="21" spans="1:10" ht="17.25" customHeight="1" x14ac:dyDescent="0.35">
      <c r="A21" s="4">
        <v>15</v>
      </c>
      <c r="B21" s="6" t="s">
        <v>41</v>
      </c>
      <c r="C21" s="14" t="s">
        <v>42</v>
      </c>
      <c r="D21" s="2">
        <v>1</v>
      </c>
      <c r="E21" s="2">
        <v>0.75</v>
      </c>
      <c r="F21" s="2">
        <v>25</v>
      </c>
      <c r="G21" s="2">
        <v>25</v>
      </c>
      <c r="H21" s="8">
        <v>4670</v>
      </c>
      <c r="I21" s="26">
        <f t="shared" si="0"/>
        <v>3128.9</v>
      </c>
      <c r="J21" s="26">
        <f t="shared" si="1"/>
        <v>3035.0329999999999</v>
      </c>
    </row>
    <row r="22" spans="1:10" ht="17.25" customHeight="1" x14ac:dyDescent="0.35">
      <c r="A22" s="6">
        <v>16</v>
      </c>
      <c r="B22" s="4" t="s">
        <v>43</v>
      </c>
      <c r="C22" s="12" t="s">
        <v>44</v>
      </c>
      <c r="D22" s="2">
        <v>1.2</v>
      </c>
      <c r="E22" s="2">
        <v>0.9</v>
      </c>
      <c r="F22" s="2">
        <v>25</v>
      </c>
      <c r="G22" s="2">
        <v>25</v>
      </c>
      <c r="H22" s="8">
        <v>6650</v>
      </c>
      <c r="I22" s="26">
        <f t="shared" si="0"/>
        <v>4455.5</v>
      </c>
      <c r="J22" s="26">
        <f t="shared" si="1"/>
        <v>4321.835</v>
      </c>
    </row>
    <row r="23" spans="1:10" ht="17.25" customHeight="1" x14ac:dyDescent="0.35">
      <c r="A23" s="6">
        <v>17</v>
      </c>
      <c r="B23" s="6" t="s">
        <v>45</v>
      </c>
      <c r="C23" s="14" t="s">
        <v>46</v>
      </c>
      <c r="D23" s="2">
        <v>1.5</v>
      </c>
      <c r="E23" s="2">
        <v>1.1000000000000001</v>
      </c>
      <c r="F23" s="2">
        <v>25</v>
      </c>
      <c r="G23" s="2">
        <v>25</v>
      </c>
      <c r="H23" s="8">
        <v>8150</v>
      </c>
      <c r="I23" s="26">
        <f t="shared" si="0"/>
        <v>5460.5</v>
      </c>
      <c r="J23" s="26">
        <f t="shared" si="1"/>
        <v>5296.6849999999995</v>
      </c>
    </row>
    <row r="24" spans="1:10" ht="17.25" customHeight="1" x14ac:dyDescent="0.35">
      <c r="A24" s="6">
        <v>18</v>
      </c>
      <c r="B24" s="6" t="s">
        <v>47</v>
      </c>
      <c r="C24" s="14" t="s">
        <v>48</v>
      </c>
      <c r="D24" s="2">
        <v>2</v>
      </c>
      <c r="E24" s="2">
        <v>1.5</v>
      </c>
      <c r="F24" s="2">
        <v>25</v>
      </c>
      <c r="G24" s="2">
        <v>25</v>
      </c>
      <c r="H24" s="8">
        <v>9190</v>
      </c>
      <c r="I24" s="26">
        <f t="shared" si="0"/>
        <v>6157.3</v>
      </c>
      <c r="J24" s="26">
        <f t="shared" si="1"/>
        <v>5972.5810000000001</v>
      </c>
    </row>
    <row r="25" spans="1:10" ht="17.25" customHeight="1" x14ac:dyDescent="0.35">
      <c r="A25" s="4">
        <v>19</v>
      </c>
      <c r="B25" s="6" t="s">
        <v>49</v>
      </c>
      <c r="C25" s="14" t="s">
        <v>50</v>
      </c>
      <c r="D25" s="2">
        <v>0.5</v>
      </c>
      <c r="E25" s="2">
        <v>0.37</v>
      </c>
      <c r="F25" s="2">
        <v>25</v>
      </c>
      <c r="G25" s="2">
        <v>25</v>
      </c>
      <c r="H25" s="8">
        <v>3310</v>
      </c>
      <c r="I25" s="26">
        <f t="shared" si="0"/>
        <v>2217.7000000000003</v>
      </c>
      <c r="J25" s="26">
        <f t="shared" si="1"/>
        <v>2151.1690000000003</v>
      </c>
    </row>
    <row r="26" spans="1:10" ht="17.25" customHeight="1" x14ac:dyDescent="0.35">
      <c r="A26" s="6">
        <v>20</v>
      </c>
      <c r="B26" s="4" t="s">
        <v>51</v>
      </c>
      <c r="C26" s="12" t="s">
        <v>52</v>
      </c>
      <c r="D26" s="2">
        <v>0.5</v>
      </c>
      <c r="E26" s="2">
        <v>0.37</v>
      </c>
      <c r="F26" s="2">
        <v>25</v>
      </c>
      <c r="G26" s="2">
        <v>25</v>
      </c>
      <c r="H26" s="10">
        <v>4380</v>
      </c>
      <c r="I26" s="297">
        <f>H26*0.63</f>
        <v>2759.4</v>
      </c>
      <c r="J26" s="297"/>
    </row>
    <row r="27" spans="1:10" ht="17.25" customHeight="1" x14ac:dyDescent="0.35">
      <c r="A27" s="6">
        <v>21</v>
      </c>
      <c r="B27" s="4" t="s">
        <v>53</v>
      </c>
      <c r="C27" s="12" t="s">
        <v>54</v>
      </c>
      <c r="D27" s="2">
        <v>1</v>
      </c>
      <c r="E27" s="2">
        <v>0.75</v>
      </c>
      <c r="F27" s="2">
        <v>25</v>
      </c>
      <c r="G27" s="2">
        <v>25</v>
      </c>
      <c r="H27" s="10">
        <v>5300</v>
      </c>
      <c r="I27" s="297">
        <f>H27*0.63</f>
        <v>3339</v>
      </c>
      <c r="J27" s="297"/>
    </row>
    <row r="28" spans="1:10" ht="17.25" customHeight="1" x14ac:dyDescent="0.35">
      <c r="A28" s="6">
        <v>22</v>
      </c>
      <c r="B28" s="6" t="s">
        <v>55</v>
      </c>
      <c r="C28" s="14" t="s">
        <v>56</v>
      </c>
      <c r="D28" s="2">
        <v>1.1000000000000001</v>
      </c>
      <c r="E28" s="2">
        <v>0.8</v>
      </c>
      <c r="F28" s="2">
        <v>25</v>
      </c>
      <c r="G28" s="2">
        <v>25</v>
      </c>
      <c r="H28" s="8">
        <v>5040</v>
      </c>
      <c r="I28" s="26">
        <f t="shared" ref="I28:I30" si="2">H28*0.67</f>
        <v>3376.8</v>
      </c>
      <c r="J28" s="26">
        <f t="shared" ref="J28:J30" si="3">I28*0.97</f>
        <v>3275.4960000000001</v>
      </c>
    </row>
    <row r="29" spans="1:10" ht="17.25" customHeight="1" x14ac:dyDescent="0.35">
      <c r="A29" s="4">
        <v>23</v>
      </c>
      <c r="B29" s="6" t="s">
        <v>57</v>
      </c>
      <c r="C29" s="14" t="s">
        <v>58</v>
      </c>
      <c r="D29" s="2">
        <v>1.1000000000000001</v>
      </c>
      <c r="E29" s="2">
        <v>0.8</v>
      </c>
      <c r="F29" s="2">
        <v>25</v>
      </c>
      <c r="G29" s="2">
        <v>25</v>
      </c>
      <c r="H29" s="8">
        <v>5150</v>
      </c>
      <c r="I29" s="26">
        <f t="shared" si="2"/>
        <v>3450.5</v>
      </c>
      <c r="J29" s="26">
        <f t="shared" si="3"/>
        <v>3346.9850000000001</v>
      </c>
    </row>
    <row r="30" spans="1:10" ht="17.25" customHeight="1" x14ac:dyDescent="0.35">
      <c r="A30" s="6">
        <v>24</v>
      </c>
      <c r="B30" s="4" t="s">
        <v>59</v>
      </c>
      <c r="C30" s="16" t="s">
        <v>60</v>
      </c>
      <c r="D30" s="2">
        <v>1.25</v>
      </c>
      <c r="E30" s="2">
        <v>0.94</v>
      </c>
      <c r="F30" s="2">
        <v>25</v>
      </c>
      <c r="G30" s="2">
        <v>25</v>
      </c>
      <c r="H30" s="8">
        <v>6630</v>
      </c>
      <c r="I30" s="26">
        <f t="shared" si="2"/>
        <v>4442.1000000000004</v>
      </c>
      <c r="J30" s="26">
        <f t="shared" si="3"/>
        <v>4308.8370000000004</v>
      </c>
    </row>
    <row r="31" spans="1:10" ht="17.25" customHeight="1" x14ac:dyDescent="0.35">
      <c r="A31" s="6">
        <v>25</v>
      </c>
      <c r="B31" s="6" t="s">
        <v>61</v>
      </c>
      <c r="C31" s="14" t="s">
        <v>62</v>
      </c>
      <c r="D31" s="17">
        <v>0.5</v>
      </c>
      <c r="E31" s="17">
        <v>0.37</v>
      </c>
      <c r="F31" s="17">
        <v>25</v>
      </c>
      <c r="G31" s="17">
        <v>25</v>
      </c>
      <c r="H31" s="9">
        <v>4950</v>
      </c>
      <c r="I31" s="297">
        <f>H31*0.63</f>
        <v>3118.5</v>
      </c>
      <c r="J31" s="297"/>
    </row>
    <row r="32" spans="1:10" ht="17.25" customHeight="1" x14ac:dyDescent="0.35">
      <c r="A32" s="6">
        <v>26</v>
      </c>
      <c r="B32" s="6" t="s">
        <v>63</v>
      </c>
      <c r="C32" s="14" t="s">
        <v>64</v>
      </c>
      <c r="D32" s="17">
        <v>0.5</v>
      </c>
      <c r="E32" s="17">
        <v>0.37</v>
      </c>
      <c r="F32" s="17">
        <v>25</v>
      </c>
      <c r="G32" s="17">
        <v>25</v>
      </c>
      <c r="H32" s="9">
        <v>5000</v>
      </c>
      <c r="I32" s="297">
        <f>H32*0.63</f>
        <v>3150</v>
      </c>
      <c r="J32" s="297"/>
    </row>
    <row r="33" spans="1:10" ht="17.25" customHeight="1" x14ac:dyDescent="0.35">
      <c r="A33" s="4">
        <v>27</v>
      </c>
      <c r="B33" s="6" t="s">
        <v>65</v>
      </c>
      <c r="C33" s="14" t="s">
        <v>66</v>
      </c>
      <c r="D33" s="2">
        <v>1</v>
      </c>
      <c r="E33" s="2">
        <v>0.75</v>
      </c>
      <c r="F33" s="2">
        <v>25</v>
      </c>
      <c r="G33" s="2">
        <v>25</v>
      </c>
      <c r="H33" s="8">
        <v>5560</v>
      </c>
      <c r="I33" s="26">
        <f t="shared" ref="I33:I54" si="4">H33*0.67</f>
        <v>3725.2000000000003</v>
      </c>
      <c r="J33" s="26">
        <f t="shared" ref="J33:J54" si="5">I33*0.97</f>
        <v>3613.444</v>
      </c>
    </row>
    <row r="34" spans="1:10" ht="17.25" customHeight="1" x14ac:dyDescent="0.35">
      <c r="A34" s="6">
        <v>28</v>
      </c>
      <c r="B34" s="6" t="s">
        <v>67</v>
      </c>
      <c r="C34" s="14" t="s">
        <v>68</v>
      </c>
      <c r="D34" s="2">
        <v>1</v>
      </c>
      <c r="E34" s="2">
        <v>0.75</v>
      </c>
      <c r="F34" s="2">
        <v>25</v>
      </c>
      <c r="G34" s="2">
        <v>25</v>
      </c>
      <c r="H34" s="8">
        <v>5650</v>
      </c>
      <c r="I34" s="26">
        <f t="shared" si="4"/>
        <v>3785.5</v>
      </c>
      <c r="J34" s="26">
        <f t="shared" si="5"/>
        <v>3671.9349999999999</v>
      </c>
    </row>
    <row r="35" spans="1:10" ht="17.25" customHeight="1" x14ac:dyDescent="0.35">
      <c r="A35" s="6">
        <v>29</v>
      </c>
      <c r="B35" s="6" t="s">
        <v>69</v>
      </c>
      <c r="C35" s="14" t="s">
        <v>70</v>
      </c>
      <c r="D35" s="2">
        <v>1.5</v>
      </c>
      <c r="E35" s="2">
        <v>1.1000000000000001</v>
      </c>
      <c r="F35" s="2">
        <v>25</v>
      </c>
      <c r="G35" s="2">
        <v>25</v>
      </c>
      <c r="H35" s="8">
        <v>7840</v>
      </c>
      <c r="I35" s="26">
        <f t="shared" si="4"/>
        <v>5252.8</v>
      </c>
      <c r="J35" s="26">
        <f t="shared" si="5"/>
        <v>5095.2160000000003</v>
      </c>
    </row>
    <row r="36" spans="1:10" ht="17.25" customHeight="1" x14ac:dyDescent="0.35">
      <c r="A36" s="6">
        <v>30</v>
      </c>
      <c r="B36" s="6" t="s">
        <v>71</v>
      </c>
      <c r="C36" s="14" t="s">
        <v>72</v>
      </c>
      <c r="D36" s="2">
        <v>1.5</v>
      </c>
      <c r="E36" s="2">
        <v>1.1000000000000001</v>
      </c>
      <c r="F36" s="2">
        <v>25</v>
      </c>
      <c r="G36" s="2">
        <v>25</v>
      </c>
      <c r="H36" s="8">
        <v>8170</v>
      </c>
      <c r="I36" s="26">
        <f t="shared" si="4"/>
        <v>5473.9000000000005</v>
      </c>
      <c r="J36" s="26">
        <f t="shared" si="5"/>
        <v>5309.683</v>
      </c>
    </row>
    <row r="37" spans="1:10" ht="17.25" customHeight="1" x14ac:dyDescent="0.35">
      <c r="A37" s="4">
        <v>31</v>
      </c>
      <c r="B37" s="4" t="s">
        <v>73</v>
      </c>
      <c r="C37" s="12" t="s">
        <v>74</v>
      </c>
      <c r="D37" s="2">
        <v>0.5</v>
      </c>
      <c r="E37" s="2">
        <v>0.37</v>
      </c>
      <c r="F37" s="2">
        <v>25</v>
      </c>
      <c r="G37" s="2">
        <v>25</v>
      </c>
      <c r="H37" s="8">
        <v>6450</v>
      </c>
      <c r="I37" s="26">
        <f t="shared" si="4"/>
        <v>4321.5</v>
      </c>
      <c r="J37" s="26">
        <f t="shared" si="5"/>
        <v>4191.8549999999996</v>
      </c>
    </row>
    <row r="38" spans="1:10" ht="17.25" customHeight="1" x14ac:dyDescent="0.35">
      <c r="A38" s="6">
        <v>32</v>
      </c>
      <c r="B38" s="6" t="s">
        <v>75</v>
      </c>
      <c r="C38" s="14" t="s">
        <v>76</v>
      </c>
      <c r="D38" s="3">
        <v>0.9</v>
      </c>
      <c r="E38" s="3">
        <v>0.7</v>
      </c>
      <c r="F38" s="3">
        <v>25</v>
      </c>
      <c r="G38" s="3">
        <v>25</v>
      </c>
      <c r="H38" s="8">
        <v>6640</v>
      </c>
      <c r="I38" s="26">
        <f t="shared" si="4"/>
        <v>4448.8</v>
      </c>
      <c r="J38" s="26">
        <f t="shared" si="5"/>
        <v>4315.3360000000002</v>
      </c>
    </row>
    <row r="39" spans="1:10" ht="17.25" customHeight="1" x14ac:dyDescent="0.35">
      <c r="A39" s="6">
        <v>33</v>
      </c>
      <c r="B39" s="6" t="s">
        <v>77</v>
      </c>
      <c r="C39" s="14" t="s">
        <v>78</v>
      </c>
      <c r="D39" s="3">
        <v>1</v>
      </c>
      <c r="E39" s="3">
        <v>0.75</v>
      </c>
      <c r="F39" s="3">
        <v>25</v>
      </c>
      <c r="G39" s="3">
        <v>25</v>
      </c>
      <c r="H39" s="8">
        <v>7100</v>
      </c>
      <c r="I39" s="26">
        <f t="shared" si="4"/>
        <v>4757</v>
      </c>
      <c r="J39" s="26">
        <f t="shared" si="5"/>
        <v>4614.29</v>
      </c>
    </row>
    <row r="40" spans="1:10" ht="17.25" customHeight="1" x14ac:dyDescent="0.35">
      <c r="A40" s="6">
        <v>34</v>
      </c>
      <c r="B40" s="4" t="s">
        <v>79</v>
      </c>
      <c r="C40" s="15" t="s">
        <v>80</v>
      </c>
      <c r="D40" s="3">
        <v>0.5</v>
      </c>
      <c r="E40" s="3">
        <v>0.37</v>
      </c>
      <c r="F40" s="3">
        <v>25</v>
      </c>
      <c r="G40" s="3">
        <v>25</v>
      </c>
      <c r="H40" s="8">
        <v>5500</v>
      </c>
      <c r="I40" s="26">
        <f t="shared" si="4"/>
        <v>3685</v>
      </c>
      <c r="J40" s="26">
        <f t="shared" si="5"/>
        <v>3574.45</v>
      </c>
    </row>
    <row r="41" spans="1:10" ht="17.25" customHeight="1" x14ac:dyDescent="0.35">
      <c r="A41" s="4">
        <v>35</v>
      </c>
      <c r="B41" s="4"/>
      <c r="C41" s="15" t="s">
        <v>81</v>
      </c>
      <c r="D41" s="3">
        <v>1</v>
      </c>
      <c r="E41" s="3">
        <v>0.75</v>
      </c>
      <c r="F41" s="3">
        <v>25</v>
      </c>
      <c r="G41" s="3">
        <v>25</v>
      </c>
      <c r="H41" s="8">
        <v>6200</v>
      </c>
      <c r="I41" s="26">
        <f t="shared" si="4"/>
        <v>4154</v>
      </c>
      <c r="J41" s="26">
        <f t="shared" si="5"/>
        <v>4029.38</v>
      </c>
    </row>
    <row r="42" spans="1:10" ht="17.25" customHeight="1" x14ac:dyDescent="0.35">
      <c r="A42" s="6">
        <v>36</v>
      </c>
      <c r="B42" s="4" t="s">
        <v>82</v>
      </c>
      <c r="C42" s="12" t="s">
        <v>83</v>
      </c>
      <c r="D42" s="1">
        <v>0.5</v>
      </c>
      <c r="E42" s="1">
        <v>0.37</v>
      </c>
      <c r="F42" s="1">
        <v>25</v>
      </c>
      <c r="G42" s="1">
        <v>25</v>
      </c>
      <c r="H42" s="8">
        <v>7140</v>
      </c>
      <c r="I42" s="26">
        <f t="shared" si="4"/>
        <v>4783.8</v>
      </c>
      <c r="J42" s="26">
        <f t="shared" si="5"/>
        <v>4640.2860000000001</v>
      </c>
    </row>
    <row r="43" spans="1:10" ht="17.25" customHeight="1" x14ac:dyDescent="0.35">
      <c r="A43" s="6">
        <v>37</v>
      </c>
      <c r="B43" s="6" t="s">
        <v>84</v>
      </c>
      <c r="C43" s="14" t="s">
        <v>85</v>
      </c>
      <c r="D43" s="1">
        <v>1.1000000000000001</v>
      </c>
      <c r="E43" s="1">
        <v>0.8</v>
      </c>
      <c r="F43" s="1">
        <v>25</v>
      </c>
      <c r="G43" s="1">
        <v>25</v>
      </c>
      <c r="H43" s="8">
        <v>7700</v>
      </c>
      <c r="I43" s="26">
        <f t="shared" si="4"/>
        <v>5159</v>
      </c>
      <c r="J43" s="26">
        <f t="shared" si="5"/>
        <v>5004.2299999999996</v>
      </c>
    </row>
    <row r="44" spans="1:10" ht="17.25" customHeight="1" x14ac:dyDescent="0.35">
      <c r="A44" s="6">
        <v>38</v>
      </c>
      <c r="B44" s="6" t="s">
        <v>86</v>
      </c>
      <c r="C44" s="14" t="s">
        <v>87</v>
      </c>
      <c r="D44" s="1">
        <v>1.5</v>
      </c>
      <c r="E44" s="1">
        <v>1.1000000000000001</v>
      </c>
      <c r="F44" s="1">
        <v>25</v>
      </c>
      <c r="G44" s="1">
        <v>25</v>
      </c>
      <c r="H44" s="8">
        <v>8690</v>
      </c>
      <c r="I44" s="26">
        <f t="shared" si="4"/>
        <v>5822.3</v>
      </c>
      <c r="J44" s="26">
        <f t="shared" si="5"/>
        <v>5647.6310000000003</v>
      </c>
    </row>
    <row r="45" spans="1:10" ht="17.25" customHeight="1" x14ac:dyDescent="0.35">
      <c r="A45" s="4">
        <v>39</v>
      </c>
      <c r="B45" s="4" t="s">
        <v>88</v>
      </c>
      <c r="C45" s="12" t="s">
        <v>89</v>
      </c>
      <c r="D45" s="2">
        <v>0.5</v>
      </c>
      <c r="E45" s="2">
        <v>0.37</v>
      </c>
      <c r="F45" s="2">
        <v>25</v>
      </c>
      <c r="G45" s="2">
        <v>12</v>
      </c>
      <c r="H45" s="8">
        <v>4860</v>
      </c>
      <c r="I45" s="26">
        <f t="shared" si="4"/>
        <v>3256.2000000000003</v>
      </c>
      <c r="J45" s="26">
        <f t="shared" si="5"/>
        <v>3158.5140000000001</v>
      </c>
    </row>
    <row r="46" spans="1:10" ht="17.25" customHeight="1" x14ac:dyDescent="0.35">
      <c r="A46" s="6">
        <v>40</v>
      </c>
      <c r="B46" s="4" t="s">
        <v>90</v>
      </c>
      <c r="C46" s="12" t="s">
        <v>91</v>
      </c>
      <c r="D46" s="2">
        <v>1</v>
      </c>
      <c r="E46" s="2">
        <v>0.75</v>
      </c>
      <c r="F46" s="2">
        <v>25</v>
      </c>
      <c r="G46" s="2">
        <v>25</v>
      </c>
      <c r="H46" s="8">
        <v>5600</v>
      </c>
      <c r="I46" s="26">
        <f t="shared" si="4"/>
        <v>3752</v>
      </c>
      <c r="J46" s="26">
        <f t="shared" si="5"/>
        <v>3639.44</v>
      </c>
    </row>
    <row r="47" spans="1:10" ht="17.25" customHeight="1" x14ac:dyDescent="0.35">
      <c r="A47" s="6">
        <v>41</v>
      </c>
      <c r="B47" s="6" t="s">
        <v>92</v>
      </c>
      <c r="C47" s="14" t="s">
        <v>93</v>
      </c>
      <c r="D47" s="17">
        <v>1</v>
      </c>
      <c r="E47" s="17">
        <v>0.75</v>
      </c>
      <c r="F47" s="17">
        <v>25</v>
      </c>
      <c r="G47" s="17">
        <v>25</v>
      </c>
      <c r="H47" s="9">
        <v>8420</v>
      </c>
      <c r="I47" s="297">
        <f>H47*0.63</f>
        <v>5304.6</v>
      </c>
      <c r="J47" s="297"/>
    </row>
    <row r="48" spans="1:10" ht="17.25" customHeight="1" x14ac:dyDescent="0.35">
      <c r="A48" s="6">
        <v>42</v>
      </c>
      <c r="B48" s="6" t="s">
        <v>94</v>
      </c>
      <c r="C48" s="14" t="s">
        <v>95</v>
      </c>
      <c r="D48" s="2">
        <v>1.1000000000000001</v>
      </c>
      <c r="E48" s="2">
        <v>0.8</v>
      </c>
      <c r="F48" s="2">
        <v>25</v>
      </c>
      <c r="G48" s="2">
        <v>25</v>
      </c>
      <c r="H48" s="8">
        <v>12020</v>
      </c>
      <c r="I48" s="26">
        <f t="shared" si="4"/>
        <v>8053.4000000000005</v>
      </c>
      <c r="J48" s="26">
        <f t="shared" si="5"/>
        <v>7811.7980000000007</v>
      </c>
    </row>
    <row r="49" spans="1:10" ht="17.25" customHeight="1" x14ac:dyDescent="0.35">
      <c r="A49" s="4">
        <v>43</v>
      </c>
      <c r="B49" s="4" t="s">
        <v>96</v>
      </c>
      <c r="C49" s="12" t="s">
        <v>97</v>
      </c>
      <c r="D49" s="2">
        <v>0.5</v>
      </c>
      <c r="E49" s="2">
        <v>0.37</v>
      </c>
      <c r="F49" s="2">
        <v>25</v>
      </c>
      <c r="G49" s="2">
        <v>25</v>
      </c>
      <c r="H49" s="8">
        <v>7530</v>
      </c>
      <c r="I49" s="26">
        <f t="shared" si="4"/>
        <v>5045.1000000000004</v>
      </c>
      <c r="J49" s="26">
        <f t="shared" si="5"/>
        <v>4893.7470000000003</v>
      </c>
    </row>
    <row r="50" spans="1:10" ht="17.25" customHeight="1" x14ac:dyDescent="0.35">
      <c r="A50" s="6">
        <v>44</v>
      </c>
      <c r="B50" s="4" t="s">
        <v>98</v>
      </c>
      <c r="C50" s="12" t="s">
        <v>99</v>
      </c>
      <c r="D50" s="2">
        <v>1</v>
      </c>
      <c r="E50" s="2">
        <v>0.75</v>
      </c>
      <c r="F50" s="2">
        <v>25</v>
      </c>
      <c r="G50" s="2">
        <v>25</v>
      </c>
      <c r="H50" s="8">
        <v>9150</v>
      </c>
      <c r="I50" s="26">
        <f t="shared" si="4"/>
        <v>6130.5</v>
      </c>
      <c r="J50" s="26">
        <f t="shared" si="5"/>
        <v>5946.585</v>
      </c>
    </row>
    <row r="51" spans="1:10" ht="17.25" customHeight="1" x14ac:dyDescent="0.35">
      <c r="A51" s="6">
        <v>45</v>
      </c>
      <c r="B51" s="4" t="s">
        <v>100</v>
      </c>
      <c r="C51" s="12" t="s">
        <v>101</v>
      </c>
      <c r="D51" s="2">
        <v>1</v>
      </c>
      <c r="E51" s="2">
        <v>0.75</v>
      </c>
      <c r="F51" s="2">
        <v>25</v>
      </c>
      <c r="G51" s="2">
        <v>25</v>
      </c>
      <c r="H51" s="5">
        <v>16800</v>
      </c>
      <c r="I51" s="26">
        <f t="shared" si="4"/>
        <v>11256</v>
      </c>
      <c r="J51" s="26">
        <f t="shared" si="5"/>
        <v>10918.32</v>
      </c>
    </row>
    <row r="52" spans="1:10" ht="17.25" customHeight="1" x14ac:dyDescent="0.35">
      <c r="A52" s="6">
        <v>46</v>
      </c>
      <c r="B52" s="6" t="s">
        <v>102</v>
      </c>
      <c r="C52" s="14" t="s">
        <v>103</v>
      </c>
      <c r="D52" s="2">
        <v>0.5</v>
      </c>
      <c r="E52" s="2">
        <v>0.37</v>
      </c>
      <c r="F52" s="2">
        <v>25</v>
      </c>
      <c r="G52" s="2">
        <v>25</v>
      </c>
      <c r="H52" s="8">
        <v>17760</v>
      </c>
      <c r="I52" s="26">
        <f t="shared" si="4"/>
        <v>11899.2</v>
      </c>
      <c r="J52" s="26">
        <f t="shared" si="5"/>
        <v>11542.224</v>
      </c>
    </row>
    <row r="53" spans="1:10" ht="17.25" customHeight="1" x14ac:dyDescent="0.35">
      <c r="A53" s="4">
        <v>47</v>
      </c>
      <c r="B53" s="6" t="s">
        <v>104</v>
      </c>
      <c r="C53" s="14" t="s">
        <v>105</v>
      </c>
      <c r="D53" s="2">
        <v>1</v>
      </c>
      <c r="E53" s="2">
        <v>0.75</v>
      </c>
      <c r="F53" s="2">
        <v>25</v>
      </c>
      <c r="G53" s="2">
        <v>25</v>
      </c>
      <c r="H53" s="8">
        <v>19120</v>
      </c>
      <c r="I53" s="26">
        <f t="shared" si="4"/>
        <v>12810.400000000001</v>
      </c>
      <c r="J53" s="26">
        <f t="shared" si="5"/>
        <v>12426.088000000002</v>
      </c>
    </row>
    <row r="54" spans="1:10" ht="17.25" customHeight="1" x14ac:dyDescent="0.35">
      <c r="A54" s="6">
        <v>48</v>
      </c>
      <c r="B54" s="6" t="s">
        <v>106</v>
      </c>
      <c r="C54" s="14" t="s">
        <v>107</v>
      </c>
      <c r="D54" s="2">
        <v>1.1000000000000001</v>
      </c>
      <c r="E54" s="2">
        <v>0.8</v>
      </c>
      <c r="F54" s="2">
        <v>25</v>
      </c>
      <c r="G54" s="2">
        <v>25</v>
      </c>
      <c r="H54" s="8">
        <v>20900</v>
      </c>
      <c r="I54" s="26">
        <f t="shared" si="4"/>
        <v>14003</v>
      </c>
      <c r="J54" s="26">
        <f t="shared" si="5"/>
        <v>13582.91</v>
      </c>
    </row>
    <row r="55" spans="1:10" ht="17.25" customHeight="1" x14ac:dyDescent="0.35">
      <c r="A55" s="267" t="s">
        <v>108</v>
      </c>
      <c r="B55" s="268"/>
      <c r="C55" s="268"/>
      <c r="D55" s="268"/>
      <c r="E55" s="268"/>
      <c r="F55" s="268"/>
      <c r="G55" s="269"/>
      <c r="H55" s="207" t="s">
        <v>109</v>
      </c>
      <c r="I55" s="131" t="s">
        <v>334</v>
      </c>
    </row>
    <row r="56" spans="1:10" ht="17.25" customHeight="1" x14ac:dyDescent="0.35">
      <c r="A56" s="207" t="s">
        <v>2</v>
      </c>
      <c r="B56" s="287" t="s">
        <v>3</v>
      </c>
      <c r="C56" s="260" t="s">
        <v>4</v>
      </c>
      <c r="D56" s="209" t="s">
        <v>5</v>
      </c>
      <c r="E56" s="210"/>
      <c r="F56" s="209" t="s">
        <v>6</v>
      </c>
      <c r="G56" s="210"/>
      <c r="H56" s="259"/>
      <c r="I56" s="323">
        <v>0.37</v>
      </c>
    </row>
    <row r="57" spans="1:10" ht="17.25" customHeight="1" x14ac:dyDescent="0.35">
      <c r="A57" s="208"/>
      <c r="B57" s="287"/>
      <c r="C57" s="261"/>
      <c r="D57" s="11" t="s">
        <v>9</v>
      </c>
      <c r="E57" s="11" t="s">
        <v>10</v>
      </c>
      <c r="F57" s="11" t="s">
        <v>11</v>
      </c>
      <c r="G57" s="11" t="s">
        <v>12</v>
      </c>
      <c r="H57" s="208"/>
      <c r="I57" s="324"/>
    </row>
    <row r="58" spans="1:10" ht="17.25" customHeight="1" x14ac:dyDescent="0.35">
      <c r="A58" s="6">
        <v>1</v>
      </c>
      <c r="B58" s="6" t="s">
        <v>110</v>
      </c>
      <c r="C58" s="14" t="s">
        <v>111</v>
      </c>
      <c r="D58" s="303">
        <v>0.5</v>
      </c>
      <c r="E58" s="303">
        <v>0.37</v>
      </c>
      <c r="F58" s="2">
        <v>25</v>
      </c>
      <c r="G58" s="2">
        <v>25</v>
      </c>
      <c r="H58" s="8">
        <v>4680</v>
      </c>
      <c r="I58" s="26">
        <f>H58*0.63</f>
        <v>2948.4</v>
      </c>
    </row>
    <row r="59" spans="1:10" ht="17.25" customHeight="1" x14ac:dyDescent="0.35">
      <c r="A59" s="6">
        <v>2</v>
      </c>
      <c r="B59" s="6" t="s">
        <v>112</v>
      </c>
      <c r="C59" s="14" t="s">
        <v>113</v>
      </c>
      <c r="D59" s="303"/>
      <c r="E59" s="303"/>
      <c r="F59" s="2">
        <v>40</v>
      </c>
      <c r="G59" s="2">
        <v>40</v>
      </c>
      <c r="H59" s="8">
        <v>6430</v>
      </c>
      <c r="I59" s="26">
        <f t="shared" ref="I59:I113" si="6">H59*0.63</f>
        <v>4050.9</v>
      </c>
    </row>
    <row r="60" spans="1:10" ht="17.25" customHeight="1" x14ac:dyDescent="0.35">
      <c r="A60" s="4">
        <v>3</v>
      </c>
      <c r="B60" s="4" t="s">
        <v>114</v>
      </c>
      <c r="C60" s="18" t="s">
        <v>115</v>
      </c>
      <c r="D60" s="2">
        <v>0.75</v>
      </c>
      <c r="E60" s="2">
        <v>0.56000000000000005</v>
      </c>
      <c r="F60" s="2">
        <v>40</v>
      </c>
      <c r="G60" s="2">
        <v>40</v>
      </c>
      <c r="H60" s="5">
        <v>6240</v>
      </c>
      <c r="I60" s="26">
        <f t="shared" si="6"/>
        <v>3931.2</v>
      </c>
    </row>
    <row r="61" spans="1:10" ht="17.25" customHeight="1" x14ac:dyDescent="0.35">
      <c r="A61" s="6">
        <v>4</v>
      </c>
      <c r="B61" s="6" t="s">
        <v>116</v>
      </c>
      <c r="C61" s="14" t="s">
        <v>117</v>
      </c>
      <c r="D61" s="262">
        <v>1</v>
      </c>
      <c r="E61" s="262">
        <v>0.75</v>
      </c>
      <c r="F61" s="1">
        <v>25</v>
      </c>
      <c r="G61" s="1">
        <v>25</v>
      </c>
      <c r="H61" s="8">
        <v>7572</v>
      </c>
      <c r="I61" s="26">
        <f t="shared" si="6"/>
        <v>4770.3599999999997</v>
      </c>
    </row>
    <row r="62" spans="1:10" ht="17.25" customHeight="1" x14ac:dyDescent="0.35">
      <c r="A62" s="6">
        <v>5</v>
      </c>
      <c r="B62" s="6" t="s">
        <v>118</v>
      </c>
      <c r="C62" s="14" t="s">
        <v>119</v>
      </c>
      <c r="D62" s="266"/>
      <c r="E62" s="266"/>
      <c r="F62" s="1">
        <v>50</v>
      </c>
      <c r="G62" s="1">
        <v>50</v>
      </c>
      <c r="H62" s="8">
        <v>8900</v>
      </c>
      <c r="I62" s="26">
        <f t="shared" si="6"/>
        <v>5607</v>
      </c>
    </row>
    <row r="63" spans="1:10" ht="17.25" customHeight="1" x14ac:dyDescent="0.35">
      <c r="A63" s="4">
        <v>6</v>
      </c>
      <c r="B63" s="6" t="s">
        <v>120</v>
      </c>
      <c r="C63" s="14" t="s">
        <v>121</v>
      </c>
      <c r="D63" s="266"/>
      <c r="E63" s="266"/>
      <c r="F63" s="1">
        <v>50</v>
      </c>
      <c r="G63" s="1">
        <v>50</v>
      </c>
      <c r="H63" s="5">
        <v>9100</v>
      </c>
      <c r="I63" s="26">
        <f t="shared" si="6"/>
        <v>5733</v>
      </c>
    </row>
    <row r="64" spans="1:10" ht="17.25" customHeight="1" x14ac:dyDescent="0.35">
      <c r="A64" s="6">
        <v>7</v>
      </c>
      <c r="B64" s="4" t="s">
        <v>122</v>
      </c>
      <c r="C64" s="18" t="s">
        <v>123</v>
      </c>
      <c r="D64" s="266"/>
      <c r="E64" s="266"/>
      <c r="F64" s="1">
        <v>50</v>
      </c>
      <c r="G64" s="1">
        <v>50</v>
      </c>
      <c r="H64" s="5">
        <v>9000</v>
      </c>
      <c r="I64" s="26">
        <f t="shared" si="6"/>
        <v>5670</v>
      </c>
    </row>
    <row r="65" spans="1:9" ht="17.25" customHeight="1" x14ac:dyDescent="0.35">
      <c r="A65" s="6">
        <v>8</v>
      </c>
      <c r="B65" s="4" t="s">
        <v>124</v>
      </c>
      <c r="C65" s="19" t="s">
        <v>125</v>
      </c>
      <c r="D65" s="266"/>
      <c r="E65" s="266"/>
      <c r="F65" s="1">
        <v>75</v>
      </c>
      <c r="G65" s="1">
        <v>75</v>
      </c>
      <c r="H65" s="8">
        <v>10000</v>
      </c>
      <c r="I65" s="26">
        <f t="shared" si="6"/>
        <v>6300</v>
      </c>
    </row>
    <row r="66" spans="1:9" ht="17.25" customHeight="1" x14ac:dyDescent="0.35">
      <c r="A66" s="4">
        <v>9</v>
      </c>
      <c r="B66" s="4"/>
      <c r="C66" s="18" t="s">
        <v>126</v>
      </c>
      <c r="D66" s="263"/>
      <c r="E66" s="263"/>
      <c r="F66" s="1">
        <v>75</v>
      </c>
      <c r="G66" s="1">
        <v>75</v>
      </c>
      <c r="H66" s="5">
        <v>10200</v>
      </c>
      <c r="I66" s="26">
        <f t="shared" si="6"/>
        <v>6426</v>
      </c>
    </row>
    <row r="67" spans="1:9" ht="17.25" customHeight="1" x14ac:dyDescent="0.35">
      <c r="A67" s="6">
        <v>10</v>
      </c>
      <c r="B67" s="4" t="s">
        <v>127</v>
      </c>
      <c r="C67" s="19" t="s">
        <v>128</v>
      </c>
      <c r="D67" s="262">
        <v>1.5</v>
      </c>
      <c r="E67" s="262">
        <v>1.1000000000000001</v>
      </c>
      <c r="F67" s="1">
        <v>50</v>
      </c>
      <c r="G67" s="1">
        <v>50</v>
      </c>
      <c r="H67" s="5">
        <v>10420</v>
      </c>
      <c r="I67" s="26">
        <f t="shared" si="6"/>
        <v>6564.6</v>
      </c>
    </row>
    <row r="68" spans="1:9" ht="17.25" customHeight="1" x14ac:dyDescent="0.35">
      <c r="A68" s="6">
        <v>11</v>
      </c>
      <c r="B68" s="4" t="s">
        <v>129</v>
      </c>
      <c r="C68" s="18" t="s">
        <v>130</v>
      </c>
      <c r="D68" s="266"/>
      <c r="E68" s="266"/>
      <c r="F68" s="1">
        <v>50</v>
      </c>
      <c r="G68" s="1">
        <v>50</v>
      </c>
      <c r="H68" s="5">
        <v>10600</v>
      </c>
      <c r="I68" s="26">
        <f t="shared" si="6"/>
        <v>6678</v>
      </c>
    </row>
    <row r="69" spans="1:9" ht="17.25" customHeight="1" x14ac:dyDescent="0.35">
      <c r="A69" s="4">
        <v>12</v>
      </c>
      <c r="B69" s="4" t="s">
        <v>131</v>
      </c>
      <c r="C69" s="19" t="s">
        <v>132</v>
      </c>
      <c r="D69" s="266"/>
      <c r="E69" s="266"/>
      <c r="F69" s="1">
        <v>65</v>
      </c>
      <c r="G69" s="1">
        <v>50</v>
      </c>
      <c r="H69" s="5">
        <v>10600</v>
      </c>
      <c r="I69" s="26">
        <f t="shared" si="6"/>
        <v>6678</v>
      </c>
    </row>
    <row r="70" spans="1:9" ht="17.25" customHeight="1" x14ac:dyDescent="0.35">
      <c r="A70" s="6">
        <v>13</v>
      </c>
      <c r="B70" s="4" t="s">
        <v>133</v>
      </c>
      <c r="C70" s="18" t="s">
        <v>134</v>
      </c>
      <c r="D70" s="266"/>
      <c r="E70" s="266"/>
      <c r="F70" s="1">
        <v>65</v>
      </c>
      <c r="G70" s="1">
        <v>50</v>
      </c>
      <c r="H70" s="5">
        <v>10800</v>
      </c>
      <c r="I70" s="26">
        <f t="shared" si="6"/>
        <v>6804</v>
      </c>
    </row>
    <row r="71" spans="1:9" ht="17.25" customHeight="1" x14ac:dyDescent="0.35">
      <c r="A71" s="6">
        <v>14</v>
      </c>
      <c r="B71" s="4" t="s">
        <v>135</v>
      </c>
      <c r="C71" s="19" t="s">
        <v>136</v>
      </c>
      <c r="D71" s="266"/>
      <c r="E71" s="266"/>
      <c r="F71" s="1">
        <v>75</v>
      </c>
      <c r="G71" s="1">
        <v>75</v>
      </c>
      <c r="H71" s="8">
        <v>11000</v>
      </c>
      <c r="I71" s="26">
        <f t="shared" si="6"/>
        <v>6930</v>
      </c>
    </row>
    <row r="72" spans="1:9" ht="17.25" customHeight="1" x14ac:dyDescent="0.35">
      <c r="A72" s="4">
        <v>15</v>
      </c>
      <c r="B72" s="4" t="s">
        <v>137</v>
      </c>
      <c r="C72" s="18" t="s">
        <v>138</v>
      </c>
      <c r="D72" s="266"/>
      <c r="E72" s="266"/>
      <c r="F72" s="1">
        <v>75</v>
      </c>
      <c r="G72" s="1">
        <v>75</v>
      </c>
      <c r="H72" s="5">
        <v>11200</v>
      </c>
      <c r="I72" s="26">
        <f t="shared" si="6"/>
        <v>7056</v>
      </c>
    </row>
    <row r="73" spans="1:9" ht="17.25" customHeight="1" x14ac:dyDescent="0.35">
      <c r="A73" s="6">
        <v>16</v>
      </c>
      <c r="B73" s="4" t="s">
        <v>139</v>
      </c>
      <c r="C73" s="18" t="s">
        <v>140</v>
      </c>
      <c r="D73" s="263"/>
      <c r="E73" s="263"/>
      <c r="F73" s="1">
        <v>75</v>
      </c>
      <c r="G73" s="1">
        <v>75</v>
      </c>
      <c r="H73" s="5">
        <v>11200</v>
      </c>
      <c r="I73" s="26">
        <f t="shared" si="6"/>
        <v>7056</v>
      </c>
    </row>
    <row r="74" spans="1:9" ht="17.25" customHeight="1" x14ac:dyDescent="0.35">
      <c r="A74" s="6">
        <v>17</v>
      </c>
      <c r="B74" s="4" t="s">
        <v>141</v>
      </c>
      <c r="C74" s="19" t="s">
        <v>142</v>
      </c>
      <c r="D74" s="262">
        <v>2</v>
      </c>
      <c r="E74" s="262">
        <v>1.5</v>
      </c>
      <c r="F74" s="1">
        <v>50</v>
      </c>
      <c r="G74" s="1">
        <v>40</v>
      </c>
      <c r="H74" s="8">
        <v>15000</v>
      </c>
      <c r="I74" s="26">
        <f t="shared" si="6"/>
        <v>9450</v>
      </c>
    </row>
    <row r="75" spans="1:9" ht="17.25" customHeight="1" x14ac:dyDescent="0.35">
      <c r="A75" s="4">
        <v>18</v>
      </c>
      <c r="B75" s="4" t="s">
        <v>143</v>
      </c>
      <c r="C75" s="18" t="s">
        <v>144</v>
      </c>
      <c r="D75" s="266"/>
      <c r="E75" s="266"/>
      <c r="F75" s="1">
        <v>50</v>
      </c>
      <c r="G75" s="1">
        <v>40</v>
      </c>
      <c r="H75" s="5">
        <v>15200</v>
      </c>
      <c r="I75" s="26">
        <f t="shared" si="6"/>
        <v>9576</v>
      </c>
    </row>
    <row r="76" spans="1:9" ht="17.25" customHeight="1" x14ac:dyDescent="0.35">
      <c r="A76" s="6">
        <v>19</v>
      </c>
      <c r="B76" s="6" t="s">
        <v>145</v>
      </c>
      <c r="C76" s="14" t="s">
        <v>146</v>
      </c>
      <c r="D76" s="266"/>
      <c r="E76" s="266"/>
      <c r="F76" s="1">
        <v>50</v>
      </c>
      <c r="G76" s="1">
        <v>50</v>
      </c>
      <c r="H76" s="8">
        <v>13000</v>
      </c>
      <c r="I76" s="26">
        <f t="shared" si="6"/>
        <v>8190</v>
      </c>
    </row>
    <row r="77" spans="1:9" ht="17.25" customHeight="1" x14ac:dyDescent="0.35">
      <c r="A77" s="6">
        <v>20</v>
      </c>
      <c r="B77" s="4" t="s">
        <v>147</v>
      </c>
      <c r="C77" s="18" t="s">
        <v>148</v>
      </c>
      <c r="D77" s="266"/>
      <c r="E77" s="266"/>
      <c r="F77" s="1">
        <v>50</v>
      </c>
      <c r="G77" s="1">
        <v>50</v>
      </c>
      <c r="H77" s="5">
        <v>13200</v>
      </c>
      <c r="I77" s="26">
        <f t="shared" si="6"/>
        <v>8316</v>
      </c>
    </row>
    <row r="78" spans="1:9" ht="17.25" customHeight="1" x14ac:dyDescent="0.35">
      <c r="A78" s="4">
        <v>21</v>
      </c>
      <c r="B78" s="6" t="s">
        <v>149</v>
      </c>
      <c r="C78" s="14" t="s">
        <v>150</v>
      </c>
      <c r="D78" s="266"/>
      <c r="E78" s="266"/>
      <c r="F78" s="1">
        <v>65</v>
      </c>
      <c r="G78" s="1">
        <v>50</v>
      </c>
      <c r="H78" s="8">
        <v>13300</v>
      </c>
      <c r="I78" s="26">
        <f t="shared" si="6"/>
        <v>8379</v>
      </c>
    </row>
    <row r="79" spans="1:9" ht="17.25" customHeight="1" x14ac:dyDescent="0.35">
      <c r="A79" s="6">
        <v>22</v>
      </c>
      <c r="B79" s="6" t="s">
        <v>151</v>
      </c>
      <c r="C79" s="14" t="s">
        <v>152</v>
      </c>
      <c r="D79" s="266"/>
      <c r="E79" s="266"/>
      <c r="F79" s="1">
        <v>65</v>
      </c>
      <c r="G79" s="1">
        <v>50</v>
      </c>
      <c r="H79" s="5">
        <v>13500</v>
      </c>
      <c r="I79" s="26">
        <f t="shared" si="6"/>
        <v>8505</v>
      </c>
    </row>
    <row r="80" spans="1:9" ht="17.25" customHeight="1" x14ac:dyDescent="0.35">
      <c r="A80" s="6">
        <v>23</v>
      </c>
      <c r="B80" s="4" t="s">
        <v>153</v>
      </c>
      <c r="C80" s="18" t="s">
        <v>154</v>
      </c>
      <c r="D80" s="266"/>
      <c r="E80" s="266"/>
      <c r="F80" s="1">
        <v>65</v>
      </c>
      <c r="G80" s="1">
        <v>50</v>
      </c>
      <c r="H80" s="5">
        <v>13340</v>
      </c>
      <c r="I80" s="26">
        <f t="shared" si="6"/>
        <v>8404.2000000000007</v>
      </c>
    </row>
    <row r="81" spans="1:9" ht="17.25" customHeight="1" x14ac:dyDescent="0.35">
      <c r="A81" s="4">
        <v>24</v>
      </c>
      <c r="B81" s="6"/>
      <c r="C81" s="14" t="s">
        <v>155</v>
      </c>
      <c r="D81" s="266"/>
      <c r="E81" s="266"/>
      <c r="F81" s="1">
        <v>65</v>
      </c>
      <c r="G81" s="1">
        <v>50</v>
      </c>
      <c r="H81" s="8">
        <v>13300</v>
      </c>
      <c r="I81" s="26">
        <f t="shared" si="6"/>
        <v>8379</v>
      </c>
    </row>
    <row r="82" spans="1:9" ht="17.25" customHeight="1" x14ac:dyDescent="0.35">
      <c r="A82" s="6">
        <v>25</v>
      </c>
      <c r="B82" s="4" t="s">
        <v>156</v>
      </c>
      <c r="C82" s="18" t="s">
        <v>157</v>
      </c>
      <c r="D82" s="266"/>
      <c r="E82" s="266"/>
      <c r="F82" s="1">
        <v>75</v>
      </c>
      <c r="G82" s="1">
        <v>75</v>
      </c>
      <c r="H82" s="5">
        <v>13600</v>
      </c>
      <c r="I82" s="26">
        <f t="shared" si="6"/>
        <v>8568</v>
      </c>
    </row>
    <row r="83" spans="1:9" ht="17.25" customHeight="1" x14ac:dyDescent="0.35">
      <c r="A83" s="6">
        <v>26</v>
      </c>
      <c r="B83" s="6" t="s">
        <v>158</v>
      </c>
      <c r="C83" s="14" t="s">
        <v>159</v>
      </c>
      <c r="D83" s="266"/>
      <c r="E83" s="266"/>
      <c r="F83" s="1">
        <v>75</v>
      </c>
      <c r="G83" s="1">
        <v>75</v>
      </c>
      <c r="H83" s="8">
        <v>13450</v>
      </c>
      <c r="I83" s="26">
        <f t="shared" si="6"/>
        <v>8473.5</v>
      </c>
    </row>
    <row r="84" spans="1:9" ht="17.25" customHeight="1" x14ac:dyDescent="0.35">
      <c r="A84" s="4">
        <v>27</v>
      </c>
      <c r="B84" s="6" t="s">
        <v>160</v>
      </c>
      <c r="C84" s="14" t="s">
        <v>161</v>
      </c>
      <c r="D84" s="266"/>
      <c r="E84" s="266"/>
      <c r="F84" s="1">
        <v>75</v>
      </c>
      <c r="G84" s="1">
        <v>75</v>
      </c>
      <c r="H84" s="5">
        <v>13800</v>
      </c>
      <c r="I84" s="26">
        <f t="shared" si="6"/>
        <v>8694</v>
      </c>
    </row>
    <row r="85" spans="1:9" ht="17.25" customHeight="1" x14ac:dyDescent="0.35">
      <c r="A85" s="6">
        <v>28</v>
      </c>
      <c r="B85" s="6" t="s">
        <v>162</v>
      </c>
      <c r="C85" s="14" t="s">
        <v>163</v>
      </c>
      <c r="D85" s="266"/>
      <c r="E85" s="266"/>
      <c r="F85" s="1">
        <v>75</v>
      </c>
      <c r="G85" s="1">
        <v>75</v>
      </c>
      <c r="H85" s="5">
        <v>14000</v>
      </c>
      <c r="I85" s="26">
        <f t="shared" si="6"/>
        <v>8820</v>
      </c>
    </row>
    <row r="86" spans="1:9" ht="17.25" customHeight="1" x14ac:dyDescent="0.35">
      <c r="A86" s="6">
        <v>29</v>
      </c>
      <c r="B86" s="6" t="s">
        <v>164</v>
      </c>
      <c r="C86" s="14" t="s">
        <v>165</v>
      </c>
      <c r="D86" s="266"/>
      <c r="E86" s="266"/>
      <c r="F86" s="1">
        <v>75</v>
      </c>
      <c r="G86" s="1">
        <v>75</v>
      </c>
      <c r="H86" s="5">
        <v>14500</v>
      </c>
      <c r="I86" s="26">
        <f t="shared" si="6"/>
        <v>9135</v>
      </c>
    </row>
    <row r="87" spans="1:9" ht="17.25" customHeight="1" x14ac:dyDescent="0.35">
      <c r="A87" s="4">
        <v>30</v>
      </c>
      <c r="B87" s="4" t="s">
        <v>166</v>
      </c>
      <c r="C87" s="18" t="s">
        <v>167</v>
      </c>
      <c r="D87" s="266"/>
      <c r="E87" s="266"/>
      <c r="F87" s="1">
        <v>75</v>
      </c>
      <c r="G87" s="1">
        <v>75</v>
      </c>
      <c r="H87" s="5">
        <v>13550</v>
      </c>
      <c r="I87" s="26">
        <f t="shared" si="6"/>
        <v>8536.5</v>
      </c>
    </row>
    <row r="88" spans="1:9" ht="17.25" customHeight="1" x14ac:dyDescent="0.35">
      <c r="A88" s="6">
        <v>31</v>
      </c>
      <c r="B88" s="6" t="s">
        <v>168</v>
      </c>
      <c r="C88" s="14" t="s">
        <v>169</v>
      </c>
      <c r="D88" s="266"/>
      <c r="E88" s="266"/>
      <c r="F88" s="1">
        <v>75</v>
      </c>
      <c r="G88" s="1">
        <v>65</v>
      </c>
      <c r="H88" s="8">
        <v>13450</v>
      </c>
      <c r="I88" s="26">
        <f t="shared" si="6"/>
        <v>8473.5</v>
      </c>
    </row>
    <row r="89" spans="1:9" ht="17.25" customHeight="1" x14ac:dyDescent="0.35">
      <c r="A89" s="6">
        <v>32</v>
      </c>
      <c r="B89" s="6" t="s">
        <v>170</v>
      </c>
      <c r="C89" s="14" t="s">
        <v>171</v>
      </c>
      <c r="D89" s="266"/>
      <c r="E89" s="266"/>
      <c r="F89" s="1">
        <v>75</v>
      </c>
      <c r="G89" s="1">
        <v>65</v>
      </c>
      <c r="H89" s="5">
        <v>13740</v>
      </c>
      <c r="I89" s="26">
        <f t="shared" si="6"/>
        <v>8656.2000000000007</v>
      </c>
    </row>
    <row r="90" spans="1:9" ht="17.25" customHeight="1" x14ac:dyDescent="0.35">
      <c r="A90" s="4">
        <v>33</v>
      </c>
      <c r="B90" s="4"/>
      <c r="C90" s="19" t="s">
        <v>172</v>
      </c>
      <c r="D90" s="266"/>
      <c r="E90" s="266"/>
      <c r="F90" s="1">
        <v>100</v>
      </c>
      <c r="G90" s="1">
        <v>100</v>
      </c>
      <c r="H90" s="8">
        <v>15000</v>
      </c>
      <c r="I90" s="26">
        <f t="shared" si="6"/>
        <v>9450</v>
      </c>
    </row>
    <row r="91" spans="1:9" ht="17.25" customHeight="1" x14ac:dyDescent="0.35">
      <c r="A91" s="6">
        <v>34</v>
      </c>
      <c r="B91" s="4"/>
      <c r="C91" s="18" t="s">
        <v>173</v>
      </c>
      <c r="D91" s="263"/>
      <c r="E91" s="263"/>
      <c r="F91" s="1">
        <v>100</v>
      </c>
      <c r="G91" s="1">
        <v>100</v>
      </c>
      <c r="H91" s="5">
        <v>15200</v>
      </c>
      <c r="I91" s="26">
        <f t="shared" si="6"/>
        <v>9576</v>
      </c>
    </row>
    <row r="92" spans="1:9" ht="17.25" customHeight="1" x14ac:dyDescent="0.35">
      <c r="A92" s="6">
        <v>35</v>
      </c>
      <c r="B92" s="4"/>
      <c r="C92" s="19" t="s">
        <v>174</v>
      </c>
      <c r="D92" s="262">
        <v>3</v>
      </c>
      <c r="E92" s="262">
        <v>2.25</v>
      </c>
      <c r="F92" s="1">
        <v>50</v>
      </c>
      <c r="G92" s="1">
        <v>40</v>
      </c>
      <c r="H92" s="8">
        <v>18000</v>
      </c>
      <c r="I92" s="26">
        <f t="shared" si="6"/>
        <v>11340</v>
      </c>
    </row>
    <row r="93" spans="1:9" ht="17.25" customHeight="1" x14ac:dyDescent="0.35">
      <c r="A93" s="4">
        <v>36</v>
      </c>
      <c r="B93" s="4" t="s">
        <v>175</v>
      </c>
      <c r="C93" s="18" t="s">
        <v>176</v>
      </c>
      <c r="D93" s="266"/>
      <c r="E93" s="266"/>
      <c r="F93" s="1">
        <v>50</v>
      </c>
      <c r="G93" s="1">
        <v>40</v>
      </c>
      <c r="H93" s="5">
        <v>18560</v>
      </c>
      <c r="I93" s="26">
        <f t="shared" si="6"/>
        <v>11692.8</v>
      </c>
    </row>
    <row r="94" spans="1:9" ht="17.25" customHeight="1" x14ac:dyDescent="0.35">
      <c r="A94" s="6">
        <v>37</v>
      </c>
      <c r="B94" s="4" t="s">
        <v>177</v>
      </c>
      <c r="C94" s="19" t="s">
        <v>178</v>
      </c>
      <c r="D94" s="266"/>
      <c r="E94" s="266"/>
      <c r="F94" s="1">
        <v>50</v>
      </c>
      <c r="G94" s="1">
        <v>50</v>
      </c>
      <c r="H94" s="8">
        <v>18250</v>
      </c>
      <c r="I94" s="26">
        <f t="shared" si="6"/>
        <v>11497.5</v>
      </c>
    </row>
    <row r="95" spans="1:9" ht="17.25" customHeight="1" x14ac:dyDescent="0.35">
      <c r="A95" s="6">
        <v>38</v>
      </c>
      <c r="B95" s="4" t="s">
        <v>179</v>
      </c>
      <c r="C95" s="18" t="s">
        <v>180</v>
      </c>
      <c r="D95" s="266"/>
      <c r="E95" s="266"/>
      <c r="F95" s="1">
        <v>50</v>
      </c>
      <c r="G95" s="1">
        <v>50</v>
      </c>
      <c r="H95" s="5">
        <v>18670</v>
      </c>
      <c r="I95" s="26">
        <f t="shared" si="6"/>
        <v>11762.1</v>
      </c>
    </row>
    <row r="96" spans="1:9" ht="17.25" customHeight="1" x14ac:dyDescent="0.35">
      <c r="A96" s="4">
        <v>39</v>
      </c>
      <c r="B96" s="6" t="s">
        <v>181</v>
      </c>
      <c r="C96" s="14" t="s">
        <v>182</v>
      </c>
      <c r="D96" s="266"/>
      <c r="E96" s="266"/>
      <c r="F96" s="1">
        <v>65</v>
      </c>
      <c r="G96" s="1">
        <v>50</v>
      </c>
      <c r="H96" s="8">
        <v>18100</v>
      </c>
      <c r="I96" s="26">
        <f t="shared" si="6"/>
        <v>11403</v>
      </c>
    </row>
    <row r="97" spans="1:9" ht="17.25" customHeight="1" x14ac:dyDescent="0.35">
      <c r="A97" s="6">
        <v>40</v>
      </c>
      <c r="B97" s="6" t="s">
        <v>183</v>
      </c>
      <c r="C97" s="14" t="s">
        <v>184</v>
      </c>
      <c r="D97" s="266"/>
      <c r="E97" s="266"/>
      <c r="F97" s="1">
        <v>65</v>
      </c>
      <c r="G97" s="1">
        <v>50</v>
      </c>
      <c r="H97" s="5">
        <v>18770</v>
      </c>
      <c r="I97" s="26">
        <f t="shared" si="6"/>
        <v>11825.1</v>
      </c>
    </row>
    <row r="98" spans="1:9" ht="17.25" customHeight="1" x14ac:dyDescent="0.35">
      <c r="A98" s="6">
        <v>41</v>
      </c>
      <c r="B98" s="6" t="s">
        <v>185</v>
      </c>
      <c r="C98" s="14" t="s">
        <v>186</v>
      </c>
      <c r="D98" s="266"/>
      <c r="E98" s="266"/>
      <c r="F98" s="1">
        <v>75</v>
      </c>
      <c r="G98" s="1">
        <v>75</v>
      </c>
      <c r="H98" s="8">
        <v>18020</v>
      </c>
      <c r="I98" s="26">
        <f t="shared" si="6"/>
        <v>11352.6</v>
      </c>
    </row>
    <row r="99" spans="1:9" ht="17.25" customHeight="1" x14ac:dyDescent="0.35">
      <c r="A99" s="4">
        <v>42</v>
      </c>
      <c r="B99" s="6" t="s">
        <v>187</v>
      </c>
      <c r="C99" s="14" t="s">
        <v>188</v>
      </c>
      <c r="D99" s="266"/>
      <c r="E99" s="266"/>
      <c r="F99" s="1">
        <v>75</v>
      </c>
      <c r="G99" s="1">
        <v>75</v>
      </c>
      <c r="H99" s="5">
        <v>18680</v>
      </c>
      <c r="I99" s="26">
        <f t="shared" si="6"/>
        <v>11768.4</v>
      </c>
    </row>
    <row r="100" spans="1:9" ht="17.25" customHeight="1" x14ac:dyDescent="0.35">
      <c r="A100" s="6">
        <v>43</v>
      </c>
      <c r="B100" s="6" t="s">
        <v>189</v>
      </c>
      <c r="C100" s="14" t="s">
        <v>190</v>
      </c>
      <c r="D100" s="266"/>
      <c r="E100" s="266"/>
      <c r="F100" s="1">
        <v>100</v>
      </c>
      <c r="G100" s="1">
        <v>100</v>
      </c>
      <c r="H100" s="8">
        <v>19100</v>
      </c>
      <c r="I100" s="26">
        <f t="shared" si="6"/>
        <v>12033</v>
      </c>
    </row>
    <row r="101" spans="1:9" ht="17.25" customHeight="1" x14ac:dyDescent="0.35">
      <c r="A101" s="6">
        <v>44</v>
      </c>
      <c r="B101" s="6" t="s">
        <v>191</v>
      </c>
      <c r="C101" s="14" t="s">
        <v>192</v>
      </c>
      <c r="D101" s="266"/>
      <c r="E101" s="266"/>
      <c r="F101" s="1">
        <v>100</v>
      </c>
      <c r="G101" s="1">
        <v>100</v>
      </c>
      <c r="H101" s="5">
        <v>19500</v>
      </c>
      <c r="I101" s="26">
        <f t="shared" si="6"/>
        <v>12285</v>
      </c>
    </row>
    <row r="102" spans="1:9" ht="17.25" customHeight="1" x14ac:dyDescent="0.35">
      <c r="A102" s="4">
        <v>45</v>
      </c>
      <c r="B102" s="6" t="s">
        <v>193</v>
      </c>
      <c r="C102" s="14" t="s">
        <v>194</v>
      </c>
      <c r="D102" s="266"/>
      <c r="E102" s="266"/>
      <c r="F102" s="1">
        <v>100</v>
      </c>
      <c r="G102" s="1">
        <v>100</v>
      </c>
      <c r="H102" s="5">
        <v>14800</v>
      </c>
      <c r="I102" s="26">
        <f t="shared" si="6"/>
        <v>9324</v>
      </c>
    </row>
    <row r="103" spans="1:9" ht="17.25" customHeight="1" x14ac:dyDescent="0.35">
      <c r="A103" s="6">
        <v>46</v>
      </c>
      <c r="B103" s="4" t="s">
        <v>195</v>
      </c>
      <c r="C103" s="18" t="s">
        <v>196</v>
      </c>
      <c r="D103" s="263"/>
      <c r="E103" s="263"/>
      <c r="F103" s="1">
        <v>100</v>
      </c>
      <c r="G103" s="1">
        <v>100</v>
      </c>
      <c r="H103" s="5">
        <v>15000</v>
      </c>
      <c r="I103" s="26">
        <f t="shared" si="6"/>
        <v>9450</v>
      </c>
    </row>
    <row r="104" spans="1:9" ht="17.25" customHeight="1" x14ac:dyDescent="0.35">
      <c r="A104" s="6">
        <v>47</v>
      </c>
      <c r="B104" s="6" t="s">
        <v>197</v>
      </c>
      <c r="C104" s="14" t="s">
        <v>198</v>
      </c>
      <c r="D104" s="262">
        <v>5</v>
      </c>
      <c r="E104" s="262">
        <v>3.75</v>
      </c>
      <c r="F104" s="1">
        <v>80</v>
      </c>
      <c r="G104" s="1">
        <v>65</v>
      </c>
      <c r="H104" s="5">
        <v>24600</v>
      </c>
      <c r="I104" s="26">
        <f t="shared" si="6"/>
        <v>15498</v>
      </c>
    </row>
    <row r="105" spans="1:9" ht="17.25" customHeight="1" x14ac:dyDescent="0.35">
      <c r="A105" s="4">
        <v>48</v>
      </c>
      <c r="B105" s="4"/>
      <c r="C105" s="20" t="s">
        <v>199</v>
      </c>
      <c r="D105" s="266"/>
      <c r="E105" s="266"/>
      <c r="F105" s="1">
        <v>80</v>
      </c>
      <c r="G105" s="1">
        <v>65</v>
      </c>
      <c r="H105" s="5">
        <v>26000</v>
      </c>
      <c r="I105" s="26">
        <f t="shared" si="6"/>
        <v>16380</v>
      </c>
    </row>
    <row r="106" spans="1:9" ht="17.25" customHeight="1" x14ac:dyDescent="0.35">
      <c r="A106" s="6">
        <v>49</v>
      </c>
      <c r="B106" s="6" t="s">
        <v>200</v>
      </c>
      <c r="C106" s="20" t="s">
        <v>201</v>
      </c>
      <c r="D106" s="263"/>
      <c r="E106" s="263"/>
      <c r="F106" s="1">
        <v>80</v>
      </c>
      <c r="G106" s="1">
        <v>65</v>
      </c>
      <c r="H106" s="5">
        <v>23600</v>
      </c>
      <c r="I106" s="26">
        <f t="shared" si="6"/>
        <v>14868</v>
      </c>
    </row>
    <row r="107" spans="1:9" ht="17.25" customHeight="1" x14ac:dyDescent="0.35">
      <c r="A107" s="6">
        <v>50</v>
      </c>
      <c r="B107" s="4" t="s">
        <v>202</v>
      </c>
      <c r="C107" s="18" t="s">
        <v>203</v>
      </c>
      <c r="D107" s="7">
        <v>0.75</v>
      </c>
      <c r="E107" s="7">
        <v>0.56000000000000005</v>
      </c>
      <c r="F107" s="2">
        <v>25</v>
      </c>
      <c r="G107" s="2">
        <v>25</v>
      </c>
      <c r="H107" s="5">
        <v>5170</v>
      </c>
      <c r="I107" s="26">
        <f t="shared" si="6"/>
        <v>3257.1</v>
      </c>
    </row>
    <row r="108" spans="1:9" ht="17.25" customHeight="1" x14ac:dyDescent="0.35">
      <c r="A108" s="4">
        <v>51</v>
      </c>
      <c r="B108" s="4" t="s">
        <v>204</v>
      </c>
      <c r="C108" s="18" t="s">
        <v>205</v>
      </c>
      <c r="D108" s="262">
        <v>1</v>
      </c>
      <c r="E108" s="262">
        <v>0.75</v>
      </c>
      <c r="F108" s="1">
        <v>40</v>
      </c>
      <c r="G108" s="1">
        <v>40</v>
      </c>
      <c r="H108" s="5">
        <v>9000</v>
      </c>
      <c r="I108" s="26">
        <f t="shared" si="6"/>
        <v>5670</v>
      </c>
    </row>
    <row r="109" spans="1:9" ht="17.25" customHeight="1" x14ac:dyDescent="0.35">
      <c r="A109" s="6">
        <v>52</v>
      </c>
      <c r="B109" s="4"/>
      <c r="C109" s="18" t="s">
        <v>206</v>
      </c>
      <c r="D109" s="263"/>
      <c r="E109" s="263"/>
      <c r="F109" s="1">
        <v>40</v>
      </c>
      <c r="G109" s="1">
        <v>40</v>
      </c>
      <c r="H109" s="5">
        <v>9000</v>
      </c>
      <c r="I109" s="26">
        <f t="shared" si="6"/>
        <v>5670</v>
      </c>
    </row>
    <row r="110" spans="1:9" ht="17.25" customHeight="1" x14ac:dyDescent="0.35">
      <c r="A110" s="6">
        <v>53</v>
      </c>
      <c r="B110" s="4"/>
      <c r="C110" s="20" t="s">
        <v>207</v>
      </c>
      <c r="D110" s="262">
        <v>2</v>
      </c>
      <c r="E110" s="262">
        <v>1.5</v>
      </c>
      <c r="F110" s="1">
        <v>75</v>
      </c>
      <c r="G110" s="1">
        <v>75</v>
      </c>
      <c r="H110" s="5">
        <v>12500</v>
      </c>
      <c r="I110" s="26">
        <f t="shared" si="6"/>
        <v>7875</v>
      </c>
    </row>
    <row r="111" spans="1:9" ht="17.25" customHeight="1" x14ac:dyDescent="0.35">
      <c r="A111" s="4">
        <v>54</v>
      </c>
      <c r="B111" s="4" t="s">
        <v>208</v>
      </c>
      <c r="C111" s="20" t="s">
        <v>209</v>
      </c>
      <c r="D111" s="266"/>
      <c r="E111" s="266"/>
      <c r="F111" s="1">
        <v>75</v>
      </c>
      <c r="G111" s="1">
        <v>75</v>
      </c>
      <c r="H111" s="5">
        <v>12500</v>
      </c>
      <c r="I111" s="26">
        <f t="shared" si="6"/>
        <v>7875</v>
      </c>
    </row>
    <row r="112" spans="1:9" ht="17.25" customHeight="1" x14ac:dyDescent="0.35">
      <c r="A112" s="6">
        <v>55</v>
      </c>
      <c r="B112" s="4" t="s">
        <v>210</v>
      </c>
      <c r="C112" s="20" t="s">
        <v>211</v>
      </c>
      <c r="D112" s="266"/>
      <c r="E112" s="266"/>
      <c r="F112" s="1">
        <v>65</v>
      </c>
      <c r="G112" s="1">
        <v>50</v>
      </c>
      <c r="H112" s="5">
        <v>12200</v>
      </c>
      <c r="I112" s="26">
        <f t="shared" si="6"/>
        <v>7686</v>
      </c>
    </row>
    <row r="113" spans="1:9" ht="17.25" customHeight="1" x14ac:dyDescent="0.35">
      <c r="A113" s="6">
        <v>56</v>
      </c>
      <c r="B113" s="4" t="s">
        <v>212</v>
      </c>
      <c r="C113" s="20" t="s">
        <v>213</v>
      </c>
      <c r="D113" s="263"/>
      <c r="E113" s="263"/>
      <c r="F113" s="1">
        <v>50</v>
      </c>
      <c r="G113" s="1">
        <v>50</v>
      </c>
      <c r="H113" s="5">
        <v>12200</v>
      </c>
      <c r="I113" s="26">
        <f t="shared" si="6"/>
        <v>7686</v>
      </c>
    </row>
    <row r="114" spans="1:9" ht="17.25" customHeight="1" x14ac:dyDescent="0.35">
      <c r="A114" s="300" t="s">
        <v>214</v>
      </c>
      <c r="B114" s="300"/>
      <c r="C114" s="300"/>
      <c r="D114" s="300"/>
      <c r="E114" s="300"/>
      <c r="F114" s="300"/>
      <c r="G114" s="300"/>
      <c r="H114" s="207" t="s">
        <v>109</v>
      </c>
      <c r="I114" s="131" t="s">
        <v>334</v>
      </c>
    </row>
    <row r="115" spans="1:9" ht="17.25" customHeight="1" x14ac:dyDescent="0.35">
      <c r="A115" s="207" t="s">
        <v>2</v>
      </c>
      <c r="B115" s="287" t="s">
        <v>3</v>
      </c>
      <c r="C115" s="298" t="s">
        <v>4</v>
      </c>
      <c r="D115" s="287" t="s">
        <v>5</v>
      </c>
      <c r="E115" s="287"/>
      <c r="F115" s="287" t="s">
        <v>6</v>
      </c>
      <c r="G115" s="287"/>
      <c r="H115" s="259"/>
      <c r="I115" s="323">
        <v>0.37</v>
      </c>
    </row>
    <row r="116" spans="1:9" ht="17.25" customHeight="1" x14ac:dyDescent="0.35">
      <c r="A116" s="208"/>
      <c r="B116" s="287"/>
      <c r="C116" s="298"/>
      <c r="D116" s="11" t="s">
        <v>9</v>
      </c>
      <c r="E116" s="11" t="s">
        <v>10</v>
      </c>
      <c r="F116" s="11" t="s">
        <v>11</v>
      </c>
      <c r="G116" s="11" t="s">
        <v>12</v>
      </c>
      <c r="H116" s="208"/>
      <c r="I116" s="324"/>
    </row>
    <row r="117" spans="1:9" ht="17.25" customHeight="1" x14ac:dyDescent="0.35">
      <c r="A117" s="4">
        <v>1</v>
      </c>
      <c r="B117" s="4" t="s">
        <v>215</v>
      </c>
      <c r="C117" s="12" t="s">
        <v>216</v>
      </c>
      <c r="D117" s="2">
        <v>0.5</v>
      </c>
      <c r="E117" s="2">
        <v>0.37</v>
      </c>
      <c r="F117" s="2">
        <v>25</v>
      </c>
      <c r="G117" s="2">
        <v>25</v>
      </c>
      <c r="H117" s="13">
        <v>5370</v>
      </c>
      <c r="I117" s="26">
        <f>H117*0.63</f>
        <v>3383.1</v>
      </c>
    </row>
    <row r="118" spans="1:9" ht="17.25" customHeight="1" x14ac:dyDescent="0.35">
      <c r="A118" s="4">
        <v>2</v>
      </c>
      <c r="B118" s="4" t="s">
        <v>217</v>
      </c>
      <c r="C118" s="12" t="s">
        <v>218</v>
      </c>
      <c r="D118" s="2">
        <v>1</v>
      </c>
      <c r="E118" s="2">
        <v>0.75</v>
      </c>
      <c r="F118" s="2">
        <v>25</v>
      </c>
      <c r="G118" s="2">
        <v>25</v>
      </c>
      <c r="H118" s="13">
        <v>7070</v>
      </c>
      <c r="I118" s="148">
        <v>4793</v>
      </c>
    </row>
    <row r="119" spans="1:9" ht="17.25" customHeight="1" x14ac:dyDescent="0.35">
      <c r="A119" s="4">
        <v>3</v>
      </c>
      <c r="B119" s="21" t="s">
        <v>219</v>
      </c>
      <c r="C119" s="22" t="s">
        <v>220</v>
      </c>
      <c r="D119" s="23">
        <v>2</v>
      </c>
      <c r="E119" s="4">
        <v>1.5</v>
      </c>
      <c r="F119" s="4">
        <v>50</v>
      </c>
      <c r="G119" s="4">
        <v>50</v>
      </c>
      <c r="H119" s="4">
        <v>12200</v>
      </c>
      <c r="I119" s="26">
        <f t="shared" ref="I119:I128" si="7">H119*0.63</f>
        <v>7686</v>
      </c>
    </row>
    <row r="120" spans="1:9" ht="17.25" customHeight="1" x14ac:dyDescent="0.35">
      <c r="A120" s="4">
        <v>4</v>
      </c>
      <c r="B120" s="21" t="s">
        <v>221</v>
      </c>
      <c r="C120" s="22" t="s">
        <v>222</v>
      </c>
      <c r="D120" s="23">
        <v>2</v>
      </c>
      <c r="E120" s="4">
        <v>1.5</v>
      </c>
      <c r="F120" s="4">
        <v>50</v>
      </c>
      <c r="G120" s="4">
        <v>50</v>
      </c>
      <c r="H120" s="4">
        <v>12200</v>
      </c>
      <c r="I120" s="26">
        <f t="shared" si="7"/>
        <v>7686</v>
      </c>
    </row>
    <row r="121" spans="1:9" ht="17.25" customHeight="1" x14ac:dyDescent="0.35">
      <c r="A121" s="4">
        <v>5</v>
      </c>
      <c r="B121" s="21" t="s">
        <v>223</v>
      </c>
      <c r="C121" s="22" t="s">
        <v>224</v>
      </c>
      <c r="D121" s="23">
        <v>2</v>
      </c>
      <c r="E121" s="4">
        <v>1.5</v>
      </c>
      <c r="F121" s="4">
        <v>65</v>
      </c>
      <c r="G121" s="4">
        <v>50</v>
      </c>
      <c r="H121" s="4">
        <v>12300</v>
      </c>
      <c r="I121" s="26">
        <f t="shared" si="7"/>
        <v>7749</v>
      </c>
    </row>
    <row r="122" spans="1:9" ht="17.25" customHeight="1" x14ac:dyDescent="0.35">
      <c r="A122" s="4">
        <v>6</v>
      </c>
      <c r="B122" s="21" t="s">
        <v>225</v>
      </c>
      <c r="C122" s="22" t="s">
        <v>226</v>
      </c>
      <c r="D122" s="23">
        <v>2</v>
      </c>
      <c r="E122" s="4">
        <v>1.5</v>
      </c>
      <c r="F122" s="4">
        <v>65</v>
      </c>
      <c r="G122" s="4">
        <v>50</v>
      </c>
      <c r="H122" s="4">
        <v>12300</v>
      </c>
      <c r="I122" s="26">
        <f t="shared" si="7"/>
        <v>7749</v>
      </c>
    </row>
    <row r="123" spans="1:9" ht="17.25" customHeight="1" x14ac:dyDescent="0.35">
      <c r="A123" s="4">
        <v>7</v>
      </c>
      <c r="B123" s="21" t="s">
        <v>227</v>
      </c>
      <c r="C123" s="22" t="s">
        <v>228</v>
      </c>
      <c r="D123" s="21">
        <v>3</v>
      </c>
      <c r="E123" s="4">
        <v>2.25</v>
      </c>
      <c r="F123" s="4">
        <v>65</v>
      </c>
      <c r="G123" s="4">
        <v>50</v>
      </c>
      <c r="H123" s="4">
        <v>12900</v>
      </c>
      <c r="I123" s="26">
        <f t="shared" si="7"/>
        <v>8127</v>
      </c>
    </row>
    <row r="124" spans="1:9" ht="17.25" customHeight="1" x14ac:dyDescent="0.35">
      <c r="A124" s="4">
        <v>8</v>
      </c>
      <c r="B124" s="21" t="s">
        <v>229</v>
      </c>
      <c r="C124" s="24" t="s">
        <v>230</v>
      </c>
      <c r="D124" s="21">
        <v>3</v>
      </c>
      <c r="E124" s="4">
        <v>2.25</v>
      </c>
      <c r="F124" s="4">
        <v>65</v>
      </c>
      <c r="G124" s="4">
        <v>50</v>
      </c>
      <c r="H124" s="4">
        <v>13000</v>
      </c>
      <c r="I124" s="26">
        <f t="shared" si="7"/>
        <v>8190</v>
      </c>
    </row>
    <row r="125" spans="1:9" ht="17.25" customHeight="1" x14ac:dyDescent="0.35">
      <c r="A125" s="4">
        <v>9</v>
      </c>
      <c r="B125" s="21" t="s">
        <v>231</v>
      </c>
      <c r="C125" s="24" t="s">
        <v>232</v>
      </c>
      <c r="D125" s="21">
        <v>3</v>
      </c>
      <c r="E125" s="4">
        <v>2.25</v>
      </c>
      <c r="F125" s="4">
        <v>65</v>
      </c>
      <c r="G125" s="4">
        <v>50</v>
      </c>
      <c r="H125" s="4">
        <v>12900</v>
      </c>
      <c r="I125" s="26">
        <f t="shared" si="7"/>
        <v>8127</v>
      </c>
    </row>
    <row r="126" spans="1:9" ht="17.25" customHeight="1" x14ac:dyDescent="0.35">
      <c r="A126" s="4">
        <v>10</v>
      </c>
      <c r="B126" s="21" t="s">
        <v>233</v>
      </c>
      <c r="C126" s="24" t="s">
        <v>234</v>
      </c>
      <c r="D126" s="21">
        <v>3</v>
      </c>
      <c r="E126" s="4">
        <v>2.25</v>
      </c>
      <c r="F126" s="4">
        <v>65</v>
      </c>
      <c r="G126" s="4">
        <v>50</v>
      </c>
      <c r="H126" s="4">
        <v>19300</v>
      </c>
      <c r="I126" s="26">
        <f t="shared" si="7"/>
        <v>12159</v>
      </c>
    </row>
    <row r="127" spans="1:9" ht="17.25" customHeight="1" x14ac:dyDescent="0.35">
      <c r="A127" s="4">
        <v>11</v>
      </c>
      <c r="B127" s="21" t="s">
        <v>235</v>
      </c>
      <c r="C127" s="24" t="s">
        <v>236</v>
      </c>
      <c r="D127" s="21">
        <v>5</v>
      </c>
      <c r="E127" s="1">
        <v>3.75</v>
      </c>
      <c r="F127" s="4">
        <v>65</v>
      </c>
      <c r="G127" s="4">
        <v>50</v>
      </c>
      <c r="H127" s="4">
        <v>18700</v>
      </c>
      <c r="I127" s="26">
        <f t="shared" si="7"/>
        <v>11781</v>
      </c>
    </row>
    <row r="128" spans="1:9" ht="17.25" customHeight="1" x14ac:dyDescent="0.35">
      <c r="A128" s="4">
        <v>12</v>
      </c>
      <c r="B128" s="21" t="s">
        <v>237</v>
      </c>
      <c r="C128" s="24" t="s">
        <v>238</v>
      </c>
      <c r="D128" s="21">
        <v>5</v>
      </c>
      <c r="E128" s="1">
        <v>3.75</v>
      </c>
      <c r="F128" s="4">
        <v>65</v>
      </c>
      <c r="G128" s="4">
        <v>50</v>
      </c>
      <c r="H128" s="4">
        <v>22900</v>
      </c>
      <c r="I128" s="26">
        <f t="shared" si="7"/>
        <v>14427</v>
      </c>
    </row>
    <row r="129" spans="1:9" ht="17.25" customHeight="1" x14ac:dyDescent="0.35">
      <c r="A129" s="300" t="s">
        <v>239</v>
      </c>
      <c r="B129" s="300"/>
      <c r="C129" s="300"/>
      <c r="D129" s="300"/>
      <c r="E129" s="300"/>
      <c r="F129" s="300"/>
      <c r="G129" s="300"/>
      <c r="H129" s="207" t="s">
        <v>109</v>
      </c>
      <c r="I129" s="131" t="s">
        <v>334</v>
      </c>
    </row>
    <row r="130" spans="1:9" ht="17.25" customHeight="1" x14ac:dyDescent="0.35">
      <c r="A130" s="287" t="s">
        <v>2</v>
      </c>
      <c r="B130" s="287" t="s">
        <v>3</v>
      </c>
      <c r="C130" s="298" t="s">
        <v>4</v>
      </c>
      <c r="D130" s="287" t="s">
        <v>5</v>
      </c>
      <c r="E130" s="287"/>
      <c r="F130" s="272" t="s">
        <v>6</v>
      </c>
      <c r="G130" s="273"/>
      <c r="H130" s="259"/>
      <c r="I130" s="323">
        <v>0.37</v>
      </c>
    </row>
    <row r="131" spans="1:9" ht="17.25" customHeight="1" x14ac:dyDescent="0.35">
      <c r="A131" s="287"/>
      <c r="B131" s="287"/>
      <c r="C131" s="298"/>
      <c r="D131" s="11" t="s">
        <v>9</v>
      </c>
      <c r="E131" s="11" t="s">
        <v>10</v>
      </c>
      <c r="F131" s="274"/>
      <c r="G131" s="275"/>
      <c r="H131" s="208"/>
      <c r="I131" s="324"/>
    </row>
    <row r="132" spans="1:9" ht="17.25" customHeight="1" x14ac:dyDescent="0.35">
      <c r="A132" s="4">
        <v>1</v>
      </c>
      <c r="B132" s="4" t="s">
        <v>240</v>
      </c>
      <c r="C132" s="25" t="s">
        <v>241</v>
      </c>
      <c r="D132" s="4">
        <v>0.5</v>
      </c>
      <c r="E132" s="4"/>
      <c r="F132" s="292">
        <v>32</v>
      </c>
      <c r="G132" s="292"/>
      <c r="H132" s="4">
        <v>8240</v>
      </c>
      <c r="I132" s="26">
        <f t="shared" ref="I132:I154" si="8">H132*0.63</f>
        <v>5191.2</v>
      </c>
    </row>
    <row r="133" spans="1:9" ht="17.25" customHeight="1" x14ac:dyDescent="0.35">
      <c r="A133" s="4">
        <v>2</v>
      </c>
      <c r="B133" s="4" t="s">
        <v>242</v>
      </c>
      <c r="C133" s="25" t="s">
        <v>243</v>
      </c>
      <c r="D133" s="4">
        <v>0.5</v>
      </c>
      <c r="E133" s="4"/>
      <c r="F133" s="292">
        <v>32</v>
      </c>
      <c r="G133" s="292"/>
      <c r="H133" s="4">
        <v>8450</v>
      </c>
      <c r="I133" s="26">
        <f t="shared" si="8"/>
        <v>5323.5</v>
      </c>
    </row>
    <row r="134" spans="1:9" ht="17.25" customHeight="1" x14ac:dyDescent="0.35">
      <c r="A134" s="4">
        <v>3</v>
      </c>
      <c r="B134" s="4" t="s">
        <v>244</v>
      </c>
      <c r="C134" s="25" t="s">
        <v>245</v>
      </c>
      <c r="D134" s="4">
        <v>0.75</v>
      </c>
      <c r="E134" s="4"/>
      <c r="F134" s="292">
        <v>32</v>
      </c>
      <c r="G134" s="292"/>
      <c r="H134" s="4">
        <v>8550</v>
      </c>
      <c r="I134" s="26">
        <f t="shared" si="8"/>
        <v>5386.5</v>
      </c>
    </row>
    <row r="135" spans="1:9" ht="17.25" customHeight="1" x14ac:dyDescent="0.35">
      <c r="A135" s="4">
        <v>4</v>
      </c>
      <c r="B135" s="4" t="s">
        <v>246</v>
      </c>
      <c r="C135" s="25" t="s">
        <v>247</v>
      </c>
      <c r="D135" s="4">
        <v>0.75</v>
      </c>
      <c r="E135" s="4"/>
      <c r="F135" s="292">
        <v>32</v>
      </c>
      <c r="G135" s="292"/>
      <c r="H135" s="4">
        <v>8750</v>
      </c>
      <c r="I135" s="26">
        <f t="shared" si="8"/>
        <v>5512.5</v>
      </c>
    </row>
    <row r="136" spans="1:9" ht="17.25" customHeight="1" x14ac:dyDescent="0.35">
      <c r="A136" s="4">
        <v>5</v>
      </c>
      <c r="B136" s="4" t="s">
        <v>248</v>
      </c>
      <c r="C136" s="25" t="s">
        <v>249</v>
      </c>
      <c r="D136" s="4">
        <v>1</v>
      </c>
      <c r="E136" s="4"/>
      <c r="F136" s="292">
        <v>32</v>
      </c>
      <c r="G136" s="292"/>
      <c r="H136" s="26">
        <v>8800</v>
      </c>
      <c r="I136" s="26">
        <f t="shared" si="8"/>
        <v>5544</v>
      </c>
    </row>
    <row r="137" spans="1:9" ht="17.25" customHeight="1" x14ac:dyDescent="0.35">
      <c r="A137" s="4">
        <v>6</v>
      </c>
      <c r="B137" s="4" t="s">
        <v>250</v>
      </c>
      <c r="C137" s="25" t="s">
        <v>251</v>
      </c>
      <c r="D137" s="4">
        <v>1</v>
      </c>
      <c r="E137" s="4"/>
      <c r="F137" s="292">
        <v>32</v>
      </c>
      <c r="G137" s="292"/>
      <c r="H137" s="26">
        <v>9000</v>
      </c>
      <c r="I137" s="26">
        <f t="shared" si="8"/>
        <v>5670</v>
      </c>
    </row>
    <row r="138" spans="1:9" ht="17.25" customHeight="1" x14ac:dyDescent="0.35">
      <c r="A138" s="4">
        <v>7</v>
      </c>
      <c r="B138" s="4" t="s">
        <v>252</v>
      </c>
      <c r="C138" s="25" t="s">
        <v>253</v>
      </c>
      <c r="D138" s="4">
        <v>1</v>
      </c>
      <c r="E138" s="4"/>
      <c r="F138" s="292">
        <v>32</v>
      </c>
      <c r="G138" s="292"/>
      <c r="H138" s="4">
        <v>9480</v>
      </c>
      <c r="I138" s="26">
        <f t="shared" si="8"/>
        <v>5972.4</v>
      </c>
    </row>
    <row r="139" spans="1:9" ht="17.25" customHeight="1" x14ac:dyDescent="0.35">
      <c r="A139" s="4">
        <v>8</v>
      </c>
      <c r="B139" s="4" t="s">
        <v>254</v>
      </c>
      <c r="C139" s="25" t="s">
        <v>255</v>
      </c>
      <c r="D139" s="4">
        <v>1</v>
      </c>
      <c r="E139" s="4"/>
      <c r="F139" s="292">
        <v>32</v>
      </c>
      <c r="G139" s="292"/>
      <c r="H139" s="4">
        <v>9790</v>
      </c>
      <c r="I139" s="26">
        <f t="shared" si="8"/>
        <v>6167.7</v>
      </c>
    </row>
    <row r="140" spans="1:9" ht="17.25" customHeight="1" x14ac:dyDescent="0.35">
      <c r="A140" s="4">
        <v>9</v>
      </c>
      <c r="B140" s="4" t="s">
        <v>256</v>
      </c>
      <c r="C140" s="25" t="s">
        <v>257</v>
      </c>
      <c r="D140" s="4">
        <v>1.5</v>
      </c>
      <c r="E140" s="4"/>
      <c r="F140" s="292">
        <v>32</v>
      </c>
      <c r="G140" s="292"/>
      <c r="H140" s="4">
        <v>11330</v>
      </c>
      <c r="I140" s="26">
        <f t="shared" si="8"/>
        <v>7137.9</v>
      </c>
    </row>
    <row r="141" spans="1:9" ht="17.25" customHeight="1" x14ac:dyDescent="0.35">
      <c r="A141" s="4">
        <v>10</v>
      </c>
      <c r="B141" s="4" t="s">
        <v>258</v>
      </c>
      <c r="C141" s="25" t="s">
        <v>259</v>
      </c>
      <c r="D141" s="4">
        <v>1.5</v>
      </c>
      <c r="E141" s="4"/>
      <c r="F141" s="292">
        <v>32</v>
      </c>
      <c r="G141" s="292"/>
      <c r="H141" s="4">
        <v>11640</v>
      </c>
      <c r="I141" s="26">
        <f t="shared" si="8"/>
        <v>7333.2</v>
      </c>
    </row>
    <row r="142" spans="1:9" ht="17.25" customHeight="1" x14ac:dyDescent="0.35">
      <c r="A142" s="4">
        <v>11</v>
      </c>
      <c r="B142" s="4" t="s">
        <v>260</v>
      </c>
      <c r="C142" s="25" t="s">
        <v>261</v>
      </c>
      <c r="D142" s="4">
        <v>1.5</v>
      </c>
      <c r="E142" s="4"/>
      <c r="F142" s="292">
        <v>32</v>
      </c>
      <c r="G142" s="292"/>
      <c r="H142" s="4">
        <v>11800</v>
      </c>
      <c r="I142" s="26">
        <f t="shared" si="8"/>
        <v>7434</v>
      </c>
    </row>
    <row r="143" spans="1:9" ht="17.25" customHeight="1" x14ac:dyDescent="0.35">
      <c r="A143" s="4">
        <v>12</v>
      </c>
      <c r="B143" s="4" t="s">
        <v>262</v>
      </c>
      <c r="C143" s="25" t="s">
        <v>263</v>
      </c>
      <c r="D143" s="4">
        <v>1.5</v>
      </c>
      <c r="E143" s="4"/>
      <c r="F143" s="292">
        <v>32</v>
      </c>
      <c r="G143" s="292"/>
      <c r="H143" s="4">
        <v>12670</v>
      </c>
      <c r="I143" s="26">
        <f t="shared" si="8"/>
        <v>7982.1</v>
      </c>
    </row>
    <row r="144" spans="1:9" ht="17.25" customHeight="1" x14ac:dyDescent="0.35">
      <c r="A144" s="4">
        <v>13</v>
      </c>
      <c r="B144" s="4" t="s">
        <v>264</v>
      </c>
      <c r="C144" s="25" t="s">
        <v>265</v>
      </c>
      <c r="D144" s="4">
        <v>2</v>
      </c>
      <c r="E144" s="4"/>
      <c r="F144" s="292">
        <v>40</v>
      </c>
      <c r="G144" s="292"/>
      <c r="H144" s="4">
        <v>14730</v>
      </c>
      <c r="I144" s="26">
        <f t="shared" si="8"/>
        <v>9279.9</v>
      </c>
    </row>
    <row r="145" spans="1:9" ht="17.25" customHeight="1" x14ac:dyDescent="0.35">
      <c r="A145" s="4">
        <v>14</v>
      </c>
      <c r="B145" s="4" t="s">
        <v>266</v>
      </c>
      <c r="C145" s="25" t="s">
        <v>267</v>
      </c>
      <c r="D145" s="4">
        <v>2</v>
      </c>
      <c r="E145" s="4"/>
      <c r="F145" s="292">
        <v>32</v>
      </c>
      <c r="G145" s="292"/>
      <c r="H145" s="4">
        <v>15250</v>
      </c>
      <c r="I145" s="26">
        <f t="shared" si="8"/>
        <v>9607.5</v>
      </c>
    </row>
    <row r="146" spans="1:9" ht="17.25" customHeight="1" x14ac:dyDescent="0.35">
      <c r="A146" s="4">
        <v>15</v>
      </c>
      <c r="B146" s="4" t="s">
        <v>268</v>
      </c>
      <c r="C146" s="25" t="s">
        <v>269</v>
      </c>
      <c r="D146" s="4">
        <v>2</v>
      </c>
      <c r="E146" s="4"/>
      <c r="F146" s="292">
        <v>32</v>
      </c>
      <c r="G146" s="292"/>
      <c r="H146" s="4">
        <v>15860</v>
      </c>
      <c r="I146" s="26">
        <f t="shared" si="8"/>
        <v>9991.7999999999993</v>
      </c>
    </row>
    <row r="147" spans="1:9" ht="17.25" customHeight="1" x14ac:dyDescent="0.35">
      <c r="A147" s="4">
        <v>16</v>
      </c>
      <c r="B147" s="4" t="s">
        <v>270</v>
      </c>
      <c r="C147" s="25" t="s">
        <v>271</v>
      </c>
      <c r="D147" s="4">
        <v>2</v>
      </c>
      <c r="E147" s="4"/>
      <c r="F147" s="292">
        <v>32</v>
      </c>
      <c r="G147" s="292"/>
      <c r="H147" s="4">
        <v>15970</v>
      </c>
      <c r="I147" s="26">
        <f t="shared" si="8"/>
        <v>10061.1</v>
      </c>
    </row>
    <row r="148" spans="1:9" ht="17.25" customHeight="1" x14ac:dyDescent="0.35">
      <c r="A148" s="4">
        <v>17</v>
      </c>
      <c r="B148" s="4" t="s">
        <v>272</v>
      </c>
      <c r="C148" s="25" t="s">
        <v>273</v>
      </c>
      <c r="D148" s="4">
        <v>2</v>
      </c>
      <c r="E148" s="4"/>
      <c r="F148" s="292">
        <v>32</v>
      </c>
      <c r="G148" s="292"/>
      <c r="H148" s="4">
        <v>16480</v>
      </c>
      <c r="I148" s="26">
        <f t="shared" si="8"/>
        <v>10382.4</v>
      </c>
    </row>
    <row r="149" spans="1:9" ht="17.25" customHeight="1" x14ac:dyDescent="0.35">
      <c r="A149" s="4">
        <v>18</v>
      </c>
      <c r="B149" s="4" t="s">
        <v>274</v>
      </c>
      <c r="C149" s="25" t="s">
        <v>275</v>
      </c>
      <c r="D149" s="4">
        <v>2</v>
      </c>
      <c r="E149" s="4"/>
      <c r="F149" s="292">
        <v>65</v>
      </c>
      <c r="G149" s="292"/>
      <c r="H149" s="4">
        <v>14940</v>
      </c>
      <c r="I149" s="26">
        <f t="shared" si="8"/>
        <v>9412.2000000000007</v>
      </c>
    </row>
    <row r="150" spans="1:9" ht="17.25" customHeight="1" x14ac:dyDescent="0.35">
      <c r="A150" s="4">
        <v>19</v>
      </c>
      <c r="B150" s="4" t="s">
        <v>276</v>
      </c>
      <c r="C150" s="25" t="s">
        <v>277</v>
      </c>
      <c r="D150" s="4">
        <v>3</v>
      </c>
      <c r="E150" s="4"/>
      <c r="F150" s="292">
        <v>32</v>
      </c>
      <c r="G150" s="292"/>
      <c r="H150" s="4">
        <v>23500</v>
      </c>
      <c r="I150" s="26">
        <f t="shared" si="8"/>
        <v>14805</v>
      </c>
    </row>
    <row r="151" spans="1:9" ht="17.25" customHeight="1" x14ac:dyDescent="0.35">
      <c r="A151" s="4">
        <v>20</v>
      </c>
      <c r="B151" s="4" t="s">
        <v>278</v>
      </c>
      <c r="C151" s="25" t="s">
        <v>279</v>
      </c>
      <c r="D151" s="4">
        <v>3</v>
      </c>
      <c r="E151" s="4"/>
      <c r="F151" s="292">
        <v>32</v>
      </c>
      <c r="G151" s="292"/>
      <c r="H151" s="4">
        <v>24000</v>
      </c>
      <c r="I151" s="26">
        <f t="shared" si="8"/>
        <v>15120</v>
      </c>
    </row>
    <row r="152" spans="1:9" ht="17.25" customHeight="1" x14ac:dyDescent="0.35">
      <c r="A152" s="4">
        <v>21</v>
      </c>
      <c r="B152" s="4" t="s">
        <v>280</v>
      </c>
      <c r="C152" s="25" t="s">
        <v>281</v>
      </c>
      <c r="D152" s="4">
        <v>3</v>
      </c>
      <c r="E152" s="4"/>
      <c r="F152" s="292">
        <v>32</v>
      </c>
      <c r="G152" s="292"/>
      <c r="H152" s="4">
        <v>24500</v>
      </c>
      <c r="I152" s="26">
        <f t="shared" si="8"/>
        <v>15435</v>
      </c>
    </row>
    <row r="153" spans="1:9" ht="17.25" customHeight="1" x14ac:dyDescent="0.35">
      <c r="A153" s="4">
        <v>22</v>
      </c>
      <c r="B153" s="4" t="s">
        <v>282</v>
      </c>
      <c r="C153" s="25" t="s">
        <v>283</v>
      </c>
      <c r="D153" s="4">
        <v>3</v>
      </c>
      <c r="E153" s="4"/>
      <c r="F153" s="292">
        <v>65</v>
      </c>
      <c r="G153" s="292"/>
      <c r="H153" s="4">
        <v>23690</v>
      </c>
      <c r="I153" s="26">
        <f t="shared" si="8"/>
        <v>14924.7</v>
      </c>
    </row>
    <row r="154" spans="1:9" ht="17.25" customHeight="1" x14ac:dyDescent="0.35">
      <c r="A154" s="4">
        <v>23</v>
      </c>
      <c r="B154" s="4" t="s">
        <v>284</v>
      </c>
      <c r="C154" s="25" t="s">
        <v>283</v>
      </c>
      <c r="D154" s="4">
        <v>3</v>
      </c>
      <c r="E154" s="4"/>
      <c r="F154" s="292">
        <v>65</v>
      </c>
      <c r="G154" s="292"/>
      <c r="H154" s="4">
        <v>15450</v>
      </c>
      <c r="I154" s="26">
        <f t="shared" si="8"/>
        <v>9733.5</v>
      </c>
    </row>
    <row r="155" spans="1:9" ht="17.25" customHeight="1" x14ac:dyDescent="0.35">
      <c r="A155" s="300" t="s">
        <v>285</v>
      </c>
      <c r="B155" s="300"/>
      <c r="C155" s="300"/>
      <c r="D155" s="300"/>
      <c r="E155" s="300"/>
      <c r="F155" s="300"/>
      <c r="G155" s="300"/>
      <c r="H155" s="207" t="s">
        <v>109</v>
      </c>
      <c r="I155" s="131" t="s">
        <v>334</v>
      </c>
    </row>
    <row r="156" spans="1:9" ht="17.25" customHeight="1" x14ac:dyDescent="0.35">
      <c r="A156" s="287" t="s">
        <v>2</v>
      </c>
      <c r="B156" s="287" t="s">
        <v>3</v>
      </c>
      <c r="C156" s="298" t="s">
        <v>4</v>
      </c>
      <c r="D156" s="287" t="s">
        <v>5</v>
      </c>
      <c r="E156" s="287"/>
      <c r="F156" s="287" t="s">
        <v>6</v>
      </c>
      <c r="G156" s="287"/>
      <c r="H156" s="259"/>
      <c r="I156" s="323">
        <v>0.37</v>
      </c>
    </row>
    <row r="157" spans="1:9" ht="17.25" customHeight="1" x14ac:dyDescent="0.35">
      <c r="A157" s="287"/>
      <c r="B157" s="287"/>
      <c r="C157" s="298"/>
      <c r="D157" s="11" t="s">
        <v>9</v>
      </c>
      <c r="E157" s="11" t="s">
        <v>10</v>
      </c>
      <c r="F157" s="11" t="s">
        <v>11</v>
      </c>
      <c r="G157" s="11" t="s">
        <v>12</v>
      </c>
      <c r="H157" s="208"/>
      <c r="I157" s="324"/>
    </row>
    <row r="158" spans="1:9" ht="17.25" customHeight="1" x14ac:dyDescent="0.35">
      <c r="A158" s="4">
        <v>1</v>
      </c>
      <c r="B158" s="4" t="s">
        <v>286</v>
      </c>
      <c r="C158" s="25" t="s">
        <v>287</v>
      </c>
      <c r="D158" s="4">
        <v>0.5</v>
      </c>
      <c r="E158" s="4"/>
      <c r="F158" s="292">
        <v>32</v>
      </c>
      <c r="G158" s="292"/>
      <c r="H158" s="4">
        <v>6800</v>
      </c>
      <c r="I158" s="26">
        <f t="shared" ref="I158:I172" si="9">H158*0.63</f>
        <v>4284</v>
      </c>
    </row>
    <row r="159" spans="1:9" ht="17.25" customHeight="1" x14ac:dyDescent="0.35">
      <c r="A159" s="4">
        <v>2</v>
      </c>
      <c r="B159" s="4" t="s">
        <v>288</v>
      </c>
      <c r="C159" s="25" t="s">
        <v>289</v>
      </c>
      <c r="D159" s="4">
        <v>0.5</v>
      </c>
      <c r="E159" s="4"/>
      <c r="F159" s="292">
        <v>32</v>
      </c>
      <c r="G159" s="292"/>
      <c r="H159" s="4">
        <v>7600</v>
      </c>
      <c r="I159" s="26">
        <f t="shared" si="9"/>
        <v>4788</v>
      </c>
    </row>
    <row r="160" spans="1:9" ht="17.25" customHeight="1" x14ac:dyDescent="0.35">
      <c r="A160" s="4">
        <v>3</v>
      </c>
      <c r="B160" s="4" t="s">
        <v>290</v>
      </c>
      <c r="C160" s="25" t="s">
        <v>291</v>
      </c>
      <c r="D160" s="4">
        <v>0.75</v>
      </c>
      <c r="E160" s="4"/>
      <c r="F160" s="292">
        <v>32</v>
      </c>
      <c r="G160" s="292"/>
      <c r="H160" s="4">
        <v>7800</v>
      </c>
      <c r="I160" s="26">
        <f t="shared" si="9"/>
        <v>4914</v>
      </c>
    </row>
    <row r="161" spans="1:9" ht="17.25" customHeight="1" x14ac:dyDescent="0.35">
      <c r="A161" s="4">
        <v>4</v>
      </c>
      <c r="B161" s="4" t="s">
        <v>292</v>
      </c>
      <c r="C161" s="25" t="s">
        <v>293</v>
      </c>
      <c r="D161" s="4">
        <v>0.75</v>
      </c>
      <c r="E161" s="4"/>
      <c r="F161" s="292">
        <v>32</v>
      </c>
      <c r="G161" s="292"/>
      <c r="H161" s="4">
        <v>8000</v>
      </c>
      <c r="I161" s="26">
        <f t="shared" si="9"/>
        <v>5040</v>
      </c>
    </row>
    <row r="162" spans="1:9" ht="17.25" customHeight="1" x14ac:dyDescent="0.35">
      <c r="A162" s="4">
        <v>5</v>
      </c>
      <c r="B162" s="4" t="s">
        <v>294</v>
      </c>
      <c r="C162" s="25" t="s">
        <v>295</v>
      </c>
      <c r="D162" s="4">
        <v>1</v>
      </c>
      <c r="E162" s="4"/>
      <c r="F162" s="292">
        <v>32</v>
      </c>
      <c r="G162" s="292"/>
      <c r="H162" s="4">
        <v>8200</v>
      </c>
      <c r="I162" s="26">
        <f t="shared" si="9"/>
        <v>5166</v>
      </c>
    </row>
    <row r="163" spans="1:9" ht="17.25" customHeight="1" x14ac:dyDescent="0.35">
      <c r="A163" s="4">
        <v>6</v>
      </c>
      <c r="B163" s="4" t="s">
        <v>296</v>
      </c>
      <c r="C163" s="25" t="s">
        <v>297</v>
      </c>
      <c r="D163" s="4">
        <v>1</v>
      </c>
      <c r="E163" s="4"/>
      <c r="F163" s="292">
        <v>32</v>
      </c>
      <c r="G163" s="292"/>
      <c r="H163" s="4">
        <v>8400</v>
      </c>
      <c r="I163" s="26">
        <f t="shared" si="9"/>
        <v>5292</v>
      </c>
    </row>
    <row r="164" spans="1:9" ht="17.25" customHeight="1" x14ac:dyDescent="0.35">
      <c r="A164" s="4">
        <v>7</v>
      </c>
      <c r="B164" s="4" t="s">
        <v>298</v>
      </c>
      <c r="C164" s="25" t="s">
        <v>299</v>
      </c>
      <c r="D164" s="4">
        <v>1</v>
      </c>
      <c r="E164" s="4"/>
      <c r="F164" s="292">
        <v>32</v>
      </c>
      <c r="G164" s="292"/>
      <c r="H164" s="4">
        <v>8600</v>
      </c>
      <c r="I164" s="26">
        <f t="shared" si="9"/>
        <v>5418</v>
      </c>
    </row>
    <row r="165" spans="1:9" ht="17.25" customHeight="1" x14ac:dyDescent="0.35">
      <c r="A165" s="4">
        <v>8</v>
      </c>
      <c r="B165" s="4" t="s">
        <v>300</v>
      </c>
      <c r="C165" s="25" t="s">
        <v>301</v>
      </c>
      <c r="D165" s="4">
        <v>1.5</v>
      </c>
      <c r="E165" s="4"/>
      <c r="F165" s="292">
        <v>32</v>
      </c>
      <c r="G165" s="292"/>
      <c r="H165" s="4">
        <v>9000</v>
      </c>
      <c r="I165" s="26">
        <f t="shared" si="9"/>
        <v>5670</v>
      </c>
    </row>
    <row r="166" spans="1:9" ht="17.25" customHeight="1" x14ac:dyDescent="0.35">
      <c r="A166" s="4">
        <v>9</v>
      </c>
      <c r="B166" s="4" t="s">
        <v>302</v>
      </c>
      <c r="C166" s="25" t="s">
        <v>303</v>
      </c>
      <c r="D166" s="4">
        <v>1.5</v>
      </c>
      <c r="E166" s="4"/>
      <c r="F166" s="292">
        <v>32</v>
      </c>
      <c r="G166" s="292"/>
      <c r="H166" s="4">
        <v>10600</v>
      </c>
      <c r="I166" s="26">
        <f t="shared" si="9"/>
        <v>6678</v>
      </c>
    </row>
    <row r="167" spans="1:9" ht="17.25" customHeight="1" x14ac:dyDescent="0.35">
      <c r="A167" s="4">
        <v>10</v>
      </c>
      <c r="B167" s="4" t="s">
        <v>304</v>
      </c>
      <c r="C167" s="25" t="s">
        <v>305</v>
      </c>
      <c r="D167" s="4">
        <v>1.5</v>
      </c>
      <c r="E167" s="4"/>
      <c r="F167" s="292">
        <v>32</v>
      </c>
      <c r="G167" s="292"/>
      <c r="H167" s="4">
        <v>11000</v>
      </c>
      <c r="I167" s="26">
        <f t="shared" si="9"/>
        <v>6930</v>
      </c>
    </row>
    <row r="168" spans="1:9" ht="17.25" customHeight="1" x14ac:dyDescent="0.35">
      <c r="A168" s="4">
        <v>11</v>
      </c>
      <c r="B168" s="4" t="s">
        <v>306</v>
      </c>
      <c r="C168" s="25" t="s">
        <v>307</v>
      </c>
      <c r="D168" s="4">
        <v>2</v>
      </c>
      <c r="E168" s="4"/>
      <c r="F168" s="292">
        <v>32</v>
      </c>
      <c r="G168" s="292"/>
      <c r="H168" s="4">
        <v>13000</v>
      </c>
      <c r="I168" s="26">
        <f t="shared" si="9"/>
        <v>8190</v>
      </c>
    </row>
    <row r="169" spans="1:9" ht="17.25" customHeight="1" x14ac:dyDescent="0.35">
      <c r="A169" s="4">
        <v>12</v>
      </c>
      <c r="B169" s="4" t="s">
        <v>308</v>
      </c>
      <c r="C169" s="25" t="s">
        <v>309</v>
      </c>
      <c r="D169" s="4">
        <v>2</v>
      </c>
      <c r="E169" s="4"/>
      <c r="F169" s="292">
        <v>32</v>
      </c>
      <c r="G169" s="292"/>
      <c r="H169" s="4">
        <v>15500</v>
      </c>
      <c r="I169" s="26">
        <f t="shared" si="9"/>
        <v>9765</v>
      </c>
    </row>
    <row r="170" spans="1:9" ht="17.25" customHeight="1" x14ac:dyDescent="0.35">
      <c r="A170" s="4">
        <v>13</v>
      </c>
      <c r="B170" s="4" t="s">
        <v>310</v>
      </c>
      <c r="C170" s="25" t="s">
        <v>311</v>
      </c>
      <c r="D170" s="4">
        <v>3</v>
      </c>
      <c r="E170" s="4"/>
      <c r="F170" s="292">
        <v>32</v>
      </c>
      <c r="G170" s="292"/>
      <c r="H170" s="4">
        <v>19000</v>
      </c>
      <c r="I170" s="26">
        <f t="shared" si="9"/>
        <v>11970</v>
      </c>
    </row>
    <row r="171" spans="1:9" ht="17.25" customHeight="1" x14ac:dyDescent="0.35">
      <c r="A171" s="4">
        <v>14</v>
      </c>
      <c r="B171" s="4" t="s">
        <v>312</v>
      </c>
      <c r="C171" s="25" t="s">
        <v>313</v>
      </c>
      <c r="D171" s="4">
        <v>3</v>
      </c>
      <c r="E171" s="4"/>
      <c r="F171" s="292">
        <v>32</v>
      </c>
      <c r="G171" s="292"/>
      <c r="H171" s="4">
        <v>20000</v>
      </c>
      <c r="I171" s="26">
        <f t="shared" si="9"/>
        <v>12600</v>
      </c>
    </row>
    <row r="172" spans="1:9" ht="17.25" customHeight="1" x14ac:dyDescent="0.35">
      <c r="A172" s="4">
        <v>15</v>
      </c>
      <c r="B172" s="4" t="s">
        <v>314</v>
      </c>
      <c r="C172" s="25" t="s">
        <v>315</v>
      </c>
      <c r="D172" s="4">
        <v>3</v>
      </c>
      <c r="E172" s="4"/>
      <c r="F172" s="292">
        <v>32</v>
      </c>
      <c r="G172" s="292"/>
      <c r="H172" s="4">
        <v>20500</v>
      </c>
      <c r="I172" s="26">
        <f t="shared" si="9"/>
        <v>12915</v>
      </c>
    </row>
  </sheetData>
  <mergeCells count="104">
    <mergeCell ref="F169:G169"/>
    <mergeCell ref="F170:G170"/>
    <mergeCell ref="F171:G171"/>
    <mergeCell ref="F172:G172"/>
    <mergeCell ref="F163:G163"/>
    <mergeCell ref="F164:G164"/>
    <mergeCell ref="F165:G165"/>
    <mergeCell ref="F166:G166"/>
    <mergeCell ref="F167:G167"/>
    <mergeCell ref="F168:G168"/>
    <mergeCell ref="F158:G158"/>
    <mergeCell ref="F159:G159"/>
    <mergeCell ref="F160:G160"/>
    <mergeCell ref="F161:G161"/>
    <mergeCell ref="F162:G162"/>
    <mergeCell ref="F154:G154"/>
    <mergeCell ref="A155:G155"/>
    <mergeCell ref="H155:H157"/>
    <mergeCell ref="A156:A157"/>
    <mergeCell ref="B156:B157"/>
    <mergeCell ref="C156:C157"/>
    <mergeCell ref="D156:E156"/>
    <mergeCell ref="F156:G156"/>
    <mergeCell ref="I156:I157"/>
    <mergeCell ref="F148:G148"/>
    <mergeCell ref="F149:G149"/>
    <mergeCell ref="F150:G150"/>
    <mergeCell ref="F151:G151"/>
    <mergeCell ref="F152:G152"/>
    <mergeCell ref="F153:G153"/>
    <mergeCell ref="F142:G142"/>
    <mergeCell ref="F143:G143"/>
    <mergeCell ref="F144:G144"/>
    <mergeCell ref="F145:G145"/>
    <mergeCell ref="F146:G146"/>
    <mergeCell ref="F147:G147"/>
    <mergeCell ref="F136:G136"/>
    <mergeCell ref="F137:G137"/>
    <mergeCell ref="F138:G138"/>
    <mergeCell ref="F139:G139"/>
    <mergeCell ref="F140:G140"/>
    <mergeCell ref="F141:G141"/>
    <mergeCell ref="I130:I131"/>
    <mergeCell ref="F132:G132"/>
    <mergeCell ref="F133:G133"/>
    <mergeCell ref="F134:G134"/>
    <mergeCell ref="F135:G135"/>
    <mergeCell ref="A129:G129"/>
    <mergeCell ref="H129:H131"/>
    <mergeCell ref="A130:A131"/>
    <mergeCell ref="B130:B131"/>
    <mergeCell ref="C130:C131"/>
    <mergeCell ref="D130:E130"/>
    <mergeCell ref="F130:G131"/>
    <mergeCell ref="A114:G114"/>
    <mergeCell ref="H114:H116"/>
    <mergeCell ref="A115:A116"/>
    <mergeCell ref="B115:B116"/>
    <mergeCell ref="C115:C116"/>
    <mergeCell ref="D115:E115"/>
    <mergeCell ref="F115:G115"/>
    <mergeCell ref="I115:I116"/>
    <mergeCell ref="D104:D106"/>
    <mergeCell ref="E104:E106"/>
    <mergeCell ref="D108:D109"/>
    <mergeCell ref="E108:E109"/>
    <mergeCell ref="D110:D113"/>
    <mergeCell ref="E110:E113"/>
    <mergeCell ref="D67:D73"/>
    <mergeCell ref="E67:E73"/>
    <mergeCell ref="D74:D91"/>
    <mergeCell ref="E74:E91"/>
    <mergeCell ref="D92:D103"/>
    <mergeCell ref="E92:E103"/>
    <mergeCell ref="F56:G56"/>
    <mergeCell ref="I56:I57"/>
    <mergeCell ref="D58:D59"/>
    <mergeCell ref="E58:E59"/>
    <mergeCell ref="D61:D66"/>
    <mergeCell ref="E61:E66"/>
    <mergeCell ref="I31:J31"/>
    <mergeCell ref="I32:J32"/>
    <mergeCell ref="I47:J47"/>
    <mergeCell ref="A55:G55"/>
    <mergeCell ref="H55:H57"/>
    <mergeCell ref="A56:A57"/>
    <mergeCell ref="B56:B57"/>
    <mergeCell ref="C56:C57"/>
    <mergeCell ref="D56:E56"/>
    <mergeCell ref="I7:J7"/>
    <mergeCell ref="I8:J8"/>
    <mergeCell ref="I9:J9"/>
    <mergeCell ref="I10:J10"/>
    <mergeCell ref="I26:J26"/>
    <mergeCell ref="I27:J27"/>
    <mergeCell ref="A1:J3"/>
    <mergeCell ref="A4:J4"/>
    <mergeCell ref="A5:A6"/>
    <mergeCell ref="B5:B6"/>
    <mergeCell ref="C5:C6"/>
    <mergeCell ref="D5:E5"/>
    <mergeCell ref="F5:G5"/>
    <mergeCell ref="H5:H6"/>
    <mergeCell ref="I5:J5"/>
  </mergeCells>
  <conditionalFormatting sqref="B1:B172">
    <cfRule type="duplicateValues" dxfId="1" priority="1"/>
    <cfRule type="duplicateValues" dxfId="0" priority="2"/>
  </conditionalFormatting>
  <pageMargins left="0.7" right="0.7" top="0.75" bottom="0.75" header="0.3" footer="0.3"/>
  <legacy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"/>
  <sheetViews>
    <sheetView workbookViewId="0">
      <selection activeCell="J20" sqref="J20"/>
    </sheetView>
  </sheetViews>
  <sheetFormatPr defaultRowHeight="14.5" x14ac:dyDescent="0.3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"/>
  <sheetViews>
    <sheetView workbookViewId="0">
      <selection activeCell="J16" sqref="J16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35</vt:i4>
      </vt:variant>
    </vt:vector>
  </HeadingPairs>
  <TitlesOfParts>
    <vt:vector size="35" baseType="lpstr">
      <vt:lpstr>Index main</vt:lpstr>
      <vt:lpstr>ETC Price</vt:lpstr>
      <vt:lpstr>Index1</vt:lpstr>
      <vt:lpstr>15%addition to etc</vt:lpstr>
      <vt:lpstr>Index2</vt:lpstr>
      <vt:lpstr>37% discount Price </vt:lpstr>
      <vt:lpstr>Index3</vt:lpstr>
      <vt:lpstr>33%-3%discount</vt:lpstr>
      <vt:lpstr>The electric house </vt:lpstr>
      <vt:lpstr>Unique agency</vt:lpstr>
      <vt:lpstr>ss Pumps</vt:lpstr>
      <vt:lpstr>shyam bihari ago</vt:lpstr>
      <vt:lpstr>Divisha electricals</vt:lpstr>
      <vt:lpstr>Patel Switch Gear</vt:lpstr>
      <vt:lpstr>Walk in customer</vt:lpstr>
      <vt:lpstr>JMD enterprises</vt:lpstr>
      <vt:lpstr>Patodia Trading</vt:lpstr>
      <vt:lpstr>Pearl Tradelink</vt:lpstr>
      <vt:lpstr>deep Agency</vt:lpstr>
      <vt:lpstr>Binod kumar chiraniya</vt:lpstr>
      <vt:lpstr>Amarsen choudhary</vt:lpstr>
      <vt:lpstr>Sarda Builders</vt:lpstr>
      <vt:lpstr>Lahoti Brother</vt:lpstr>
      <vt:lpstr>Pramod hardware store</vt:lpstr>
      <vt:lpstr>Krishna machinery and store </vt:lpstr>
      <vt:lpstr>Ashok Traders</vt:lpstr>
      <vt:lpstr>Pragati Enterprise</vt:lpstr>
      <vt:lpstr>SN Enterprises</vt:lpstr>
      <vt:lpstr>Bansal Trading</vt:lpstr>
      <vt:lpstr>Chawda Krishi Seva Kendra</vt:lpstr>
      <vt:lpstr>Rajcot machinery</vt:lpstr>
      <vt:lpstr>Reyansh Traders</vt:lpstr>
      <vt:lpstr>Hindustan electricals and machi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ASPLGGNADM</dc:creator>
  <cp:lastModifiedBy>ankit patel</cp:lastModifiedBy>
  <dcterms:created xsi:type="dcterms:W3CDTF">2024-08-06T11:19:17Z</dcterms:created>
  <dcterms:modified xsi:type="dcterms:W3CDTF">2026-01-30T07:05:21Z</dcterms:modified>
</cp:coreProperties>
</file>